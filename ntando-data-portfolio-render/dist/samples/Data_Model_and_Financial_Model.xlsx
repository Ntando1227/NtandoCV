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0c1b13c59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d68c6cc38634271"/>
    <x:sheet xmlns:r="http://schemas.openxmlformats.org/officeDocument/2006/relationships" name="Assumptions" sheetId="2" r:id="R872021927f364846"/>
    <x:sheet xmlns:r="http://schemas.openxmlformats.org/officeDocument/2006/relationships" name="Activity Plan" sheetId="3" r:id="Rfca312dc26d341d6"/>
    <x:sheet xmlns:r="http://schemas.openxmlformats.org/officeDocument/2006/relationships" name="Budget Model" sheetId="4" r:id="R90ab315aee914dd8"/>
    <x:sheet xmlns:r="http://schemas.openxmlformats.org/officeDocument/2006/relationships" name="Monthly Model" sheetId="5" r:id="Rdcb0eddf2dd04ef5"/>
    <x:sheet xmlns:r="http://schemas.openxmlformats.org/officeDocument/2006/relationships" name="Raw Actuals" sheetId="6" r:id="Rc56135d32de24d49"/>
    <x:sheet xmlns:r="http://schemas.openxmlformats.org/officeDocument/2006/relationships" name="Clean Actuals" sheetId="7" r:id="R9f86a7c2b37c4656"/>
    <x:sheet xmlns:r="http://schemas.openxmlformats.org/officeDocument/2006/relationships" name="Data Model" sheetId="8" r:id="Rc75e59d3a9f9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-mmm-yyyy"/>
    <x:numFmt numFmtId="201" formatCode="mmm-yy"/>
    <x:numFmt numFmtId="202" formatCode="#,##0.0"/>
    <x:numFmt numFmtId="203" formatCode="&quot;R&quot;#,##0;[Red](&quot;R&quot;#,##0);-"/>
    <x:numFmt numFmtId="204" formatCode="0.0%"/>
    <x:numFmt numFmtId="205" formatCode="&quot;R&quot;#,##0.00;[Red](&quot;R&quot;#,##0.00);-"/>
    <x:numFmt numFmtId="206" formatCode="#,##0"/>
    <x:numFmt numFmtId="207" formatCode="&quot;R&quot;#,##0"/>
  </x:numFmts>
  <x:fonts count="10">
    <x:font>
      <x:sz val="11"/>
      <x:name val="Carlito"/>
    </x:font>
    <x:font>
      <x:b/>
      <x:sz val="14"/>
      <x:color rgb="FF1D3430"/>
      <x:name val="Arial"/>
    </x:font>
    <x:font>
      <x:i/>
      <x:sz val="9"/>
      <x:color rgb="FF5E6B64"/>
      <x:name val="Arial"/>
    </x:font>
    <x:font>
      <x:b/>
      <x:sz val="10"/>
      <x:color rgb="FF1D3430"/>
      <x:name val="Arial"/>
    </x:font>
    <x:font>
      <x:b/>
      <x:sz val="10"/>
      <x:color rgb="FF0070C0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35584D"/>
      <x:name val="Arial"/>
    </x:font>
    <x:font>
      <x:b/>
      <x:sz val="12"/>
      <x:color rgb="FF1D3430"/>
      <x:name val="Arial"/>
    </x:font>
    <x:font>
      <x:sz val="9"/>
      <x:color rgb="FF5E6B6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EEE9"/>
      </x:patternFill>
    </x:fill>
    <x:fill>
      <x:patternFill patternType="solid">
        <x:fgColor rgb="FFFFF0C2"/>
      </x:patternFill>
    </x:fill>
    <x:fill>
      <x:patternFill patternType="solid">
        <x:fgColor rgb="FF1D3430"/>
      </x:patternFill>
    </x:fill>
    <x:fill>
      <x:patternFill patternType="solid">
        <x:fgColor rgb="FFF6F7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3" fillId="2" borderId="0" xfId="0" applyNumberFormat="1" applyFont="1" applyFill="1" applyBorder="1"/>
    <x:xf numFmtId="203" fontId="0" fillId="0" borderId="0" xfId="0" applyNumberFormat="1" applyFont="1" applyFill="1" applyBorder="1"/>
    <x:xf numFmtId="203" fontId="3" fillId="2" borderId="0" xfId="0" applyNumberFormat="1" applyFont="1" applyFill="1" applyBorder="1"/>
    <x:xf numFmtId="203" fontId="6" fillId="3" borderId="0" xfId="0" applyNumberFormat="1" applyFont="1" applyFill="1" applyBorder="1"/>
    <x:xf numFmtId="204" fontId="0" fillId="0" borderId="0" xfId="0" applyNumberFormat="1" applyFont="1" applyFill="1" applyBorder="1"/>
    <x:xf numFmtId="204" fontId="3" fillId="2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6" fontId="8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202" fontId="6" fillId="3" borderId="0" xfId="0" applyNumberFormat="1" applyFont="1" applyFill="1" applyBorder="1"/>
    <x:xf numFmtId="204" fontId="6" fillId="3" borderId="0" xfId="0" applyNumberFormat="1" applyFont="1" applyFill="1" applyBorder="1"/>
    <x:xf numFmtId="207" fontId="6" fillId="3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CE7E5"/>
        </x:patternFill>
      </x:fill>
    </x:dxf>
    <x:dxf>
      <x:font>
        <x:b/>
        <x:color rgb="FF8A4B08"/>
      </x:font>
      <x:fill>
        <x:patternFill patternType="solid">
          <x:bgColor rgb="FFFCE8D5"/>
        </x:patternFill>
      </x:fill>
    </x:dxf>
    <x:dxf>
      <x:font>
        <x:b/>
        <x:color rgb="FFB42318"/>
      </x:font>
      <x:fill>
        <x:patternFill patternType="solid">
          <x:bgColor rgb="FFFCE7E5"/>
        </x:patternFill>
      </x:fill>
    </x:dxf>
    <x:dxf>
      <x:font>
        <x:color rgb="FF8A4B08"/>
      </x:font>
      <x:fill>
        <x:patternFill patternType="solid">
          <x:bgColor rgb="FFFCE8D5"/>
        </x:patternFill>
      </x:fill>
    </x:dxf>
    <x:dxf>
      <x:font>
        <x:b/>
        <x:color rgb="FFB42318"/>
      </x:font>
      <x:fill>
        <x:patternFill patternType="solid">
          <x:bgColor rgb="FFFC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d21a50dd54257" /><Relationship Type="http://schemas.openxmlformats.org/officeDocument/2006/relationships/theme" Target="/xl/theme/theme1.xml" Id="Rea534a0e2e354455" /><Relationship Type="http://schemas.openxmlformats.org/officeDocument/2006/relationships/sharedStrings" Target="/xl/sharedStrings.xml" Id="R2f1c9554e74942b2" /><Relationship Type="http://schemas.openxmlformats.org/officeDocument/2006/relationships/worksheet" Target="/xl/worksheets/sheet1.xml" Id="Rad68c6cc38634271" /><Relationship Type="http://schemas.openxmlformats.org/officeDocument/2006/relationships/worksheet" Target="/xl/worksheets/sheet2.xml" Id="R872021927f364846" /><Relationship Type="http://schemas.openxmlformats.org/officeDocument/2006/relationships/worksheet" Target="/xl/worksheets/sheet3.xml" Id="Rfca312dc26d341d6" /><Relationship Type="http://schemas.openxmlformats.org/officeDocument/2006/relationships/worksheet" Target="/xl/worksheets/sheet4.xml" Id="R90ab315aee914dd8" /><Relationship Type="http://schemas.openxmlformats.org/officeDocument/2006/relationships/worksheet" Target="/xl/worksheets/sheet5.xml" Id="Rdcb0eddf2dd04ef5" /><Relationship Type="http://schemas.openxmlformats.org/officeDocument/2006/relationships/worksheet" Target="/xl/worksheets/sheet6.xml" Id="Rc56135d32de24d49" /><Relationship Type="http://schemas.openxmlformats.org/officeDocument/2006/relationships/worksheet" Target="/xl/worksheets/sheet7.xml" Id="R9f86a7c2b37c4656" /><Relationship Type="http://schemas.openxmlformats.org/officeDocument/2006/relationships/worksheet" Target="/xl/worksheets/sheet8.xml" Id="Rc75e59d3a9f942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90aa0aced144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Approved budget, actuals and EAC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Approved budget</c:v>
          </c:tx>
          <c:invertIfNegative val="0"/>
          <c:cat>
            <c:strRef>
              <c:f>'Overview'!$D$5:$D$15</c:f>
              <c:strCache>
                <c:ptCount val="0"/>
              </c:strCache>
            </c:strRef>
          </c:cat>
          <c:val>
            <c:numRef>
              <c:f>'Overview'!$E$5:$E$15</c:f>
              <c:numCache>
                <c:formatCode>"R"#,##0;[Red]("R"#,##0);-</c:formatCode>
                <c:ptCount val="0"/>
              </c:numCache>
            </c:numRef>
          </c:val>
        </c:ser>
        <c:ser>
          <c:idx val="1"/>
          <c:order val="1"/>
          <c:tx>
            <c:v>Actuals to cut-off</c:v>
          </c:tx>
          <c:invertIfNegative val="0"/>
          <c:cat>
            <c:strRef>
              <c:f>'Overview'!$D$5:$D$15</c:f>
              <c:strCache>
                <c:ptCount val="0"/>
              </c:strCache>
            </c:strRef>
          </c:cat>
          <c:val>
            <c:numRef>
              <c:f>'Overview'!$F$5:$F$15</c:f>
              <c:numCache>
                <c:formatCode>"R"#,##0;[Red]("R"#,##0);-</c:formatCode>
                <c:ptCount val="0"/>
              </c:numCache>
            </c:numRef>
          </c:val>
        </c:ser>
        <c:ser>
          <c:idx val="2"/>
          <c:order val="2"/>
          <c:tx>
            <c:v>Estimate at completion</c:v>
          </c:tx>
          <c:invertIfNegative val="0"/>
          <c:cat>
            <c:strRef>
              <c:f>'Overview'!$D$5:$D$15</c:f>
              <c:strCache>
                <c:ptCount val="0"/>
              </c:strCache>
            </c:strRef>
          </c:cat>
          <c:val>
            <c:numRef>
              <c:f>'Overview'!$G$5:$G$15</c:f>
              <c:numCache>
                <c:formatCode>"R"#,##0;[Red]("R"#,##0);-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90aa0aced144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ityPlan" displayName="ActivityPlan" ref="A5:U17" headerRowCount="1" totalsRowCount="0" totalsRowShown="0">
  <x:tableColumns count="21">
    <x:tableColumn id="1" name="Month"/>
    <x:tableColumn id="2" name="Workshop sessions"/>
    <x:tableColumn id="3" name="Training sessions"/>
    <x:tableColumn id="4" name="Site visits"/>
    <x:tableColumn id="5" name="Recognition events"/>
    <x:tableColumn id="6" name="Attendance / workshop"/>
    <x:tableColumn id="7" name="Learner attendances"/>
    <x:tableColumn id="8" name="Taxi trips"/>
    <x:tableColumn id="9" name="Catering"/>
    <x:tableColumn id="10" name="Transport"/>
    <x:tableColumn id="11" name="Facilitation"/>
    <x:tableColumn id="12" name="Materials"/>
    <x:tableColumn id="13" name="Printing"/>
    <x:tableColumn id="14" name="Training"/>
    <x:tableColumn id="15" name="Site visits cost"/>
    <x:tableColumn id="16" name="Events cost"/>
    <x:tableColumn id="17" name="Venue"/>
    <x:tableColumn id="18" name="Administration"/>
    <x:tableColumn id="19" name="Pre-contingency total"/>
    <x:tableColumn id="20" name="Contingency"/>
    <x:tableColumn id="21" name="Total foreca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dgetControl" displayName="BudgetControl" ref="A5:J17" headerRowCount="1" totalsRowCount="0" totalsRowShown="0">
  <x:tableColumns count="10">
    <x:tableColumn id="1" name="Cost category"/>
    <x:tableColumn id="2" name="Approved budget"/>
    <x:tableColumn id="3" name="Actuals to cut-off"/>
    <x:tableColumn id="4" name="Budget used"/>
    <x:tableColumn id="5" name="Forecast to complete"/>
    <x:tableColumn id="6" name="Estimate at completion"/>
    <x:tableColumn id="7" name="Variance to budget"/>
    <x:tableColumn id="8" name="Variance %"/>
    <x:tableColumn id="9" name="Record exceptions"/>
    <x:tableColumn id="10" name="Forecas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MonthlyModel" displayName="MonthlyModel" ref="A5:I17" headerRowCount="1" totalsRowCount="0" totalsRowShown="0">
  <x:tableColumns count="9">
    <x:tableColumn id="1" name="Month"/>
    <x:tableColumn id="2" name="Workshops"/>
    <x:tableColumn id="3" name="Learner attendances"/>
    <x:tableColumn id="4" name="Forecast spend"/>
    <x:tableColumn id="5" name="Recognized actuals"/>
    <x:tableColumn id="6" name="Variance to monthly forecast"/>
    <x:tableColumn id="7" name="Cumulative actuals"/>
    <x:tableColumn id="8" name="Remaining forecast"/>
    <x:tableColumn id="9" name="Month-end EA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awActuals" displayName="RawActuals" ref="A5:I155" headerRowCount="1" totalsRowCount="0" totalsRowShown="0">
  <x:tableColumns count="9">
    <x:tableColumn id="1" name="Transaction ID"/>
    <x:tableColumn id="2" name="Invoice ref (raw)"/>
    <x:tableColumn id="3" name="Date (raw)"/>
    <x:tableColumn id="4" name="Cost category (raw)"/>
    <x:tableColumn id="5" name="Supplier (raw)"/>
    <x:tableColumn id="6" name="Description (raw)"/>
    <x:tableColumn id="7" name="Amount (raw)"/>
    <x:tableColumn id="8" name="Payment state (raw)"/>
    <x:tableColumn id="9" name="Source row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leanActuals" displayName="CleanActuals" ref="A5:M155" headerRowCount="1" totalsRowCount="0" totalsRowShown="0">
  <x:tableColumns count="13">
    <x:tableColumn id="1" name="Transaction ID"/>
    <x:tableColumn id="2" name="Invoice key"/>
    <x:tableColumn id="3" name="Transaction date"/>
    <x:tableColumn id="4" name="Cost category"/>
    <x:tableColumn id="5" name="Supplier"/>
    <x:tableColumn id="6" name="Description"/>
    <x:tableColumn id="7" name="Amount (ZAR)"/>
    <x:tableColumn id="8" name="Payment status"/>
    <x:tableColumn id="9" name="Spend include?"/>
    <x:tableColumn id="10" name="Duplicate invoice?"/>
    <x:tableColumn id="11" name="Issue flags"/>
    <x:tableColumn id="12" name="Control status"/>
    <x:tableColumn id="13" name="Recognized spe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nanceDataModel" displayName="FinanceDataModel" ref="A5:G13" headerRowCount="1" totalsRowCount="0" totalsRowShown="0">
  <x:tableColumns count="7">
    <x:tableColumn id="1" name="Entity"/>
    <x:tableColumn id="2" name="Primary key"/>
    <x:tableColumn id="3" name="Core fields"/>
    <x:tableColumn id="4" name="Relationship"/>
    <x:tableColumn id="5" name="Grain"/>
    <x:tableColumn id="6" name="Quality control"/>
    <x:tableColumn id="7" name="Use in mod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8e8cd74ab547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e3e7226045843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332b8baab342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77779afacf940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43fde56c83145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d5c4eec4eba4f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f395f729a3c4078" /></Relationships>
</file>

<file path=xl/worksheets/sheet1.xml><?xml version="1.0" encoding="utf-8"?>
<x:worksheet xmlns:x="http://schemas.openxmlformats.org/spreadsheetml/2006/main">
  <x:sheetPr>
    <x:tabColor rgb="FF1D3430"/>
  </x:sheetPr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4" hidden="0" customWidth="1"/>
    <x:col min="3" max="3" width="4" hidden="0" customWidth="1"/>
    <x:col min="4" max="4" width="23" hidden="0" customWidth="1"/>
    <x:col min="5" max="5" width="23" hidden="0" customWidth="1"/>
    <x:col min="6" max="6" width="26" hidden="0" customWidth="1"/>
    <x:col min="7" max="7" width="27" hidden="0" customWidth="1"/>
    <x:col min="8" max="8" width="22" hidden="0" customWidth="1"/>
  </x:cols>
  <x:sheetData>
    <x:row r="1">
      <x:c r="A1" s="1" t="str">
        <x:v>Programme Budget and Forecast</x:v>
      </x:c>
    </x:row>
    <x:row r="2">
      <x:c r="A2" s="2" t="str">
        <x:v>Illustrative 2027 ZAR model | Scenario drivers create the delivery forecast; cleaned, eligible transactions feed actual spend</x:v>
      </x:c>
    </x:row>
    <x:row r="4" ht="30" customHeight="1">
      <x:c r="A4" s="4" t="str">
        <x:v>Scenario</x:v>
      </x:c>
      <x:c r="B4" s="28" t="str">
        <x:f>'Assumptions'!B4</x:f>
        <x:v>Base</x:v>
      </x:c>
      <x:c r="D4" s="12" t="str">
        <x:v>Cost category</x:v>
      </x:c>
      <x:c r="E4" s="12" t="str">
        <x:v>Approved budget</x:v>
      </x:c>
      <x:c r="F4" s="12" t="str">
        <x:v>Actuals to cut-off</x:v>
      </x:c>
      <x:c r="G4" s="12" t="str">
        <x:v>Estimate at completion</x:v>
      </x:c>
      <x:c r="H4" s="12" t="str">
        <x:v>Variance</x:v>
      </x:c>
    </x:row>
    <x:row r="5">
      <x:c r="A5" s="4" t="str">
        <x:v>Approved budget (ZAR)</x:v>
      </x:c>
      <x:c r="B5" s="29" t="n">
        <x:f>'Budget Model'!B17</x:f>
        <x:v>2005000</x:v>
      </x:c>
      <x:c r="D5" t="str">
        <x:f>'Budget Model'!A6</x:f>
        <x:v>Catering</x:v>
      </x:c>
      <x:c r="E5" s="20" t="n">
        <x:f>'Budget Model'!B6</x:f>
        <x:v>125000</x:v>
      </x:c>
      <x:c r="F5" s="20" t="n">
        <x:f>'Budget Model'!C6</x:f>
        <x:v>64904</x:v>
      </x:c>
      <x:c r="G5" s="20" t="n">
        <x:f>'Budget Model'!F6</x:f>
        <x:v>90160</x:v>
      </x:c>
      <x:c r="H5" s="20" t="n">
        <x:f>'Budget Model'!G6</x:f>
        <x:v>34840</x:v>
      </x:c>
    </x:row>
    <x:row r="6">
      <x:c r="A6" s="4" t="str">
        <x:v>Recognized actuals to cut-off (ZAR)</x:v>
      </x:c>
      <x:c r="B6" s="29" t="n">
        <x:f>'Budget Model'!C17</x:f>
        <x:v>517777</x:v>
      </x:c>
      <x:c r="D6" t="str">
        <x:f>'Budget Model'!A7</x:f>
        <x:v>Transport</x:v>
      </x:c>
      <x:c r="E6" s="20" t="n">
        <x:f>'Budget Model'!B7</x:f>
        <x:v>300000</x:v>
      </x:c>
      <x:c r="F6" s="20" t="n">
        <x:f>'Budget Model'!C7</x:f>
        <x:v>81144</x:v>
      </x:c>
      <x:c r="G6" s="20" t="n">
        <x:f>'Budget Model'!F7</x:f>
        <x:v>169144</x:v>
      </x:c>
      <x:c r="H6" s="20" t="n">
        <x:f>'Budget Model'!G7</x:f>
        <x:v>130856</x:v>
      </x:c>
    </x:row>
    <x:row r="7">
      <x:c r="A7" s="4" t="str">
        <x:v>Forecast to complete (ZAR)</x:v>
      </x:c>
      <x:c r="B7" s="29" t="n">
        <x:f>'Budget Model'!E17</x:f>
        <x:v>662622.4</x:v>
      </x:c>
      <x:c r="D7" t="str">
        <x:f>'Budget Model'!A8</x:f>
        <x:v>Facilitation</x:v>
      </x:c>
      <x:c r="E7" s="20" t="n">
        <x:f>'Budget Model'!B8</x:f>
        <x:v>100000</x:v>
      </x:c>
      <x:c r="F7" s="20" t="n">
        <x:f>'Budget Model'!C8</x:f>
        <x:v>32920</x:v>
      </x:c>
      <x:c r="G7" s="20" t="n">
        <x:f>'Budget Model'!F8</x:f>
        <x:v>50920</x:v>
      </x:c>
      <x:c r="H7" s="20" t="n">
        <x:f>'Budget Model'!G8</x:f>
        <x:v>49080</x:v>
      </x:c>
    </x:row>
    <x:row r="8">
      <x:c r="A8" s="4" t="str">
        <x:v>Estimate at completion (ZAR)</x:v>
      </x:c>
      <x:c r="B8" s="29" t="n">
        <x:f>'Budget Model'!F17</x:f>
        <x:v>1180399.4</x:v>
      </x:c>
      <x:c r="D8" t="str">
        <x:f>'Budget Model'!A9</x:f>
        <x:v>Materials</x:v>
      </x:c>
      <x:c r="E8" s="20" t="n">
        <x:f>'Budget Model'!B9</x:f>
        <x:v>100000</x:v>
      </x:c>
      <x:c r="F8" s="20" t="n">
        <x:f>'Budget Model'!C9</x:f>
        <x:v>41358</x:v>
      </x:c>
      <x:c r="G8" s="20" t="n">
        <x:f>'Budget Model'!F9</x:f>
        <x:v>69358</x:v>
      </x:c>
      <x:c r="H8" s="20" t="n">
        <x:f>'Budget Model'!G9</x:f>
        <x:v>30642</x:v>
      </x:c>
    </x:row>
    <x:row r="9">
      <x:c r="A9" s="4" t="str">
        <x:v>Forecast variance (ZAR)</x:v>
      </x:c>
      <x:c r="B9" s="29" t="n">
        <x:f>'Budget Model'!G17</x:f>
        <x:v>824600.6000000001</x:v>
      </x:c>
      <x:c r="D9" t="str">
        <x:f>'Budget Model'!A10</x:f>
        <x:v>Printing</x:v>
      </x:c>
      <x:c r="E9" s="20" t="n">
        <x:f>'Budget Model'!B10</x:f>
        <x:v>60000</x:v>
      </x:c>
      <x:c r="F9" s="20" t="n">
        <x:f>'Budget Model'!C10</x:f>
        <x:v>25272</x:v>
      </x:c>
      <x:c r="G9" s="20" t="n">
        <x:f>'Budget Model'!F10</x:f>
        <x:v>37900</x:v>
      </x:c>
      <x:c r="H9" s="20" t="n">
        <x:f>'Budget Model'!G10</x:f>
        <x:v>22100</x:v>
      </x:c>
    </x:row>
    <x:row r="10">
      <x:c r="A10" s="4" t="str">
        <x:v>Projected budget use</x:v>
      </x:c>
      <x:c r="B10" s="30" t="n">
        <x:f>IFERROR(B8/B5,0)</x:f>
        <x:v>0.5887278802992518</x:v>
      </x:c>
      <x:c r="D10" t="str">
        <x:f>'Budget Model'!A11</x:f>
        <x:v>Training</x:v>
      </x:c>
      <x:c r="E10" s="20" t="n">
        <x:f>'Budget Model'!B11</x:f>
        <x:v>120000</x:v>
      </x:c>
      <x:c r="F10" s="20" t="n">
        <x:f>'Budget Model'!C11</x:f>
        <x:v>90296</x:v>
      </x:c>
      <x:c r="G10" s="20" t="n">
        <x:f>'Budget Model'!F11</x:f>
        <x:v>118296</x:v>
      </x:c>
      <x:c r="H10" s="20" t="n">
        <x:f>'Budget Model'!G11</x:f>
        <x:v>1704</x:v>
      </x:c>
    </x:row>
    <x:row r="11">
      <x:c r="A11" s="4" t="str">
        <x:v>Ready actual transactions</x:v>
      </x:c>
      <x:c r="B11" s="31" t="n">
        <x:f>COUNTIFS('Clean Actuals'!$L$6:$L$155,"Ready",'Clean Actuals'!$I$6:$I$155,"Include")</x:f>
        <x:v>68</x:v>
      </x:c>
      <x:c r="D11" t="str">
        <x:f>'Budget Model'!A12</x:f>
        <x:v>Site visits</x:v>
      </x:c>
      <x:c r="E11" s="20" t="n">
        <x:f>'Budget Model'!B12</x:f>
        <x:v>110000</x:v>
      </x:c>
      <x:c r="F11" s="20" t="n">
        <x:f>'Budget Model'!C12</x:f>
        <x:v>45095</x:v>
      </x:c>
      <x:c r="G11" s="20" t="n">
        <x:f>'Budget Model'!F12</x:f>
        <x:v>81095</x:v>
      </x:c>
      <x:c r="H11" s="20" t="n">
        <x:f>'Budget Model'!G12</x:f>
        <x:v>28905</x:v>
      </x:c>
    </x:row>
    <x:row r="12">
      <x:c r="A12" s="4" t="str">
        <x:v>Transactions requiring review</x:v>
      </x:c>
      <x:c r="B12" s="31" t="n">
        <x:f>COUNTIF('Clean Actuals'!$L$6:$L$155,"Review")</x:f>
        <x:v>23</x:v>
      </x:c>
      <x:c r="D12" t="str">
        <x:f>'Budget Model'!A13</x:f>
        <x:v>Events</x:v>
      </x:c>
      <x:c r="E12" s="20" t="n">
        <x:f>'Budget Model'!B13</x:f>
        <x:v>180000</x:v>
      </x:c>
      <x:c r="F12" s="20" t="n">
        <x:f>'Budget Model'!C13</x:f>
        <x:v>58596</x:v>
      </x:c>
      <x:c r="G12" s="20" t="n">
        <x:f>'Budget Model'!F13</x:f>
        <x:v>130596</x:v>
      </x:c>
      <x:c r="H12" s="20" t="n">
        <x:f>'Budget Model'!G13</x:f>
        <x:v>49404</x:v>
      </x:c>
    </x:row>
    <x:row r="13">
      <x:c r="D13" t="str">
        <x:f>'Budget Model'!A14</x:f>
        <x:v>Venue</x:v>
      </x:c>
      <x:c r="E13" s="20" t="n">
        <x:f>'Budget Model'!B14</x:f>
        <x:v>110000</x:v>
      </x:c>
      <x:c r="F13" s="20" t="n">
        <x:f>'Budget Model'!C14</x:f>
        <x:v>50397</x:v>
      </x:c>
      <x:c r="G13" s="20" t="n">
        <x:f>'Budget Model'!F14</x:f>
        <x:v>92897</x:v>
      </x:c>
      <x:c r="H13" s="20" t="n">
        <x:f>'Budget Model'!G14</x:f>
        <x:v>17103</x:v>
      </x:c>
    </x:row>
    <x:row r="14">
      <x:c r="D14" t="str">
        <x:f>'Budget Model'!A15</x:f>
        <x:v>Administration</x:v>
      </x:c>
      <x:c r="E14" s="20" t="n">
        <x:f>'Budget Model'!B15</x:f>
        <x:v>550000</x:v>
      </x:c>
      <x:c r="F14" s="20" t="n">
        <x:f>'Budget Model'!C15</x:f>
        <x:v>27795</x:v>
      </x:c>
      <x:c r="G14" s="20" t="n">
        <x:f>'Budget Model'!F15</x:f>
        <x:v>279795</x:v>
      </x:c>
      <x:c r="H14" s="20" t="n">
        <x:f>'Budget Model'!G15</x:f>
        <x:v>270205</x:v>
      </x:c>
    </x:row>
    <x:row r="15">
      <x:c r="D15" t="str">
        <x:f>'Budget Model'!A16</x:f>
        <x:v>Contingency</x:v>
      </x:c>
      <x:c r="E15" s="20" t="n">
        <x:f>'Budget Model'!B16</x:f>
        <x:v>250000</x:v>
      </x:c>
      <x:c r="F15" s="20" t="n">
        <x:f>'Budget Model'!C16</x:f>
        <x:v>0</x:v>
      </x:c>
      <x:c r="G15" s="20" t="n">
        <x:f>'Budget Model'!F16</x:f>
        <x:v>60238.40000000001</x:v>
      </x:c>
      <x:c r="H15" s="20" t="n">
        <x:f>'Budget Model'!G16</x:f>
        <x:v>189761.59999999998</x:v>
      </x:c>
    </x:row>
    <x:row r="34" ht="32" customHeight="1">
      <x:c r="A34" s="34" t="str">
        <x:v>Control interpretation</x:v>
      </x:c>
      <x:c r="B34" s="34" t="str">
        <x:v>Actuals to cut-off + remaining forecast = EAC.</x:v>
      </x:c>
      <x:c r="C34" s="34" t="str"/>
      <x:c r="D34" s="34" t="str"/>
      <x:c r="E34" s="34" t="str"/>
      <x:c r="F34" s="34" t="str"/>
    </x:row>
  </x:sheetData>
  <x:pageMargins left="0.7" right="0.7" top="0.75" bottom="0.75" header="0.3" footer="0.3"/>
  <x:drawing xmlns:r="http://schemas.openxmlformats.org/officeDocument/2006/relationships" r:id="R5c8e8cd74ab54795"/>
</x:worksheet>
</file>

<file path=xl/worksheets/sheet2.xml><?xml version="1.0" encoding="utf-8"?>
<x:worksheet xmlns:x="http://schemas.openxmlformats.org/spreadsheetml/2006/main">
  <x:sheetPr>
    <x:tabColor rgb="FF50786B"/>
  </x:sheetPr>
  <x:sheetViews>
    <x:sheetView workbookViewId="0">
      <x:pane ySplit="7" topLeftCell="A8" activePane="bottomLeft" state="frozen"/>
    </x:sheetView>
  </x:sheetViews>
  <x:sheetFormatPr defaultRowHeight="15"/>
  <x:cols>
    <x:col min="1" max="1" width="38" hidden="0" customWidth="1"/>
    <x:col min="2" max="2" width="34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4" hidden="0" customWidth="1"/>
    <x:col min="8" max="8" width="20" hidden="0" customWidth="1"/>
  </x:cols>
  <x:sheetData>
    <x:row r="1">
      <x:c r="A1" s="1" t="str">
        <x:v>Scenario Drivers and Monthly Plan</x:v>
      </x:c>
    </x:row>
    <x:row r="2">
      <x:c r="A2" s="2" t="str">
        <x:v>Change the scenario and blue input cells; the plan, forecast and estimate at completion recalculate</x:v>
      </x:c>
    </x:row>
    <x:row r="4">
      <x:c r="A4" s="4" t="str">
        <x:v>Scenario selected</x:v>
      </x:c>
      <x:c r="B4" s="6" t="str">
        <x:v>Base</x:v>
      </x:c>
    </x:row>
    <x:row r="5">
      <x:c r="A5" s="4" t="str">
        <x:v>Actuals through date</x:v>
      </x:c>
      <x:c r="B5" s="7" t="d">
        <x:v>2027-06-30T00:00:00.000Z</x:v>
      </x:c>
    </x:row>
    <x:row r="7" ht="30" customHeight="1">
      <x:c r="A7" s="12" t="str">
        <x:v>Driver</x:v>
      </x:c>
      <x:c r="B7" s="12" t="str">
        <x:v>Unit</x:v>
      </x:c>
      <x:c r="C7" s="12" t="str">
        <x:v>Active selection</x:v>
      </x:c>
      <x:c r="D7" s="12" t="str">
        <x:v>Base</x:v>
      </x:c>
      <x:c r="E7" s="12" t="str">
        <x:v>Downside</x:v>
      </x:c>
      <x:c r="F7" s="12" t="str">
        <x:v>Upside</x:v>
      </x:c>
    </x:row>
    <x:row r="8">
      <x:c r="A8" t="str">
        <x:v>Active schools</x:v>
      </x:c>
      <x:c r="B8" t="str">
        <x:v>count</x:v>
      </x:c>
      <x:c r="C8" s="15" t="n">
        <x:f>IF($B$4="Base",D8,IF($B$4="Downside",E8,F8))</x:f>
        <x:v>8</x:v>
      </x:c>
      <x:c r="D8" s="35" t="n">
        <x:v>8</x:v>
      </x:c>
      <x:c r="E8" s="35" t="n">
        <x:v>6</x:v>
      </x:c>
      <x:c r="F8" s="35" t="n">
        <x:v>8</x:v>
      </x:c>
    </x:row>
    <x:row r="9">
      <x:c r="A9" t="str">
        <x:v>Learners per workshop</x:v>
      </x:c>
      <x:c r="B9" t="str">
        <x:v>learners</x:v>
      </x:c>
      <x:c r="C9" s="15" t="n">
        <x:f>IF($B$4="Base",D9,IF($B$4="Downside",E9,F9))</x:f>
        <x:v>22</x:v>
      </x:c>
      <x:c r="D9" s="35" t="n">
        <x:v>22</x:v>
      </x:c>
      <x:c r="E9" s="35" t="n">
        <x:v>20</x:v>
      </x:c>
      <x:c r="F9" s="35" t="n">
        <x:v>24</x:v>
      </x:c>
    </x:row>
    <x:row r="10">
      <x:c r="A10" t="str">
        <x:v>Attendance rate</x:v>
      </x:c>
      <x:c r="B10" t="str">
        <x:v>%</x:v>
      </x:c>
      <x:c r="C10" s="15" t="n">
        <x:f>IF($B$4="Base",D10,IF($B$4="Downside",E10,F10))</x:f>
        <x:v>0.82</x:v>
      </x:c>
      <x:c r="D10" s="36" t="n">
        <x:v>0.82</x:v>
      </x:c>
      <x:c r="E10" s="36" t="n">
        <x:v>0.7</x:v>
      </x:c>
      <x:c r="F10" s="36" t="n">
        <x:v>0.9</x:v>
      </x:c>
    </x:row>
    <x:row r="11">
      <x:c r="A11" t="str">
        <x:v>Workshops per school per year</x:v>
      </x:c>
      <x:c r="B11" t="str">
        <x:v>sessions</x:v>
      </x:c>
      <x:c r="C11" s="15" t="n">
        <x:f>IF($B$4="Base",D11,IF($B$4="Downside",E11,F11))</x:f>
        <x:v>6</x:v>
      </x:c>
      <x:c r="D11" s="35" t="n">
        <x:v>6</x:v>
      </x:c>
      <x:c r="E11" s="35" t="n">
        <x:v>5</x:v>
      </x:c>
      <x:c r="F11" s="35" t="n">
        <x:v>7</x:v>
      </x:c>
    </x:row>
    <x:row r="12">
      <x:c r="A12" t="str">
        <x:v>Facilitators per workshop</x:v>
      </x:c>
      <x:c r="B12" t="str">
        <x:v>people</x:v>
      </x:c>
      <x:c r="C12" s="15" t="n">
        <x:f>IF($B$4="Base",D12,IF($B$4="Downside",E12,F12))</x:f>
        <x:v>2</x:v>
      </x:c>
      <x:c r="D12" s="35" t="n">
        <x:v>2</x:v>
      </x:c>
      <x:c r="E12" s="35" t="n">
        <x:v>2</x:v>
      </x:c>
      <x:c r="F12" s="35" t="n">
        <x:v>2</x:v>
      </x:c>
    </x:row>
    <x:row r="13">
      <x:c r="A13" t="str">
        <x:v>Facilitator cost per person per session</x:v>
      </x:c>
      <x:c r="B13" t="str">
        <x:v>ZAR</x:v>
      </x:c>
      <x:c r="C13" s="15" t="n">
        <x:f>IF($B$4="Base",D13,IF($B$4="Downside",E13,F13))</x:f>
        <x:v>450</x:v>
      </x:c>
      <x:c r="D13" s="37" t="n">
        <x:v>450</x:v>
      </x:c>
      <x:c r="E13" s="37" t="n">
        <x:v>500</x:v>
      </x:c>
      <x:c r="F13" s="37" t="n">
        <x:v>450</x:v>
      </x:c>
    </x:row>
    <x:row r="14">
      <x:c r="A14" t="str">
        <x:v>Catering per learner attendance</x:v>
      </x:c>
      <x:c r="B14" t="str">
        <x:v>ZAR</x:v>
      </x:c>
      <x:c r="C14" s="15" t="n">
        <x:f>IF($B$4="Base",D14,IF($B$4="Downside",E14,F14))</x:f>
        <x:v>70</x:v>
      </x:c>
      <x:c r="D14" s="37" t="n">
        <x:v>70</x:v>
      </x:c>
      <x:c r="E14" s="37" t="n">
        <x:v>75</x:v>
      </x:c>
      <x:c r="F14" s="37" t="n">
        <x:v>68</x:v>
      </x:c>
    </x:row>
    <x:row r="15">
      <x:c r="A15" t="str">
        <x:v>Learners per taxi</x:v>
      </x:c>
      <x:c r="B15" t="str">
        <x:v>learners</x:v>
      </x:c>
      <x:c r="C15" s="15" t="n">
        <x:f>IF($B$4="Base",D15,IF($B$4="Downside",E15,F15))</x:f>
        <x:v>15</x:v>
      </x:c>
      <x:c r="D15" s="35" t="n">
        <x:v>15</x:v>
      </x:c>
      <x:c r="E15" s="35" t="n">
        <x:v>15</x:v>
      </x:c>
      <x:c r="F15" s="35" t="n">
        <x:v>15</x:v>
      </x:c>
    </x:row>
    <x:row r="16">
      <x:c r="A16" t="str">
        <x:v>Taxi cost per trip</x:v>
      </x:c>
      <x:c r="B16" t="str">
        <x:v>ZAR</x:v>
      </x:c>
      <x:c r="C16" s="15" t="n">
        <x:f>IF($B$4="Base",D16,IF($B$4="Downside",E16,F16))</x:f>
        <x:v>2200</x:v>
      </x:c>
      <x:c r="D16" s="37" t="n">
        <x:v>2200</x:v>
      </x:c>
      <x:c r="E16" s="37" t="n">
        <x:v>2400</x:v>
      </x:c>
      <x:c r="F16" s="37" t="n">
        <x:v>2200</x:v>
      </x:c>
    </x:row>
    <x:row r="17">
      <x:c r="A17" t="str">
        <x:v>Materials per workshop</x:v>
      </x:c>
      <x:c r="B17" t="str">
        <x:v>ZAR</x:v>
      </x:c>
      <x:c r="C17" s="15" t="n">
        <x:f>IF($B$4="Base",D17,IF($B$4="Downside",E17,F17))</x:f>
        <x:v>1400</x:v>
      </x:c>
      <x:c r="D17" s="37" t="n">
        <x:v>1400</x:v>
      </x:c>
      <x:c r="E17" s="37" t="n">
        <x:v>1650</x:v>
      </x:c>
      <x:c r="F17" s="37" t="n">
        <x:v>1300</x:v>
      </x:c>
    </x:row>
    <x:row r="18">
      <x:c r="A18" t="str">
        <x:v>Printing per learner attendance</x:v>
      </x:c>
      <x:c r="B18" t="str">
        <x:v>ZAR</x:v>
      </x:c>
      <x:c r="C18" s="15" t="n">
        <x:f>IF($B$4="Base",D18,IF($B$4="Downside",E18,F18))</x:f>
        <x:v>35</x:v>
      </x:c>
      <x:c r="D18" s="37" t="n">
        <x:v>35</x:v>
      </x:c>
      <x:c r="E18" s="37" t="n">
        <x:v>40</x:v>
      </x:c>
      <x:c r="F18" s="37" t="n">
        <x:v>32</x:v>
      </x:c>
    </x:row>
    <x:row r="19">
      <x:c r="A19" t="str">
        <x:v>Training participants per session</x:v>
      </x:c>
      <x:c r="B19" t="str">
        <x:v>people</x:v>
      </x:c>
      <x:c r="C19" s="15" t="n">
        <x:f>IF($B$4="Base",D19,IF($B$4="Downside",E19,F19))</x:f>
        <x:v>20</x:v>
      </x:c>
      <x:c r="D19" s="37" t="n">
        <x:v>20</x:v>
      </x:c>
      <x:c r="E19" s="37" t="n">
        <x:v>16</x:v>
      </x:c>
      <x:c r="F19" s="37" t="n">
        <x:v>22</x:v>
      </x:c>
    </x:row>
    <x:row r="20">
      <x:c r="A20" t="str">
        <x:v>Training cost per participant</x:v>
      </x:c>
      <x:c r="B20" t="str">
        <x:v>ZAR</x:v>
      </x:c>
      <x:c r="C20" s="15" t="n">
        <x:f>IF($B$4="Base",D20,IF($B$4="Downside",E20,F20))</x:f>
        <x:v>1400</x:v>
      </x:c>
      <x:c r="D20" s="37" t="n">
        <x:v>1400</x:v>
      </x:c>
      <x:c r="E20" s="37" t="n">
        <x:v>1550</x:v>
      </x:c>
      <x:c r="F20" s="37" t="n">
        <x:v>1350</x:v>
      </x:c>
    </x:row>
    <x:row r="21">
      <x:c r="A21" t="str">
        <x:v>Site visit cost per visit</x:v>
      </x:c>
      <x:c r="B21" t="str">
        <x:v>ZAR</x:v>
      </x:c>
      <x:c r="C21" s="15" t="n">
        <x:f>IF($B$4="Base",D21,IF($B$4="Downside",E21,F21))</x:f>
        <x:v>4500</x:v>
      </x:c>
      <x:c r="D21" s="37" t="n">
        <x:v>4500</x:v>
      </x:c>
      <x:c r="E21" s="37" t="n">
        <x:v>5000</x:v>
      </x:c>
      <x:c r="F21" s="37" t="n">
        <x:v>4200</x:v>
      </x:c>
    </x:row>
    <x:row r="22">
      <x:c r="A22" t="str">
        <x:v>Recognition event cost</x:v>
      </x:c>
      <x:c r="B22" t="str">
        <x:v>ZAR</x:v>
      </x:c>
      <x:c r="C22" s="15" t="n">
        <x:f>IF($B$4="Base",D22,IF($B$4="Downside",E22,F22))</x:f>
        <x:v>18000</x:v>
      </x:c>
      <x:c r="D22" s="37" t="n">
        <x:v>18000</x:v>
      </x:c>
      <x:c r="E22" s="37" t="n">
        <x:v>21000</x:v>
      </x:c>
      <x:c r="F22" s="37" t="n">
        <x:v>17000</x:v>
      </x:c>
    </x:row>
    <x:row r="23">
      <x:c r="A23" t="str">
        <x:v>Venue cost per training or event</x:v>
      </x:c>
      <x:c r="B23" t="str">
        <x:v>ZAR</x:v>
      </x:c>
      <x:c r="C23" s="15" t="n">
        <x:f>IF($B$4="Base",D23,IF($B$4="Downside",E23,F23))</x:f>
        <x:v>8500</x:v>
      </x:c>
      <x:c r="D23" s="37" t="n">
        <x:v>8500</x:v>
      </x:c>
      <x:c r="E23" s="37" t="n">
        <x:v>9500</x:v>
      </x:c>
      <x:c r="F23" s="37" t="n">
        <x:v>8000</x:v>
      </x:c>
    </x:row>
    <x:row r="24">
      <x:c r="A24" t="str">
        <x:v>Monthly administration cost</x:v>
      </x:c>
      <x:c r="B24" t="str">
        <x:v>ZAR</x:v>
      </x:c>
      <x:c r="C24" s="15" t="n">
        <x:f>IF($B$4="Base",D24,IF($B$4="Downside",E24,F24))</x:f>
        <x:v>42000</x:v>
      </x:c>
      <x:c r="D24" s="37" t="n">
        <x:v>42000</x:v>
      </x:c>
      <x:c r="E24" s="37" t="n">
        <x:v>48000</x:v>
      </x:c>
      <x:c r="F24" s="37" t="n">
        <x:v>42000</x:v>
      </x:c>
    </x:row>
    <x:row r="25">
      <x:c r="A25" t="str">
        <x:v>Contingency rate</x:v>
      </x:c>
      <x:c r="B25" t="str">
        <x:v>%</x:v>
      </x:c>
      <x:c r="C25" s="15" t="n">
        <x:f>IF($B$4="Base",D25,IF($B$4="Downside",E25,F25))</x:f>
        <x:v>0.1</x:v>
      </x:c>
      <x:c r="D25" s="36" t="n">
        <x:v>0.1</x:v>
      </x:c>
      <x:c r="E25" s="36" t="n">
        <x:v>0.12</x:v>
      </x:c>
      <x:c r="F25" s="36" t="n">
        <x:v>0.08</x:v>
      </x:c>
    </x:row>
    <x:row r="28" ht="30" customHeight="1">
      <x:c r="A28" s="12" t="str">
        <x:v>Month</x:v>
      </x:c>
      <x:c r="B28" s="12" t="str">
        <x:v>Base workshops</x:v>
      </x:c>
      <x:c r="C28" s="12" t="str">
        <x:v>Downside workshops</x:v>
      </x:c>
      <x:c r="D28" s="12" t="str">
        <x:v>Upside workshops</x:v>
      </x:c>
      <x:c r="E28" s="12" t="str">
        <x:v>Active workshops</x:v>
      </x:c>
      <x:c r="F28" s="12" t="str">
        <x:v>Training sessions</x:v>
      </x:c>
      <x:c r="G28" s="12" t="str">
        <x:v>Site visits</x:v>
      </x:c>
      <x:c r="H28" s="12" t="str">
        <x:v>Recognition events</x:v>
      </x:c>
    </x:row>
    <x:row r="29">
      <x:c r="A29" s="16" t="d">
        <x:v>2027-01-01T00:00:00.000Z</x:v>
      </x:c>
      <x:c r="B29" s="13" t="n">
        <x:v>0</x:v>
      </x:c>
      <x:c r="C29" s="13" t="n">
        <x:v>0</x:v>
      </x:c>
      <x:c r="D29" s="13" t="n">
        <x:v>0</x:v>
      </x:c>
      <x:c r="E29" s="15" t="n">
        <x:f>IF($B$4="Base",B29,IF($B$4="Downside",C29,D29))</x:f>
        <x:v>0</x:v>
      </x:c>
      <x:c r="F29" s="13" t="n">
        <x:v>0</x:v>
      </x:c>
      <x:c r="G29" s="13" t="n">
        <x:v>0</x:v>
      </x:c>
      <x:c r="H29" s="13" t="n">
        <x:v>0</x:v>
      </x:c>
    </x:row>
    <x:row r="30">
      <x:c r="A30" s="16" t="d">
        <x:v>2027-02-01T00:00:00.000Z</x:v>
      </x:c>
      <x:c r="B30" s="13" t="n">
        <x:v>4</x:v>
      </x:c>
      <x:c r="C30" s="13" t="n">
        <x:v>3</x:v>
      </x:c>
      <x:c r="D30" s="13" t="n">
        <x:v>4</x:v>
      </x:c>
      <x:c r="E30" s="15" t="n">
        <x:f>IF($B$4="Base",B30,IF($B$4="Downside",C30,D30))</x:f>
        <x:v>4</x:v>
      </x:c>
      <x:c r="F30" s="13" t="n">
        <x:v>0</x:v>
      </x:c>
      <x:c r="G30" s="13" t="n">
        <x:v>0</x:v>
      </x:c>
      <x:c r="H30" s="13" t="n">
        <x:v>0</x:v>
      </x:c>
    </x:row>
    <x:row r="31">
      <x:c r="A31" s="16" t="d">
        <x:v>2027-03-01T00:00:00.000Z</x:v>
      </x:c>
      <x:c r="B31" s="13" t="n">
        <x:v>6</x:v>
      </x:c>
      <x:c r="C31" s="13" t="n">
        <x:v>5</x:v>
      </x:c>
      <x:c r="D31" s="13" t="n">
        <x:v>7</x:v>
      </x:c>
      <x:c r="E31" s="15" t="n">
        <x:f>IF($B$4="Base",B31,IF($B$4="Downside",C31,D31))</x:f>
        <x:v>6</x:v>
      </x:c>
      <x:c r="F31" s="13" t="n">
        <x:v>0</x:v>
      </x:c>
      <x:c r="G31" s="13" t="n">
        <x:v>2</x:v>
      </x:c>
      <x:c r="H31" s="13" t="n">
        <x:v>0</x:v>
      </x:c>
    </x:row>
    <x:row r="32">
      <x:c r="A32" s="16" t="d">
        <x:v>2027-04-01T00:00:00.000Z</x:v>
      </x:c>
      <x:c r="B32" s="13" t="n">
        <x:v>6</x:v>
      </x:c>
      <x:c r="C32" s="13" t="n">
        <x:v>5</x:v>
      </x:c>
      <x:c r="D32" s="13" t="n">
        <x:v>7</x:v>
      </x:c>
      <x:c r="E32" s="15" t="n">
        <x:f>IF($B$4="Base",B32,IF($B$4="Downside",C32,D32))</x:f>
        <x:v>6</x:v>
      </x:c>
      <x:c r="F32" s="13" t="n">
        <x:v>1</x:v>
      </x:c>
      <x:c r="G32" s="13" t="n">
        <x:v>2</x:v>
      </x:c>
      <x:c r="H32" s="13" t="n">
        <x:v>0</x:v>
      </x:c>
    </x:row>
    <x:row r="33">
      <x:c r="A33" s="16" t="d">
        <x:v>2027-05-01T00:00:00.000Z</x:v>
      </x:c>
      <x:c r="B33" s="13" t="n">
        <x:v>6</x:v>
      </x:c>
      <x:c r="C33" s="13" t="n">
        <x:v>5</x:v>
      </x:c>
      <x:c r="D33" s="13" t="n">
        <x:v>7</x:v>
      </x:c>
      <x:c r="E33" s="15" t="n">
        <x:f>IF($B$4="Base",B33,IF($B$4="Downside",C33,D33))</x:f>
        <x:v>6</x:v>
      </x:c>
      <x:c r="F33" s="13" t="n">
        <x:v>0</x:v>
      </x:c>
      <x:c r="G33" s="13" t="n">
        <x:v>2</x:v>
      </x:c>
      <x:c r="H33" s="13" t="n">
        <x:v>0</x:v>
      </x:c>
    </x:row>
    <x:row r="34">
      <x:c r="A34" s="16" t="d">
        <x:v>2027-06-01T00:00:00.000Z</x:v>
      </x:c>
      <x:c r="B34" s="13" t="n">
        <x:v>6</x:v>
      </x:c>
      <x:c r="C34" s="13" t="n">
        <x:v>5</x:v>
      </x:c>
      <x:c r="D34" s="13" t="n">
        <x:v>7</x:v>
      </x:c>
      <x:c r="E34" s="15" t="n">
        <x:f>IF($B$4="Base",B34,IF($B$4="Downside",C34,D34))</x:f>
        <x:v>6</x:v>
      </x:c>
      <x:c r="F34" s="13" t="n">
        <x:v>0</x:v>
      </x:c>
      <x:c r="G34" s="13" t="n">
        <x:v>2</x:v>
      </x:c>
      <x:c r="H34" s="13" t="n">
        <x:v>4</x:v>
      </x:c>
    </x:row>
    <x:row r="35">
      <x:c r="A35" s="16" t="d">
        <x:v>2027-07-01T00:00:00.000Z</x:v>
      </x:c>
      <x:c r="B35" s="13" t="n">
        <x:v>6</x:v>
      </x:c>
      <x:c r="C35" s="13" t="n">
        <x:v>5</x:v>
      </x:c>
      <x:c r="D35" s="13" t="n">
        <x:v>7</x:v>
      </x:c>
      <x:c r="E35" s="15" t="n">
        <x:f>IF($B$4="Base",B35,IF($B$4="Downside",C35,D35))</x:f>
        <x:v>6</x:v>
      </x:c>
      <x:c r="F35" s="13" t="n">
        <x:v>0</x:v>
      </x:c>
      <x:c r="G35" s="13" t="n">
        <x:v>2</x:v>
      </x:c>
      <x:c r="H35" s="13" t="n">
        <x:v>0</x:v>
      </x:c>
    </x:row>
    <x:row r="36">
      <x:c r="A36" s="16" t="d">
        <x:v>2027-08-01T00:00:00.000Z</x:v>
      </x:c>
      <x:c r="B36" s="13" t="n">
        <x:v>5</x:v>
      </x:c>
      <x:c r="C36" s="13" t="n">
        <x:v>4</x:v>
      </x:c>
      <x:c r="D36" s="13" t="n">
        <x:v>6</x:v>
      </x:c>
      <x:c r="E36" s="15" t="n">
        <x:f>IF($B$4="Base",B36,IF($B$4="Downside",C36,D36))</x:f>
        <x:v>5</x:v>
      </x:c>
      <x:c r="F36" s="13" t="n">
        <x:v>1</x:v>
      </x:c>
      <x:c r="G36" s="13" t="n">
        <x:v>2</x:v>
      </x:c>
      <x:c r="H36" s="13" t="n">
        <x:v>0</x:v>
      </x:c>
    </x:row>
    <x:row r="37">
      <x:c r="A37" s="16" t="d">
        <x:v>2027-09-01T00:00:00.000Z</x:v>
      </x:c>
      <x:c r="B37" s="13" t="n">
        <x:v>4</x:v>
      </x:c>
      <x:c r="C37" s="13" t="n">
        <x:v>3</x:v>
      </x:c>
      <x:c r="D37" s="13" t="n">
        <x:v>5</x:v>
      </x:c>
      <x:c r="E37" s="15" t="n">
        <x:f>IF($B$4="Base",B37,IF($B$4="Downside",C37,D37))</x:f>
        <x:v>4</x:v>
      </x:c>
      <x:c r="F37" s="13" t="n">
        <x:v>0</x:v>
      </x:c>
      <x:c r="G37" s="13" t="n">
        <x:v>2</x:v>
      </x:c>
      <x:c r="H37" s="13" t="n">
        <x:v>0</x:v>
      </x:c>
    </x:row>
    <x:row r="38">
      <x:c r="A38" s="16" t="d">
        <x:v>2027-10-01T00:00:00.000Z</x:v>
      </x:c>
      <x:c r="B38" s="13" t="n">
        <x:v>3</x:v>
      </x:c>
      <x:c r="C38" s="13" t="n">
        <x:v>3</x:v>
      </x:c>
      <x:c r="D38" s="13" t="n">
        <x:v>3</x:v>
      </x:c>
      <x:c r="E38" s="15" t="n">
        <x:f>IF($B$4="Base",B38,IF($B$4="Downside",C38,D38))</x:f>
        <x:v>3</x:v>
      </x:c>
      <x:c r="F38" s="13" t="n">
        <x:v>0</x:v>
      </x:c>
      <x:c r="G38" s="13" t="n">
        <x:v>1</x:v>
      </x:c>
      <x:c r="H38" s="13" t="n">
        <x:v>0</x:v>
      </x:c>
    </x:row>
    <x:row r="39">
      <x:c r="A39" s="16" t="d">
        <x:v>2027-11-01T00:00:00.000Z</x:v>
      </x:c>
      <x:c r="B39" s="13" t="n">
        <x:v>2</x:v>
      </x:c>
      <x:c r="C39" s="13" t="n">
        <x:v>2</x:v>
      </x:c>
      <x:c r="D39" s="13" t="n">
        <x:v>3</x:v>
      </x:c>
      <x:c r="E39" s="15" t="n">
        <x:f>IF($B$4="Base",B39,IF($B$4="Downside",C39,D39))</x:f>
        <x:v>2</x:v>
      </x:c>
      <x:c r="F39" s="13" t="n">
        <x:v>0</x:v>
      </x:c>
      <x:c r="G39" s="13" t="n">
        <x:v>1</x:v>
      </x:c>
      <x:c r="H39" s="13" t="n">
        <x:v>4</x:v>
      </x:c>
    </x:row>
    <x:row r="40">
      <x:c r="A40" s="16" t="d">
        <x:v>2027-12-01T00:00:00.000Z</x:v>
      </x:c>
      <x:c r="B40" s="13" t="n">
        <x:v>0</x:v>
      </x:c>
      <x:c r="C40" s="13" t="n">
        <x:v>0</x:v>
      </x:c>
      <x:c r="D40" s="13" t="n">
        <x:v>0</x:v>
      </x:c>
      <x:c r="E40" s="15" t="n">
        <x:f>IF($B$4="Base",B40,IF($B$4="Downside",C40,D40))</x:f>
        <x:v>0</x:v>
      </x:c>
      <x:c r="F40" s="13" t="n">
        <x:v>0</x:v>
      </x:c>
      <x:c r="G40" s="13" t="n">
        <x:v>0</x:v>
      </x:c>
      <x:c r="H40" s="13" t="n">
        <x:v>0</x:v>
      </x:c>
    </x:row>
    <x:row r="43" ht="40" customHeight="1">
      <x:c r="A43" s="4" t="str">
        <x:v>Model conventions</x:v>
      </x:c>
      <x:c r="B43" s="17" t="str">
        <x:v>All amounts are ZAR; figures are synthetic. Scenario selector and blue cells are editable.</x:v>
      </x:c>
    </x:row>
    <x:row r="44" ht="40" customHeight="1">
      <x:c r="A44" s="4" t="str">
        <x:v>Downside case</x:v>
      </x:c>
      <x:c r="B44" s="17" t="str">
        <x:v>Lower delivery volume with higher unit rates and contingency to represent cost pressure.</x:v>
      </x:c>
    </x:row>
    <x:row r="45" ht="40" customHeight="1">
      <x:c r="A45" s="4" t="str">
        <x:v>Upside case</x:v>
      </x:c>
      <x:c r="B45" s="17" t="str">
        <x:v>Higher delivery volume with lower unit rates and contingency; higher reach can still increase total spend.</x:v>
      </x:c>
    </x:row>
    <x:row r="46" ht="40" customHeight="1">
      <x:c r="A46" s="4" t="str">
        <x:v>Recognized actual</x:v>
      </x:c>
      <x:c r="B46" s="17" t="str">
        <x:v>Paid or Approved transactions with Ready data quality status, dated on or before the cut-off.</x:v>
      </x:c>
    </x:row>
    <x:row r="47" ht="40" customHeight="1">
      <x:c r="A47" s="4" t="str">
        <x:v>Estimate at completion</x:v>
      </x:c>
      <x:c r="B47" s="17" t="str">
        <x:v>Recognized actuals through the cut-off plus forecast for periods after the cut-off.</x:v>
      </x:c>
    </x:row>
    <x:row r="48" ht="40" customHeight="1">
      <x:c r="A48" s="4" t="str">
        <x:v>Contingency</x:v>
      </x:c>
      <x:c r="B48" s="17" t="str">
        <x:v>Scenario rate × forecast cost before contingency; not treated as an approved budget line.</x:v>
      </x:c>
    </x:row>
  </x:sheetData>
  <x:dataValidations count="1">
    <x:dataValidation type="list" sqref="B4">
      <x:formula1>"Base,Downside,Upside"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5584D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6" hidden="0" customWidth="1"/>
    <x:col min="5" max="5" width="19" hidden="0" customWidth="1"/>
    <x:col min="6" max="6" width="20" hidden="0" customWidth="1"/>
    <x:col min="7" max="7" width="21" hidden="0" customWidth="1"/>
    <x:col min="8" max="8" width="17" hidden="0" customWidth="1"/>
    <x:col min="9" max="9" width="18" hidden="0" customWidth="1"/>
    <x:col min="10" max="10" width="18" hidden="0" customWidth="1"/>
    <x:col min="11" max="11" width="19" hidden="0" customWidth="1"/>
    <x:col min="12" max="12" width="17" hidden="0" customWidth="1"/>
    <x:col min="13" max="13" width="17" hidden="0" customWidth="1"/>
    <x:col min="14" max="14" width="17" hidden="0" customWidth="1"/>
    <x:col min="15" max="15" width="18" hidden="0" customWidth="1"/>
    <x:col min="16" max="16" width="17" hidden="0" customWidth="1"/>
    <x:col min="17" max="17" width="17" hidden="0" customWidth="1"/>
    <x:col min="18" max="18" width="20" hidden="0" customWidth="1"/>
    <x:col min="19" max="19" width="22" hidden="0" customWidth="1"/>
    <x:col min="20" max="20" width="18" hidden="0" customWidth="1"/>
    <x:col min="21" max="21" width="20" hidden="0" customWidth="1"/>
  </x:cols>
  <x:sheetData>
    <x:row r="1">
      <x:c r="A1" s="1" t="str">
        <x:v>Operational Drivers to Cost Forecast</x:v>
      </x:c>
    </x:row>
    <x:row r="2">
      <x:c r="A2" s="2" t="str">
        <x:v>Monthly session volumes and unit drivers build the forecast from activity volume to total cost</x:v>
      </x:c>
    </x:row>
    <x:row r="5" ht="30" customHeight="1">
      <x:c r="A5" s="12" t="str">
        <x:v>Month</x:v>
      </x:c>
      <x:c r="B5" s="12" t="str">
        <x:v>Workshop sessions</x:v>
      </x:c>
      <x:c r="C5" s="12" t="str">
        <x:v>Training sessions</x:v>
      </x:c>
      <x:c r="D5" s="12" t="str">
        <x:v>Site visits</x:v>
      </x:c>
      <x:c r="E5" s="12" t="str">
        <x:v>Recognition events</x:v>
      </x:c>
      <x:c r="F5" s="12" t="str">
        <x:v>Attendance / workshop</x:v>
      </x:c>
      <x:c r="G5" s="12" t="str">
        <x:v>Learner attendances</x:v>
      </x:c>
      <x:c r="H5" s="12" t="str">
        <x:v>Taxi trips</x:v>
      </x:c>
      <x:c r="I5" s="12" t="str">
        <x:v>Catering</x:v>
      </x:c>
      <x:c r="J5" s="12" t="str">
        <x:v>Transport</x:v>
      </x:c>
      <x:c r="K5" s="12" t="str">
        <x:v>Facilitation</x:v>
      </x:c>
      <x:c r="L5" s="12" t="str">
        <x:v>Materials</x:v>
      </x:c>
      <x:c r="M5" s="12" t="str">
        <x:v>Printing</x:v>
      </x:c>
      <x:c r="N5" s="12" t="str">
        <x:v>Training</x:v>
      </x:c>
      <x:c r="O5" s="12" t="str">
        <x:v>Site visits cost</x:v>
      </x:c>
      <x:c r="P5" s="12" t="str">
        <x:v>Events cost</x:v>
      </x:c>
      <x:c r="Q5" s="12" t="str">
        <x:v>Venue</x:v>
      </x:c>
      <x:c r="R5" s="12" t="str">
        <x:v>Administration</x:v>
      </x:c>
      <x:c r="S5" s="12" t="str">
        <x:v>Pre-contingency total</x:v>
      </x:c>
      <x:c r="T5" s="12" t="str">
        <x:v>Contingency</x:v>
      </x:c>
      <x:c r="U5" s="12" t="str">
        <x:v>Total forecast</x:v>
      </x:c>
    </x:row>
    <x:row r="6">
      <x:c r="A6" s="16" t="n">
        <x:f>'Assumptions'!A29</x:f>
        <x:v>46388</x:v>
      </x:c>
      <x:c r="B6" s="18" t="n">
        <x:f>'Assumptions'!E29</x:f>
        <x:v>0</x:v>
      </x:c>
      <x:c r="C6" s="18" t="n">
        <x:f>'Assumptions'!F29</x:f>
        <x:v>0</x:v>
      </x:c>
      <x:c r="D6" s="18" t="n">
        <x:f>'Assumptions'!G29</x:f>
        <x:v>0</x:v>
      </x:c>
      <x:c r="E6" s="18" t="n">
        <x:f>'Assumptions'!H29</x:f>
        <x:v>0</x:v>
      </x:c>
      <x:c r="F6" s="18" t="n">
        <x:f>'Assumptions'!$C$9*'Assumptions'!$C$10</x:f>
        <x:v>18.04</x:v>
      </x:c>
      <x:c r="G6" s="18" t="n">
        <x:f>B6*F6</x:f>
        <x:v>0</x:v>
      </x:c>
      <x:c r="H6" s="18" t="n">
        <x:f>B6*ROUNDUP(F6/'Assumptions'!$C$15,0)</x:f>
        <x:v>0</x:v>
      </x:c>
      <x:c r="I6" s="20" t="n">
        <x:f>G6*'Assumptions'!$C$14</x:f>
        <x:v>0</x:v>
      </x:c>
      <x:c r="J6" s="20" t="n">
        <x:f>H6*'Assumptions'!$C$16</x:f>
        <x:v>0</x:v>
      </x:c>
      <x:c r="K6" s="20" t="n">
        <x:f>B6*'Assumptions'!$C$12*'Assumptions'!$C$13</x:f>
        <x:v>0</x:v>
      </x:c>
      <x:c r="L6" s="20" t="n">
        <x:f>B6*'Assumptions'!$C$17</x:f>
        <x:v>0</x:v>
      </x:c>
      <x:c r="M6" s="20" t="n">
        <x:f>G6*'Assumptions'!$C$18</x:f>
        <x:v>0</x:v>
      </x:c>
      <x:c r="N6" s="20" t="n">
        <x:f>C6*'Assumptions'!$C$19*'Assumptions'!$C$20</x:f>
        <x:v>0</x:v>
      </x:c>
      <x:c r="O6" s="20" t="n">
        <x:f>D6*'Assumptions'!$C$21</x:f>
        <x:v>0</x:v>
      </x:c>
      <x:c r="P6" s="20" t="n">
        <x:f>E6*'Assumptions'!$C$22</x:f>
        <x:v>0</x:v>
      </x:c>
      <x:c r="Q6" s="20" t="n">
        <x:f>(C6+E6)*'Assumptions'!$C$23</x:f>
        <x:v>0</x:v>
      </x:c>
      <x:c r="R6" s="20" t="n">
        <x:f>'Assumptions'!$C$24</x:f>
        <x:v>42000</x:v>
      </x:c>
      <x:c r="S6" s="20" t="n">
        <x:f>SUM(I6:R6)</x:f>
        <x:v>42000</x:v>
      </x:c>
      <x:c r="T6" s="20" t="n">
        <x:f>S6*'Assumptions'!$C$25</x:f>
        <x:v>4200</x:v>
      </x:c>
      <x:c r="U6" s="20" t="n">
        <x:f>S6+T6</x:f>
        <x:v>46200</x:v>
      </x:c>
    </x:row>
    <x:row r="7">
      <x:c r="A7" s="16" t="n">
        <x:f>'Assumptions'!A30</x:f>
        <x:v>46419</x:v>
      </x:c>
      <x:c r="B7" s="18" t="n">
        <x:f>'Assumptions'!E30</x:f>
        <x:v>4</x:v>
      </x:c>
      <x:c r="C7" s="18" t="n">
        <x:f>'Assumptions'!F30</x:f>
        <x:v>0</x:v>
      </x:c>
      <x:c r="D7" s="18" t="n">
        <x:f>'Assumptions'!G30</x:f>
        <x:v>0</x:v>
      </x:c>
      <x:c r="E7" s="18" t="n">
        <x:f>'Assumptions'!H30</x:f>
        <x:v>0</x:v>
      </x:c>
      <x:c r="F7" s="18" t="n">
        <x:f>'Assumptions'!$C$9*'Assumptions'!$C$10</x:f>
        <x:v>18.04</x:v>
      </x:c>
      <x:c r="G7" s="18" t="n">
        <x:f>B7*F7</x:f>
        <x:v>72.16</x:v>
      </x:c>
      <x:c r="H7" s="18" t="n">
        <x:f>B7*ROUNDUP(F7/'Assumptions'!$C$15,0)</x:f>
        <x:v>8</x:v>
      </x:c>
      <x:c r="I7" s="20" t="n">
        <x:f>G7*'Assumptions'!$C$14</x:f>
        <x:v>5051.2</x:v>
      </x:c>
      <x:c r="J7" s="20" t="n">
        <x:f>H7*'Assumptions'!$C$16</x:f>
        <x:v>17600</x:v>
      </x:c>
      <x:c r="K7" s="20" t="n">
        <x:f>B7*'Assumptions'!$C$12*'Assumptions'!$C$13</x:f>
        <x:v>3600</x:v>
      </x:c>
      <x:c r="L7" s="20" t="n">
        <x:f>B7*'Assumptions'!$C$17</x:f>
        <x:v>5600</x:v>
      </x:c>
      <x:c r="M7" s="20" t="n">
        <x:f>G7*'Assumptions'!$C$18</x:f>
        <x:v>2525.6</x:v>
      </x:c>
      <x:c r="N7" s="20" t="n">
        <x:f>C7*'Assumptions'!$C$19*'Assumptions'!$C$20</x:f>
        <x:v>0</x:v>
      </x:c>
      <x:c r="O7" s="20" t="n">
        <x:f>D7*'Assumptions'!$C$21</x:f>
        <x:v>0</x:v>
      </x:c>
      <x:c r="P7" s="20" t="n">
        <x:f>E7*'Assumptions'!$C$22</x:f>
        <x:v>0</x:v>
      </x:c>
      <x:c r="Q7" s="20" t="n">
        <x:f>(C7+E7)*'Assumptions'!$C$23</x:f>
        <x:v>0</x:v>
      </x:c>
      <x:c r="R7" s="20" t="n">
        <x:f>'Assumptions'!$C$24</x:f>
        <x:v>42000</x:v>
      </x:c>
      <x:c r="S7" s="20" t="n">
        <x:f>SUM(I7:R7)</x:f>
        <x:v>76376.8</x:v>
      </x:c>
      <x:c r="T7" s="20" t="n">
        <x:f>S7*'Assumptions'!$C$25</x:f>
        <x:v>7637.68</x:v>
      </x:c>
      <x:c r="U7" s="20" t="n">
        <x:f>S7+T7</x:f>
        <x:v>84014.48000000001</x:v>
      </x:c>
    </x:row>
    <x:row r="8">
      <x:c r="A8" s="16" t="n">
        <x:f>'Assumptions'!A31</x:f>
        <x:v>46447</x:v>
      </x:c>
      <x:c r="B8" s="18" t="n">
        <x:f>'Assumptions'!E31</x:f>
        <x:v>6</x:v>
      </x:c>
      <x:c r="C8" s="18" t="n">
        <x:f>'Assumptions'!F31</x:f>
        <x:v>0</x:v>
      </x:c>
      <x:c r="D8" s="18" t="n">
        <x:f>'Assumptions'!G31</x:f>
        <x:v>2</x:v>
      </x:c>
      <x:c r="E8" s="18" t="n">
        <x:f>'Assumptions'!H31</x:f>
        <x:v>0</x:v>
      </x:c>
      <x:c r="F8" s="18" t="n">
        <x:f>'Assumptions'!$C$9*'Assumptions'!$C$10</x:f>
        <x:v>18.04</x:v>
      </x:c>
      <x:c r="G8" s="18" t="n">
        <x:f>B8*F8</x:f>
        <x:v>108.24</x:v>
      </x:c>
      <x:c r="H8" s="18" t="n">
        <x:f>B8*ROUNDUP(F8/'Assumptions'!$C$15,0)</x:f>
        <x:v>12</x:v>
      </x:c>
      <x:c r="I8" s="20" t="n">
        <x:f>G8*'Assumptions'!$C$14</x:f>
        <x:v>7576.799999999999</x:v>
      </x:c>
      <x:c r="J8" s="20" t="n">
        <x:f>H8*'Assumptions'!$C$16</x:f>
        <x:v>26400</x:v>
      </x:c>
      <x:c r="K8" s="20" t="n">
        <x:f>B8*'Assumptions'!$C$12*'Assumptions'!$C$13</x:f>
        <x:v>5400</x:v>
      </x:c>
      <x:c r="L8" s="20" t="n">
        <x:f>B8*'Assumptions'!$C$17</x:f>
        <x:v>8400</x:v>
      </x:c>
      <x:c r="M8" s="20" t="n">
        <x:f>G8*'Assumptions'!$C$18</x:f>
        <x:v>3788.3999999999996</x:v>
      </x:c>
      <x:c r="N8" s="20" t="n">
        <x:f>C8*'Assumptions'!$C$19*'Assumptions'!$C$20</x:f>
        <x:v>0</x:v>
      </x:c>
      <x:c r="O8" s="20" t="n">
        <x:f>D8*'Assumptions'!$C$21</x:f>
        <x:v>9000</x:v>
      </x:c>
      <x:c r="P8" s="20" t="n">
        <x:f>E8*'Assumptions'!$C$22</x:f>
        <x:v>0</x:v>
      </x:c>
      <x:c r="Q8" s="20" t="n">
        <x:f>(C8+E8)*'Assumptions'!$C$23</x:f>
        <x:v>0</x:v>
      </x:c>
      <x:c r="R8" s="20" t="n">
        <x:f>'Assumptions'!$C$24</x:f>
        <x:v>42000</x:v>
      </x:c>
      <x:c r="S8" s="20" t="n">
        <x:f>SUM(I8:R8)</x:f>
        <x:v>102565.20000000001</x:v>
      </x:c>
      <x:c r="T8" s="20" t="n">
        <x:f>S8*'Assumptions'!$C$25</x:f>
        <x:v>10256.520000000002</x:v>
      </x:c>
      <x:c r="U8" s="20" t="n">
        <x:f>S8+T8</x:f>
        <x:v>112821.72000000002</x:v>
      </x:c>
    </x:row>
    <x:row r="9">
      <x:c r="A9" s="16" t="n">
        <x:f>'Assumptions'!A32</x:f>
        <x:v>46478</x:v>
      </x:c>
      <x:c r="B9" s="18" t="n">
        <x:f>'Assumptions'!E32</x:f>
        <x:v>6</x:v>
      </x:c>
      <x:c r="C9" s="18" t="n">
        <x:f>'Assumptions'!F32</x:f>
        <x:v>1</x:v>
      </x:c>
      <x:c r="D9" s="18" t="n">
        <x:f>'Assumptions'!G32</x:f>
        <x:v>2</x:v>
      </x:c>
      <x:c r="E9" s="18" t="n">
        <x:f>'Assumptions'!H32</x:f>
        <x:v>0</x:v>
      </x:c>
      <x:c r="F9" s="18" t="n">
        <x:f>'Assumptions'!$C$9*'Assumptions'!$C$10</x:f>
        <x:v>18.04</x:v>
      </x:c>
      <x:c r="G9" s="18" t="n">
        <x:f>B9*F9</x:f>
        <x:v>108.24</x:v>
      </x:c>
      <x:c r="H9" s="18" t="n">
        <x:f>B9*ROUNDUP(F9/'Assumptions'!$C$15,0)</x:f>
        <x:v>12</x:v>
      </x:c>
      <x:c r="I9" s="20" t="n">
        <x:f>G9*'Assumptions'!$C$14</x:f>
        <x:v>7576.799999999999</x:v>
      </x:c>
      <x:c r="J9" s="20" t="n">
        <x:f>H9*'Assumptions'!$C$16</x:f>
        <x:v>26400</x:v>
      </x:c>
      <x:c r="K9" s="20" t="n">
        <x:f>B9*'Assumptions'!$C$12*'Assumptions'!$C$13</x:f>
        <x:v>5400</x:v>
      </x:c>
      <x:c r="L9" s="20" t="n">
        <x:f>B9*'Assumptions'!$C$17</x:f>
        <x:v>8400</x:v>
      </x:c>
      <x:c r="M9" s="20" t="n">
        <x:f>G9*'Assumptions'!$C$18</x:f>
        <x:v>3788.3999999999996</x:v>
      </x:c>
      <x:c r="N9" s="20" t="n">
        <x:f>C9*'Assumptions'!$C$19*'Assumptions'!$C$20</x:f>
        <x:v>28000</x:v>
      </x:c>
      <x:c r="O9" s="20" t="n">
        <x:f>D9*'Assumptions'!$C$21</x:f>
        <x:v>9000</x:v>
      </x:c>
      <x:c r="P9" s="20" t="n">
        <x:f>E9*'Assumptions'!$C$22</x:f>
        <x:v>0</x:v>
      </x:c>
      <x:c r="Q9" s="20" t="n">
        <x:f>(C9+E9)*'Assumptions'!$C$23</x:f>
        <x:v>8500</x:v>
      </x:c>
      <x:c r="R9" s="20" t="n">
        <x:f>'Assumptions'!$C$24</x:f>
        <x:v>42000</x:v>
      </x:c>
      <x:c r="S9" s="20" t="n">
        <x:f>SUM(I9:R9)</x:f>
        <x:v>139065.2</x:v>
      </x:c>
      <x:c r="T9" s="20" t="n">
        <x:f>S9*'Assumptions'!$C$25</x:f>
        <x:v>13906.520000000002</x:v>
      </x:c>
      <x:c r="U9" s="20" t="n">
        <x:f>S9+T9</x:f>
        <x:v>152971.72</x:v>
      </x:c>
    </x:row>
    <x:row r="10">
      <x:c r="A10" s="16" t="n">
        <x:f>'Assumptions'!A33</x:f>
        <x:v>46508</x:v>
      </x:c>
      <x:c r="B10" s="18" t="n">
        <x:f>'Assumptions'!E33</x:f>
        <x:v>6</x:v>
      </x:c>
      <x:c r="C10" s="18" t="n">
        <x:f>'Assumptions'!F33</x:f>
        <x:v>0</x:v>
      </x:c>
      <x:c r="D10" s="18" t="n">
        <x:f>'Assumptions'!G33</x:f>
        <x:v>2</x:v>
      </x:c>
      <x:c r="E10" s="18" t="n">
        <x:f>'Assumptions'!H33</x:f>
        <x:v>0</x:v>
      </x:c>
      <x:c r="F10" s="18" t="n">
        <x:f>'Assumptions'!$C$9*'Assumptions'!$C$10</x:f>
        <x:v>18.04</x:v>
      </x:c>
      <x:c r="G10" s="18" t="n">
        <x:f>B10*F10</x:f>
        <x:v>108.24</x:v>
      </x:c>
      <x:c r="H10" s="18" t="n">
        <x:f>B10*ROUNDUP(F10/'Assumptions'!$C$15,0)</x:f>
        <x:v>12</x:v>
      </x:c>
      <x:c r="I10" s="20" t="n">
        <x:f>G10*'Assumptions'!$C$14</x:f>
        <x:v>7576.799999999999</x:v>
      </x:c>
      <x:c r="J10" s="20" t="n">
        <x:f>H10*'Assumptions'!$C$16</x:f>
        <x:v>26400</x:v>
      </x:c>
      <x:c r="K10" s="20" t="n">
        <x:f>B10*'Assumptions'!$C$12*'Assumptions'!$C$13</x:f>
        <x:v>5400</x:v>
      </x:c>
      <x:c r="L10" s="20" t="n">
        <x:f>B10*'Assumptions'!$C$17</x:f>
        <x:v>8400</x:v>
      </x:c>
      <x:c r="M10" s="20" t="n">
        <x:f>G10*'Assumptions'!$C$18</x:f>
        <x:v>3788.3999999999996</x:v>
      </x:c>
      <x:c r="N10" s="20" t="n">
        <x:f>C10*'Assumptions'!$C$19*'Assumptions'!$C$20</x:f>
        <x:v>0</x:v>
      </x:c>
      <x:c r="O10" s="20" t="n">
        <x:f>D10*'Assumptions'!$C$21</x:f>
        <x:v>9000</x:v>
      </x:c>
      <x:c r="P10" s="20" t="n">
        <x:f>E10*'Assumptions'!$C$22</x:f>
        <x:v>0</x:v>
      </x:c>
      <x:c r="Q10" s="20" t="n">
        <x:f>(C10+E10)*'Assumptions'!$C$23</x:f>
        <x:v>0</x:v>
      </x:c>
      <x:c r="R10" s="20" t="n">
        <x:f>'Assumptions'!$C$24</x:f>
        <x:v>42000</x:v>
      </x:c>
      <x:c r="S10" s="20" t="n">
        <x:f>SUM(I10:R10)</x:f>
        <x:v>102565.20000000001</x:v>
      </x:c>
      <x:c r="T10" s="20" t="n">
        <x:f>S10*'Assumptions'!$C$25</x:f>
        <x:v>10256.520000000002</x:v>
      </x:c>
      <x:c r="U10" s="20" t="n">
        <x:f>S10+T10</x:f>
        <x:v>112821.72000000002</x:v>
      </x:c>
    </x:row>
    <x:row r="11">
      <x:c r="A11" s="16" t="n">
        <x:f>'Assumptions'!A34</x:f>
        <x:v>46539</x:v>
      </x:c>
      <x:c r="B11" s="18" t="n">
        <x:f>'Assumptions'!E34</x:f>
        <x:v>6</x:v>
      </x:c>
      <x:c r="C11" s="18" t="n">
        <x:f>'Assumptions'!F34</x:f>
        <x:v>0</x:v>
      </x:c>
      <x:c r="D11" s="18" t="n">
        <x:f>'Assumptions'!G34</x:f>
        <x:v>2</x:v>
      </x:c>
      <x:c r="E11" s="18" t="n">
        <x:f>'Assumptions'!H34</x:f>
        <x:v>4</x:v>
      </x:c>
      <x:c r="F11" s="18" t="n">
        <x:f>'Assumptions'!$C$9*'Assumptions'!$C$10</x:f>
        <x:v>18.04</x:v>
      </x:c>
      <x:c r="G11" s="18" t="n">
        <x:f>B11*F11</x:f>
        <x:v>108.24</x:v>
      </x:c>
      <x:c r="H11" s="18" t="n">
        <x:f>B11*ROUNDUP(F11/'Assumptions'!$C$15,0)</x:f>
        <x:v>12</x:v>
      </x:c>
      <x:c r="I11" s="20" t="n">
        <x:f>G11*'Assumptions'!$C$14</x:f>
        <x:v>7576.799999999999</x:v>
      </x:c>
      <x:c r="J11" s="20" t="n">
        <x:f>H11*'Assumptions'!$C$16</x:f>
        <x:v>26400</x:v>
      </x:c>
      <x:c r="K11" s="20" t="n">
        <x:f>B11*'Assumptions'!$C$12*'Assumptions'!$C$13</x:f>
        <x:v>5400</x:v>
      </x:c>
      <x:c r="L11" s="20" t="n">
        <x:f>B11*'Assumptions'!$C$17</x:f>
        <x:v>8400</x:v>
      </x:c>
      <x:c r="M11" s="20" t="n">
        <x:f>G11*'Assumptions'!$C$18</x:f>
        <x:v>3788.3999999999996</x:v>
      </x:c>
      <x:c r="N11" s="20" t="n">
        <x:f>C11*'Assumptions'!$C$19*'Assumptions'!$C$20</x:f>
        <x:v>0</x:v>
      </x:c>
      <x:c r="O11" s="20" t="n">
        <x:f>D11*'Assumptions'!$C$21</x:f>
        <x:v>9000</x:v>
      </x:c>
      <x:c r="P11" s="20" t="n">
        <x:f>E11*'Assumptions'!$C$22</x:f>
        <x:v>72000</x:v>
      </x:c>
      <x:c r="Q11" s="20" t="n">
        <x:f>(C11+E11)*'Assumptions'!$C$23</x:f>
        <x:v>34000</x:v>
      </x:c>
      <x:c r="R11" s="20" t="n">
        <x:f>'Assumptions'!$C$24</x:f>
        <x:v>42000</x:v>
      </x:c>
      <x:c r="S11" s="20" t="n">
        <x:f>SUM(I11:R11)</x:f>
        <x:v>208565.2</x:v>
      </x:c>
      <x:c r="T11" s="20" t="n">
        <x:f>S11*'Assumptions'!$C$25</x:f>
        <x:v>20856.520000000004</x:v>
      </x:c>
      <x:c r="U11" s="20" t="n">
        <x:f>S11+T11</x:f>
        <x:v>229421.72000000003</x:v>
      </x:c>
    </x:row>
    <x:row r="12">
      <x:c r="A12" s="16" t="n">
        <x:f>'Assumptions'!A35</x:f>
        <x:v>46569</x:v>
      </x:c>
      <x:c r="B12" s="18" t="n">
        <x:f>'Assumptions'!E35</x:f>
        <x:v>6</x:v>
      </x:c>
      <x:c r="C12" s="18" t="n">
        <x:f>'Assumptions'!F35</x:f>
        <x:v>0</x:v>
      </x:c>
      <x:c r="D12" s="18" t="n">
        <x:f>'Assumptions'!G35</x:f>
        <x:v>2</x:v>
      </x:c>
      <x:c r="E12" s="18" t="n">
        <x:f>'Assumptions'!H35</x:f>
        <x:v>0</x:v>
      </x:c>
      <x:c r="F12" s="18" t="n">
        <x:f>'Assumptions'!$C$9*'Assumptions'!$C$10</x:f>
        <x:v>18.04</x:v>
      </x:c>
      <x:c r="G12" s="18" t="n">
        <x:f>B12*F12</x:f>
        <x:v>108.24</x:v>
      </x:c>
      <x:c r="H12" s="18" t="n">
        <x:f>B12*ROUNDUP(F12/'Assumptions'!$C$15,0)</x:f>
        <x:v>12</x:v>
      </x:c>
      <x:c r="I12" s="20" t="n">
        <x:f>G12*'Assumptions'!$C$14</x:f>
        <x:v>7576.799999999999</x:v>
      </x:c>
      <x:c r="J12" s="20" t="n">
        <x:f>H12*'Assumptions'!$C$16</x:f>
        <x:v>26400</x:v>
      </x:c>
      <x:c r="K12" s="20" t="n">
        <x:f>B12*'Assumptions'!$C$12*'Assumptions'!$C$13</x:f>
        <x:v>5400</x:v>
      </x:c>
      <x:c r="L12" s="20" t="n">
        <x:f>B12*'Assumptions'!$C$17</x:f>
        <x:v>8400</x:v>
      </x:c>
      <x:c r="M12" s="20" t="n">
        <x:f>G12*'Assumptions'!$C$18</x:f>
        <x:v>3788.3999999999996</x:v>
      </x:c>
      <x:c r="N12" s="20" t="n">
        <x:f>C12*'Assumptions'!$C$19*'Assumptions'!$C$20</x:f>
        <x:v>0</x:v>
      </x:c>
      <x:c r="O12" s="20" t="n">
        <x:f>D12*'Assumptions'!$C$21</x:f>
        <x:v>9000</x:v>
      </x:c>
      <x:c r="P12" s="20" t="n">
        <x:f>E12*'Assumptions'!$C$22</x:f>
        <x:v>0</x:v>
      </x:c>
      <x:c r="Q12" s="20" t="n">
        <x:f>(C12+E12)*'Assumptions'!$C$23</x:f>
        <x:v>0</x:v>
      </x:c>
      <x:c r="R12" s="20" t="n">
        <x:f>'Assumptions'!$C$24</x:f>
        <x:v>42000</x:v>
      </x:c>
      <x:c r="S12" s="20" t="n">
        <x:f>SUM(I12:R12)</x:f>
        <x:v>102565.20000000001</x:v>
      </x:c>
      <x:c r="T12" s="20" t="n">
        <x:f>S12*'Assumptions'!$C$25</x:f>
        <x:v>10256.520000000002</x:v>
      </x:c>
      <x:c r="U12" s="20" t="n">
        <x:f>S12+T12</x:f>
        <x:v>112821.72000000002</x:v>
      </x:c>
    </x:row>
    <x:row r="13">
      <x:c r="A13" s="16" t="n">
        <x:f>'Assumptions'!A36</x:f>
        <x:v>46600</x:v>
      </x:c>
      <x:c r="B13" s="18" t="n">
        <x:f>'Assumptions'!E36</x:f>
        <x:v>5</x:v>
      </x:c>
      <x:c r="C13" s="18" t="n">
        <x:f>'Assumptions'!F36</x:f>
        <x:v>1</x:v>
      </x:c>
      <x:c r="D13" s="18" t="n">
        <x:f>'Assumptions'!G36</x:f>
        <x:v>2</x:v>
      </x:c>
      <x:c r="E13" s="18" t="n">
        <x:f>'Assumptions'!H36</x:f>
        <x:v>0</x:v>
      </x:c>
      <x:c r="F13" s="18" t="n">
        <x:f>'Assumptions'!$C$9*'Assumptions'!$C$10</x:f>
        <x:v>18.04</x:v>
      </x:c>
      <x:c r="G13" s="18" t="n">
        <x:f>B13*F13</x:f>
        <x:v>90.19999999999999</x:v>
      </x:c>
      <x:c r="H13" s="18" t="n">
        <x:f>B13*ROUNDUP(F13/'Assumptions'!$C$15,0)</x:f>
        <x:v>10</x:v>
      </x:c>
      <x:c r="I13" s="20" t="n">
        <x:f>G13*'Assumptions'!$C$14</x:f>
        <x:v>6313.999999999999</x:v>
      </x:c>
      <x:c r="J13" s="20" t="n">
        <x:f>H13*'Assumptions'!$C$16</x:f>
        <x:v>22000</x:v>
      </x:c>
      <x:c r="K13" s="20" t="n">
        <x:f>B13*'Assumptions'!$C$12*'Assumptions'!$C$13</x:f>
        <x:v>4500</x:v>
      </x:c>
      <x:c r="L13" s="20" t="n">
        <x:f>B13*'Assumptions'!$C$17</x:f>
        <x:v>7000</x:v>
      </x:c>
      <x:c r="M13" s="20" t="n">
        <x:f>G13*'Assumptions'!$C$18</x:f>
        <x:v>3156.9999999999995</x:v>
      </x:c>
      <x:c r="N13" s="20" t="n">
        <x:f>C13*'Assumptions'!$C$19*'Assumptions'!$C$20</x:f>
        <x:v>28000</x:v>
      </x:c>
      <x:c r="O13" s="20" t="n">
        <x:f>D13*'Assumptions'!$C$21</x:f>
        <x:v>9000</x:v>
      </x:c>
      <x:c r="P13" s="20" t="n">
        <x:f>E13*'Assumptions'!$C$22</x:f>
        <x:v>0</x:v>
      </x:c>
      <x:c r="Q13" s="20" t="n">
        <x:f>(C13+E13)*'Assumptions'!$C$23</x:f>
        <x:v>8500</x:v>
      </x:c>
      <x:c r="R13" s="20" t="n">
        <x:f>'Assumptions'!$C$24</x:f>
        <x:v>42000</x:v>
      </x:c>
      <x:c r="S13" s="20" t="n">
        <x:f>SUM(I13:R13)</x:f>
        <x:v>130471</x:v>
      </x:c>
      <x:c r="T13" s="20" t="n">
        <x:f>S13*'Assumptions'!$C$25</x:f>
        <x:v>13047.1</x:v>
      </x:c>
      <x:c r="U13" s="20" t="n">
        <x:f>S13+T13</x:f>
        <x:v>143518.1</x:v>
      </x:c>
    </x:row>
    <x:row r="14">
      <x:c r="A14" s="16" t="n">
        <x:f>'Assumptions'!A37</x:f>
        <x:v>46631</x:v>
      </x:c>
      <x:c r="B14" s="18" t="n">
        <x:f>'Assumptions'!E37</x:f>
        <x:v>4</x:v>
      </x:c>
      <x:c r="C14" s="18" t="n">
        <x:f>'Assumptions'!F37</x:f>
        <x:v>0</x:v>
      </x:c>
      <x:c r="D14" s="18" t="n">
        <x:f>'Assumptions'!G37</x:f>
        <x:v>2</x:v>
      </x:c>
      <x:c r="E14" s="18" t="n">
        <x:f>'Assumptions'!H37</x:f>
        <x:v>0</x:v>
      </x:c>
      <x:c r="F14" s="18" t="n">
        <x:f>'Assumptions'!$C$9*'Assumptions'!$C$10</x:f>
        <x:v>18.04</x:v>
      </x:c>
      <x:c r="G14" s="18" t="n">
        <x:f>B14*F14</x:f>
        <x:v>72.16</x:v>
      </x:c>
      <x:c r="H14" s="18" t="n">
        <x:f>B14*ROUNDUP(F14/'Assumptions'!$C$15,0)</x:f>
        <x:v>8</x:v>
      </x:c>
      <x:c r="I14" s="20" t="n">
        <x:f>G14*'Assumptions'!$C$14</x:f>
        <x:v>5051.2</x:v>
      </x:c>
      <x:c r="J14" s="20" t="n">
        <x:f>H14*'Assumptions'!$C$16</x:f>
        <x:v>17600</x:v>
      </x:c>
      <x:c r="K14" s="20" t="n">
        <x:f>B14*'Assumptions'!$C$12*'Assumptions'!$C$13</x:f>
        <x:v>3600</x:v>
      </x:c>
      <x:c r="L14" s="20" t="n">
        <x:f>B14*'Assumptions'!$C$17</x:f>
        <x:v>5600</x:v>
      </x:c>
      <x:c r="M14" s="20" t="n">
        <x:f>G14*'Assumptions'!$C$18</x:f>
        <x:v>2525.6</x:v>
      </x:c>
      <x:c r="N14" s="20" t="n">
        <x:f>C14*'Assumptions'!$C$19*'Assumptions'!$C$20</x:f>
        <x:v>0</x:v>
      </x:c>
      <x:c r="O14" s="20" t="n">
        <x:f>D14*'Assumptions'!$C$21</x:f>
        <x:v>9000</x:v>
      </x:c>
      <x:c r="P14" s="20" t="n">
        <x:f>E14*'Assumptions'!$C$22</x:f>
        <x:v>0</x:v>
      </x:c>
      <x:c r="Q14" s="20" t="n">
        <x:f>(C14+E14)*'Assumptions'!$C$23</x:f>
        <x:v>0</x:v>
      </x:c>
      <x:c r="R14" s="20" t="n">
        <x:f>'Assumptions'!$C$24</x:f>
        <x:v>42000</x:v>
      </x:c>
      <x:c r="S14" s="20" t="n">
        <x:f>SUM(I14:R14)</x:f>
        <x:v>85376.8</x:v>
      </x:c>
      <x:c r="T14" s="20" t="n">
        <x:f>S14*'Assumptions'!$C$25</x:f>
        <x:v>8537.68</x:v>
      </x:c>
      <x:c r="U14" s="20" t="n">
        <x:f>S14+T14</x:f>
        <x:v>93914.48000000001</x:v>
      </x:c>
    </x:row>
    <x:row r="15">
      <x:c r="A15" s="16" t="n">
        <x:f>'Assumptions'!A38</x:f>
        <x:v>46661</x:v>
      </x:c>
      <x:c r="B15" s="18" t="n">
        <x:f>'Assumptions'!E38</x:f>
        <x:v>3</x:v>
      </x:c>
      <x:c r="C15" s="18" t="n">
        <x:f>'Assumptions'!F38</x:f>
        <x:v>0</x:v>
      </x:c>
      <x:c r="D15" s="18" t="n">
        <x:f>'Assumptions'!G38</x:f>
        <x:v>1</x:v>
      </x:c>
      <x:c r="E15" s="18" t="n">
        <x:f>'Assumptions'!H38</x:f>
        <x:v>0</x:v>
      </x:c>
      <x:c r="F15" s="18" t="n">
        <x:f>'Assumptions'!$C$9*'Assumptions'!$C$10</x:f>
        <x:v>18.04</x:v>
      </x:c>
      <x:c r="G15" s="18" t="n">
        <x:f>B15*F15</x:f>
        <x:v>54.12</x:v>
      </x:c>
      <x:c r="H15" s="18" t="n">
        <x:f>B15*ROUNDUP(F15/'Assumptions'!$C$15,0)</x:f>
        <x:v>6</x:v>
      </x:c>
      <x:c r="I15" s="20" t="n">
        <x:f>G15*'Assumptions'!$C$14</x:f>
        <x:v>3788.3999999999996</x:v>
      </x:c>
      <x:c r="J15" s="20" t="n">
        <x:f>H15*'Assumptions'!$C$16</x:f>
        <x:v>13200</x:v>
      </x:c>
      <x:c r="K15" s="20" t="n">
        <x:f>B15*'Assumptions'!$C$12*'Assumptions'!$C$13</x:f>
        <x:v>2700</x:v>
      </x:c>
      <x:c r="L15" s="20" t="n">
        <x:f>B15*'Assumptions'!$C$17</x:f>
        <x:v>4200</x:v>
      </x:c>
      <x:c r="M15" s="20" t="n">
        <x:f>G15*'Assumptions'!$C$18</x:f>
        <x:v>1894.1999999999998</x:v>
      </x:c>
      <x:c r="N15" s="20" t="n">
        <x:f>C15*'Assumptions'!$C$19*'Assumptions'!$C$20</x:f>
        <x:v>0</x:v>
      </x:c>
      <x:c r="O15" s="20" t="n">
        <x:f>D15*'Assumptions'!$C$21</x:f>
        <x:v>4500</x:v>
      </x:c>
      <x:c r="P15" s="20" t="n">
        <x:f>E15*'Assumptions'!$C$22</x:f>
        <x:v>0</x:v>
      </x:c>
      <x:c r="Q15" s="20" t="n">
        <x:f>(C15+E15)*'Assumptions'!$C$23</x:f>
        <x:v>0</x:v>
      </x:c>
      <x:c r="R15" s="20" t="n">
        <x:f>'Assumptions'!$C$24</x:f>
        <x:v>42000</x:v>
      </x:c>
      <x:c r="S15" s="20" t="n">
        <x:f>SUM(I15:R15)</x:f>
        <x:v>72282.6</x:v>
      </x:c>
      <x:c r="T15" s="20" t="n">
        <x:f>S15*'Assumptions'!$C$25</x:f>
        <x:v>7228.260000000001</x:v>
      </x:c>
      <x:c r="U15" s="20" t="n">
        <x:f>S15+T15</x:f>
        <x:v>79510.86</x:v>
      </x:c>
    </x:row>
    <x:row r="16">
      <x:c r="A16" s="16" t="n">
        <x:f>'Assumptions'!A39</x:f>
        <x:v>46692</x:v>
      </x:c>
      <x:c r="B16" s="18" t="n">
        <x:f>'Assumptions'!E39</x:f>
        <x:v>2</x:v>
      </x:c>
      <x:c r="C16" s="18" t="n">
        <x:f>'Assumptions'!F39</x:f>
        <x:v>0</x:v>
      </x:c>
      <x:c r="D16" s="18" t="n">
        <x:f>'Assumptions'!G39</x:f>
        <x:v>1</x:v>
      </x:c>
      <x:c r="E16" s="18" t="n">
        <x:f>'Assumptions'!H39</x:f>
        <x:v>4</x:v>
      </x:c>
      <x:c r="F16" s="18" t="n">
        <x:f>'Assumptions'!$C$9*'Assumptions'!$C$10</x:f>
        <x:v>18.04</x:v>
      </x:c>
      <x:c r="G16" s="18" t="n">
        <x:f>B16*F16</x:f>
        <x:v>36.08</x:v>
      </x:c>
      <x:c r="H16" s="18" t="n">
        <x:f>B16*ROUNDUP(F16/'Assumptions'!$C$15,0)</x:f>
        <x:v>4</x:v>
      </x:c>
      <x:c r="I16" s="20" t="n">
        <x:f>G16*'Assumptions'!$C$14</x:f>
        <x:v>2525.6</x:v>
      </x:c>
      <x:c r="J16" s="20" t="n">
        <x:f>H16*'Assumptions'!$C$16</x:f>
        <x:v>8800</x:v>
      </x:c>
      <x:c r="K16" s="20" t="n">
        <x:f>B16*'Assumptions'!$C$12*'Assumptions'!$C$13</x:f>
        <x:v>1800</x:v>
      </x:c>
      <x:c r="L16" s="20" t="n">
        <x:f>B16*'Assumptions'!$C$17</x:f>
        <x:v>2800</x:v>
      </x:c>
      <x:c r="M16" s="20" t="n">
        <x:f>G16*'Assumptions'!$C$18</x:f>
        <x:v>1262.8</x:v>
      </x:c>
      <x:c r="N16" s="20" t="n">
        <x:f>C16*'Assumptions'!$C$19*'Assumptions'!$C$20</x:f>
        <x:v>0</x:v>
      </x:c>
      <x:c r="O16" s="20" t="n">
        <x:f>D16*'Assumptions'!$C$21</x:f>
        <x:v>4500</x:v>
      </x:c>
      <x:c r="P16" s="20" t="n">
        <x:f>E16*'Assumptions'!$C$22</x:f>
        <x:v>72000</x:v>
      </x:c>
      <x:c r="Q16" s="20" t="n">
        <x:f>(C16+E16)*'Assumptions'!$C$23</x:f>
        <x:v>34000</x:v>
      </x:c>
      <x:c r="R16" s="20" t="n">
        <x:f>'Assumptions'!$C$24</x:f>
        <x:v>42000</x:v>
      </x:c>
      <x:c r="S16" s="20" t="n">
        <x:f>SUM(I16:R16)</x:f>
        <x:v>169688.4</x:v>
      </x:c>
      <x:c r="T16" s="20" t="n">
        <x:f>S16*'Assumptions'!$C$25</x:f>
        <x:v>16968.84</x:v>
      </x:c>
      <x:c r="U16" s="20" t="n">
        <x:f>S16+T16</x:f>
        <x:v>186657.24</x:v>
      </x:c>
    </x:row>
    <x:row r="17">
      <x:c r="A17" s="16" t="n">
        <x:f>'Assumptions'!A40</x:f>
        <x:v>46722</x:v>
      </x:c>
      <x:c r="B17" s="18" t="n">
        <x:f>'Assumptions'!E40</x:f>
        <x:v>0</x:v>
      </x:c>
      <x:c r="C17" s="18" t="n">
        <x:f>'Assumptions'!F40</x:f>
        <x:v>0</x:v>
      </x:c>
      <x:c r="D17" s="18" t="n">
        <x:f>'Assumptions'!G40</x:f>
        <x:v>0</x:v>
      </x:c>
      <x:c r="E17" s="18" t="n">
        <x:f>'Assumptions'!H40</x:f>
        <x:v>0</x:v>
      </x:c>
      <x:c r="F17" s="18" t="n">
        <x:f>'Assumptions'!$C$9*'Assumptions'!$C$10</x:f>
        <x:v>18.04</x:v>
      </x:c>
      <x:c r="G17" s="18" t="n">
        <x:f>B17*F17</x:f>
        <x:v>0</x:v>
      </x:c>
      <x:c r="H17" s="18" t="n">
        <x:f>B17*ROUNDUP(F17/'Assumptions'!$C$15,0)</x:f>
        <x:v>0</x:v>
      </x:c>
      <x:c r="I17" s="20" t="n">
        <x:f>G17*'Assumptions'!$C$14</x:f>
        <x:v>0</x:v>
      </x:c>
      <x:c r="J17" s="20" t="n">
        <x:f>H17*'Assumptions'!$C$16</x:f>
        <x:v>0</x:v>
      </x:c>
      <x:c r="K17" s="20" t="n">
        <x:f>B17*'Assumptions'!$C$12*'Assumptions'!$C$13</x:f>
        <x:v>0</x:v>
      </x:c>
      <x:c r="L17" s="20" t="n">
        <x:f>B17*'Assumptions'!$C$17</x:f>
        <x:v>0</x:v>
      </x:c>
      <x:c r="M17" s="20" t="n">
        <x:f>G17*'Assumptions'!$C$18</x:f>
        <x:v>0</x:v>
      </x:c>
      <x:c r="N17" s="20" t="n">
        <x:f>C17*'Assumptions'!$C$19*'Assumptions'!$C$20</x:f>
        <x:v>0</x:v>
      </x:c>
      <x:c r="O17" s="20" t="n">
        <x:f>D17*'Assumptions'!$C$21</x:f>
        <x:v>0</x:v>
      </x:c>
      <x:c r="P17" s="20" t="n">
        <x:f>E17*'Assumptions'!$C$22</x:f>
        <x:v>0</x:v>
      </x:c>
      <x:c r="Q17" s="20" t="n">
        <x:f>(C17+E17)*'Assumptions'!$C$23</x:f>
        <x:v>0</x:v>
      </x:c>
      <x:c r="R17" s="20" t="n">
        <x:f>'Assumptions'!$C$24</x:f>
        <x:v>42000</x:v>
      </x:c>
      <x:c r="S17" s="20" t="n">
        <x:f>SUM(I17:R17)</x:f>
        <x:v>42000</x:v>
      </x:c>
      <x:c r="T17" s="20" t="n">
        <x:f>S17*'Assumptions'!$C$25</x:f>
        <x:v>4200</x:v>
      </x:c>
      <x:c r="U17" s="20" t="n">
        <x:f>S17+T17</x:f>
        <x:v>46200</x:v>
      </x:c>
    </x:row>
    <x:row r="18">
      <x:c r="A18" s="4" t="str">
        <x:v>Full year</x:v>
      </x:c>
      <x:c r="B18" s="19" t="n">
        <x:f>SUM(B6:B17)</x:f>
        <x:v>48</x:v>
      </x:c>
      <x:c r="C18" s="19" t="n">
        <x:f>SUM(C6:C17)</x:f>
        <x:v>2</x:v>
      </x:c>
      <x:c r="D18" s="19" t="n">
        <x:f>SUM(D6:D17)</x:f>
        <x:v>16</x:v>
      </x:c>
      <x:c r="E18" s="19" t="n">
        <x:f>SUM(E6:E17)</x:f>
        <x:v>8</x:v>
      </x:c>
      <x:c r="F18" s="19" t="n">
        <x:f>IFERROR(G18/B18,0)</x:f>
        <x:v>18.04</x:v>
      </x:c>
      <x:c r="G18" s="19" t="n">
        <x:f>SUM(G6:G17)</x:f>
        <x:v>865.92</x:v>
      </x:c>
      <x:c r="H18" s="19" t="n">
        <x:f>SUM(H6:H17)</x:f>
        <x:v>96</x:v>
      </x:c>
      <x:c r="I18" s="21" t="n">
        <x:f>SUM(I6:I17)</x:f>
        <x:v>60614.399999999994</x:v>
      </x:c>
      <x:c r="J18" s="21" t="n">
        <x:f>SUM(J6:J17)</x:f>
        <x:v>211200</x:v>
      </x:c>
      <x:c r="K18" s="21" t="n">
        <x:f>SUM(K6:K17)</x:f>
        <x:v>43200</x:v>
      </x:c>
      <x:c r="L18" s="21" t="n">
        <x:f>SUM(L6:L17)</x:f>
        <x:v>67200</x:v>
      </x:c>
      <x:c r="M18" s="21" t="n">
        <x:f>SUM(M6:M17)</x:f>
        <x:v>30307.199999999997</x:v>
      </x:c>
      <x:c r="N18" s="21" t="n">
        <x:f>SUM(N6:N17)</x:f>
        <x:v>56000</x:v>
      </x:c>
      <x:c r="O18" s="21" t="n">
        <x:f>SUM(O6:O17)</x:f>
        <x:v>72000</x:v>
      </x:c>
      <x:c r="P18" s="21" t="n">
        <x:f>SUM(P6:P17)</x:f>
        <x:v>144000</x:v>
      </x:c>
      <x:c r="Q18" s="21" t="n">
        <x:f>SUM(Q6:Q17)</x:f>
        <x:v>85000</x:v>
      </x:c>
      <x:c r="R18" s="21" t="n">
        <x:f>SUM(R6:R17)</x:f>
        <x:v>504000</x:v>
      </x:c>
      <x:c r="S18" s="21" t="n">
        <x:f>SUM(S6:S17)</x:f>
        <x:v>1273521.6</x:v>
      </x:c>
      <x:c r="T18" s="21" t="n">
        <x:f>SUM(T6:T17)</x:f>
        <x:v>127352.16000000002</x:v>
      </x:c>
      <x:c r="U18" s="21" t="n">
        <x:f>SUM(U6:U17)</x:f>
        <x:v>1400873.7600000002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9e3e72260458439e"/>
  </x:tableParts>
</x:worksheet>
</file>

<file path=xl/worksheets/sheet4.xml><?xml version="1.0" encoding="utf-8"?>
<x:worksheet xmlns:x="http://schemas.openxmlformats.org/spreadsheetml/2006/main">
  <x:sheetPr>
    <x:tabColor rgb="FFB97845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15" hidden="0" customWidth="1"/>
    <x:col min="5" max="5" width="24" hidden="0" customWidth="1"/>
    <x:col min="6" max="6" width="25" hidden="0" customWidth="1"/>
    <x:col min="7" max="7" width="22" hidden="0" customWidth="1"/>
    <x:col min="8" max="8" width="17" hidden="0" customWidth="1"/>
    <x:col min="9" max="9" width="18" hidden="0" customWidth="1"/>
    <x:col min="10" max="10" width="24" hidden="0" customWidth="1"/>
  </x:cols>
  <x:sheetData>
    <x:row r="1">
      <x:c r="A1" s="1" t="str">
        <x:v>Budget vs Actual and Estimate at Completion</x:v>
      </x:c>
    </x:row>
    <x:row r="2">
      <x:c r="A2" s="2" t="str">
        <x:v>Actuals are included only when the record is Ready and its financial status is Paid or Approved</x:v>
      </x:c>
    </x:row>
    <x:row r="5" ht="30" customHeight="1">
      <x:c r="A5" s="12" t="str">
        <x:v>Cost category</x:v>
      </x:c>
      <x:c r="B5" s="12" t="str">
        <x:v>Approved budget</x:v>
      </x:c>
      <x:c r="C5" s="12" t="str">
        <x:v>Actuals to cut-off</x:v>
      </x:c>
      <x:c r="D5" s="12" t="str">
        <x:v>Budget used</x:v>
      </x:c>
      <x:c r="E5" s="12" t="str">
        <x:v>Forecast to complete</x:v>
      </x:c>
      <x:c r="F5" s="12" t="str">
        <x:v>Estimate at completion</x:v>
      </x:c>
      <x:c r="G5" s="12" t="str">
        <x:v>Variance to budget</x:v>
      </x:c>
      <x:c r="H5" s="12" t="str">
        <x:v>Variance %</x:v>
      </x:c>
      <x:c r="I5" s="12" t="str">
        <x:v>Record exceptions</x:v>
      </x:c>
      <x:c r="J5" s="12" t="str">
        <x:v>Forecast status</x:v>
      </x:c>
    </x:row>
    <x:row r="6">
      <x:c r="A6" t="str">
        <x:v>Catering</x:v>
      </x:c>
      <x:c r="B6" s="22" t="n">
        <x:v>125000</x:v>
      </x:c>
      <x:c r="C6" s="20" t="n">
        <x:f>SUMIFS('Clean Actuals'!$M$6:$M$155,'Clean Actuals'!$D$6:$D$155,A6,'Clean Actuals'!$C$6:$C$155,"&lt;="&amp;'Assumptions'!$B$5)</x:f>
        <x:v>64904</x:v>
      </x:c>
      <x:c r="D6" s="23" t="n">
        <x:f>IFERROR(C6/B6,0)</x:f>
        <x:v>0.519232</x:v>
      </x:c>
      <x:c r="E6" s="20" t="n">
        <x:f>SUMIFS('Activity Plan'!$I$6:$I$17,'Activity Plan'!$A$6:$A$17,"&gt;"&amp;'Assumptions'!$B$5)</x:f>
        <x:v>25256</x:v>
      </x:c>
      <x:c r="F6" s="20" t="n">
        <x:f>C6+E6</x:f>
        <x:v>90160</x:v>
      </x:c>
      <x:c r="G6" s="20" t="n">
        <x:f>B6-F6</x:f>
        <x:v>34840</x:v>
      </x:c>
      <x:c r="H6" s="23" t="n">
        <x:f>IFERROR(G6/B6,0)</x:f>
        <x:v>0.27872</x:v>
      </x:c>
      <x:c r="I6" t="n">
        <x:f>COUNTIFS('Clean Actuals'!$D$6:$D$155,A6,'Clean Actuals'!$L$6:$L$155,"Review")</x:f>
        <x:v>0</x:v>
      </x:c>
      <x:c r="J6" t="str">
        <x:f>IF(B6&lt;=0,"Set approved budget",IF(G6&lt;0,"Forecast over budget",IF(I6&gt;0,"Review source exceptions","Within budget")))</x:f>
        <x:v>Within budget</x:v>
      </x:c>
    </x:row>
    <x:row r="7">
      <x:c r="A7" t="str">
        <x:v>Transport</x:v>
      </x:c>
      <x:c r="B7" s="22" t="n">
        <x:v>300000</x:v>
      </x:c>
      <x:c r="C7" s="20" t="n">
        <x:f>SUMIFS('Clean Actuals'!$M$6:$M$155,'Clean Actuals'!$D$6:$D$155,A7,'Clean Actuals'!$C$6:$C$155,"&lt;="&amp;'Assumptions'!$B$5)</x:f>
        <x:v>81144</x:v>
      </x:c>
      <x:c r="D7" s="23" t="n">
        <x:f>IFERROR(C7/B7,0)</x:f>
        <x:v>0.27048</x:v>
      </x:c>
      <x:c r="E7" s="20" t="n">
        <x:f>SUMIFS('Activity Plan'!$J$6:$J$17,'Activity Plan'!$A$6:$A$17,"&gt;"&amp;'Assumptions'!$B$5)</x:f>
        <x:v>88000</x:v>
      </x:c>
      <x:c r="F7" s="20" t="n">
        <x:f>C7+E7</x:f>
        <x:v>169144</x:v>
      </x:c>
      <x:c r="G7" s="20" t="n">
        <x:f>B7-F7</x:f>
        <x:v>130856</x:v>
      </x:c>
      <x:c r="H7" s="23" t="n">
        <x:f>IFERROR(G7/B7,0)</x:f>
        <x:v>0.43618666666666667</x:v>
      </x:c>
      <x:c r="I7" t="n">
        <x:f>COUNTIFS('Clean Actuals'!$D$6:$D$155,A7,'Clean Actuals'!$L$6:$L$155,"Review")</x:f>
        <x:v>2</x:v>
      </x:c>
      <x:c r="J7" t="str">
        <x:f>IF(B7&lt;=0,"Set approved budget",IF(G7&lt;0,"Forecast over budget",IF(I7&gt;0,"Review source exceptions","Within budget")))</x:f>
        <x:v>Review source exceptions</x:v>
      </x:c>
    </x:row>
    <x:row r="8">
      <x:c r="A8" t="str">
        <x:v>Facilitation</x:v>
      </x:c>
      <x:c r="B8" s="22" t="n">
        <x:v>100000</x:v>
      </x:c>
      <x:c r="C8" s="20" t="n">
        <x:f>SUMIFS('Clean Actuals'!$M$6:$M$155,'Clean Actuals'!$D$6:$D$155,A8,'Clean Actuals'!$C$6:$C$155,"&lt;="&amp;'Assumptions'!$B$5)</x:f>
        <x:v>32920</x:v>
      </x:c>
      <x:c r="D8" s="23" t="n">
        <x:f>IFERROR(C8/B8,0)</x:f>
        <x:v>0.3292</x:v>
      </x:c>
      <x:c r="E8" s="20" t="n">
        <x:f>SUMIFS('Activity Plan'!$K$6:$K$17,'Activity Plan'!$A$6:$A$17,"&gt;"&amp;'Assumptions'!$B$5)</x:f>
        <x:v>18000</x:v>
      </x:c>
      <x:c r="F8" s="20" t="n">
        <x:f>C8+E8</x:f>
        <x:v>50920</x:v>
      </x:c>
      <x:c r="G8" s="20" t="n">
        <x:f>B8-F8</x:f>
        <x:v>49080</x:v>
      </x:c>
      <x:c r="H8" s="23" t="n">
        <x:f>IFERROR(G8/B8,0)</x:f>
        <x:v>0.4908</x:v>
      </x:c>
      <x:c r="I8" t="n">
        <x:f>COUNTIFS('Clean Actuals'!$D$6:$D$155,A8,'Clean Actuals'!$L$6:$L$155,"Review")</x:f>
        <x:v>3</x:v>
      </x:c>
      <x:c r="J8" t="str">
        <x:f>IF(B8&lt;=0,"Set approved budget",IF(G8&lt;0,"Forecast over budget",IF(I8&gt;0,"Review source exceptions","Within budget")))</x:f>
        <x:v>Review source exceptions</x:v>
      </x:c>
    </x:row>
    <x:row r="9">
      <x:c r="A9" t="str">
        <x:v>Materials</x:v>
      </x:c>
      <x:c r="B9" s="22" t="n">
        <x:v>100000</x:v>
      </x:c>
      <x:c r="C9" s="20" t="n">
        <x:f>SUMIFS('Clean Actuals'!$M$6:$M$155,'Clean Actuals'!$D$6:$D$155,A9,'Clean Actuals'!$C$6:$C$155,"&lt;="&amp;'Assumptions'!$B$5)</x:f>
        <x:v>41358</x:v>
      </x:c>
      <x:c r="D9" s="23" t="n">
        <x:f>IFERROR(C9/B9,0)</x:f>
        <x:v>0.41358</x:v>
      </x:c>
      <x:c r="E9" s="20" t="n">
        <x:f>SUMIFS('Activity Plan'!$L$6:$L$17,'Activity Plan'!$A$6:$A$17,"&gt;"&amp;'Assumptions'!$B$5)</x:f>
        <x:v>28000</x:v>
      </x:c>
      <x:c r="F9" s="20" t="n">
        <x:f>C9+E9</x:f>
        <x:v>69358</x:v>
      </x:c>
      <x:c r="G9" s="20" t="n">
        <x:f>B9-F9</x:f>
        <x:v>30642</x:v>
      </x:c>
      <x:c r="H9" s="23" t="n">
        <x:f>IFERROR(G9/B9,0)</x:f>
        <x:v>0.30642</x:v>
      </x:c>
      <x:c r="I9" t="n">
        <x:f>COUNTIFS('Clean Actuals'!$D$6:$D$155,A9,'Clean Actuals'!$L$6:$L$155,"Review")</x:f>
        <x:v>3</x:v>
      </x:c>
      <x:c r="J9" t="str">
        <x:f>IF(B9&lt;=0,"Set approved budget",IF(G9&lt;0,"Forecast over budget",IF(I9&gt;0,"Review source exceptions","Within budget")))</x:f>
        <x:v>Review source exceptions</x:v>
      </x:c>
    </x:row>
    <x:row r="10">
      <x:c r="A10" t="str">
        <x:v>Printing</x:v>
      </x:c>
      <x:c r="B10" s="22" t="n">
        <x:v>60000</x:v>
      </x:c>
      <x:c r="C10" s="20" t="n">
        <x:f>SUMIFS('Clean Actuals'!$M$6:$M$155,'Clean Actuals'!$D$6:$D$155,A10,'Clean Actuals'!$C$6:$C$155,"&lt;="&amp;'Assumptions'!$B$5)</x:f>
        <x:v>25272</x:v>
      </x:c>
      <x:c r="D10" s="23" t="n">
        <x:f>IFERROR(C10/B10,0)</x:f>
        <x:v>0.4212</x:v>
      </x:c>
      <x:c r="E10" s="20" t="n">
        <x:f>SUMIFS('Activity Plan'!$M$6:$M$17,'Activity Plan'!$A$6:$A$17,"&gt;"&amp;'Assumptions'!$B$5)</x:f>
        <x:v>12628</x:v>
      </x:c>
      <x:c r="F10" s="20" t="n">
        <x:f>C10+E10</x:f>
        <x:v>37900</x:v>
      </x:c>
      <x:c r="G10" s="20" t="n">
        <x:f>B10-F10</x:f>
        <x:v>22100</x:v>
      </x:c>
      <x:c r="H10" s="23" t="n">
        <x:f>IFERROR(G10/B10,0)</x:f>
        <x:v>0.36833333333333335</x:v>
      </x:c>
      <x:c r="I10" t="n">
        <x:f>COUNTIFS('Clean Actuals'!$D$6:$D$155,A10,'Clean Actuals'!$L$6:$L$155,"Review")</x:f>
        <x:v>2</x:v>
      </x:c>
      <x:c r="J10" t="str">
        <x:f>IF(B10&lt;=0,"Set approved budget",IF(G10&lt;0,"Forecast over budget",IF(I10&gt;0,"Review source exceptions","Within budget")))</x:f>
        <x:v>Review source exceptions</x:v>
      </x:c>
    </x:row>
    <x:row r="11">
      <x:c r="A11" t="str">
        <x:v>Training</x:v>
      </x:c>
      <x:c r="B11" s="22" t="n">
        <x:v>120000</x:v>
      </x:c>
      <x:c r="C11" s="20" t="n">
        <x:f>SUMIFS('Clean Actuals'!$M$6:$M$155,'Clean Actuals'!$D$6:$D$155,A11,'Clean Actuals'!$C$6:$C$155,"&lt;="&amp;'Assumptions'!$B$5)</x:f>
        <x:v>90296</x:v>
      </x:c>
      <x:c r="D11" s="23" t="n">
        <x:f>IFERROR(C11/B11,0)</x:f>
        <x:v>0.7524666666666666</x:v>
      </x:c>
      <x:c r="E11" s="20" t="n">
        <x:f>SUMIFS('Activity Plan'!$N$6:$N$17,'Activity Plan'!$A$6:$A$17,"&gt;"&amp;'Assumptions'!$B$5)</x:f>
        <x:v>28000</x:v>
      </x:c>
      <x:c r="F11" s="20" t="n">
        <x:f>C11+E11</x:f>
        <x:v>118296</x:v>
      </x:c>
      <x:c r="G11" s="20" t="n">
        <x:f>B11-F11</x:f>
        <x:v>1704</x:v>
      </x:c>
      <x:c r="H11" s="23" t="n">
        <x:f>IFERROR(G11/B11,0)</x:f>
        <x:v>0.0142</x:v>
      </x:c>
      <x:c r="I11" t="n">
        <x:f>COUNTIFS('Clean Actuals'!$D$6:$D$155,A11,'Clean Actuals'!$L$6:$L$155,"Review")</x:f>
        <x:v>1</x:v>
      </x:c>
      <x:c r="J11" t="str">
        <x:f>IF(B11&lt;=0,"Set approved budget",IF(G11&lt;0,"Forecast over budget",IF(I11&gt;0,"Review source exceptions","Within budget")))</x:f>
        <x:v>Review source exceptions</x:v>
      </x:c>
    </x:row>
    <x:row r="12">
      <x:c r="A12" t="str">
        <x:v>Site visits</x:v>
      </x:c>
      <x:c r="B12" s="22" t="n">
        <x:v>110000</x:v>
      </x:c>
      <x:c r="C12" s="20" t="n">
        <x:f>SUMIFS('Clean Actuals'!$M$6:$M$155,'Clean Actuals'!$D$6:$D$155,A12,'Clean Actuals'!$C$6:$C$155,"&lt;="&amp;'Assumptions'!$B$5)</x:f>
        <x:v>45095</x:v>
      </x:c>
      <x:c r="D12" s="23" t="n">
        <x:f>IFERROR(C12/B12,0)</x:f>
        <x:v>0.40995454545454546</x:v>
      </x:c>
      <x:c r="E12" s="20" t="n">
        <x:f>SUMIFS('Activity Plan'!$O$6:$O$17,'Activity Plan'!$A$6:$A$17,"&gt;"&amp;'Assumptions'!$B$5)</x:f>
        <x:v>36000</x:v>
      </x:c>
      <x:c r="F12" s="20" t="n">
        <x:f>C12+E12</x:f>
        <x:v>81095</x:v>
      </x:c>
      <x:c r="G12" s="20" t="n">
        <x:f>B12-F12</x:f>
        <x:v>28905</x:v>
      </x:c>
      <x:c r="H12" s="23" t="n">
        <x:f>IFERROR(G12/B12,0)</x:f>
        <x:v>0.26277272727272727</x:v>
      </x:c>
      <x:c r="I12" t="n">
        <x:f>COUNTIFS('Clean Actuals'!$D$6:$D$155,A12,'Clean Actuals'!$L$6:$L$155,"Review")</x:f>
        <x:v>3</x:v>
      </x:c>
      <x:c r="J12" t="str">
        <x:f>IF(B12&lt;=0,"Set approved budget",IF(G12&lt;0,"Forecast over budget",IF(I12&gt;0,"Review source exceptions","Within budget")))</x:f>
        <x:v>Review source exceptions</x:v>
      </x:c>
    </x:row>
    <x:row r="13">
      <x:c r="A13" t="str">
        <x:v>Events</x:v>
      </x:c>
      <x:c r="B13" s="22" t="n">
        <x:v>180000</x:v>
      </x:c>
      <x:c r="C13" s="20" t="n">
        <x:f>SUMIFS('Clean Actuals'!$M$6:$M$155,'Clean Actuals'!$D$6:$D$155,A13,'Clean Actuals'!$C$6:$C$155,"&lt;="&amp;'Assumptions'!$B$5)</x:f>
        <x:v>58596</x:v>
      </x:c>
      <x:c r="D13" s="23" t="n">
        <x:f>IFERROR(C13/B13,0)</x:f>
        <x:v>0.32553333333333334</x:v>
      </x:c>
      <x:c r="E13" s="20" t="n">
        <x:f>SUMIFS('Activity Plan'!$P$6:$P$17,'Activity Plan'!$A$6:$A$17,"&gt;"&amp;'Assumptions'!$B$5)</x:f>
        <x:v>72000</x:v>
      </x:c>
      <x:c r="F13" s="20" t="n">
        <x:f>C13+E13</x:f>
        <x:v>130596</x:v>
      </x:c>
      <x:c r="G13" s="20" t="n">
        <x:f>B13-F13</x:f>
        <x:v>49404</x:v>
      </x:c>
      <x:c r="H13" s="23" t="n">
        <x:f>IFERROR(G13/B13,0)</x:f>
        <x:v>0.2744666666666667</x:v>
      </x:c>
      <x:c r="I13" t="n">
        <x:f>COUNTIFS('Clean Actuals'!$D$6:$D$155,A13,'Clean Actuals'!$L$6:$L$155,"Review")</x:f>
        <x:v>2</x:v>
      </x:c>
      <x:c r="J13" t="str">
        <x:f>IF(B13&lt;=0,"Set approved budget",IF(G13&lt;0,"Forecast over budget",IF(I13&gt;0,"Review source exceptions","Within budget")))</x:f>
        <x:v>Review source exceptions</x:v>
      </x:c>
    </x:row>
    <x:row r="14">
      <x:c r="A14" t="str">
        <x:v>Venue</x:v>
      </x:c>
      <x:c r="B14" s="22" t="n">
        <x:v>110000</x:v>
      </x:c>
      <x:c r="C14" s="20" t="n">
        <x:f>SUMIFS('Clean Actuals'!$M$6:$M$155,'Clean Actuals'!$D$6:$D$155,A14,'Clean Actuals'!$C$6:$C$155,"&lt;="&amp;'Assumptions'!$B$5)</x:f>
        <x:v>50397</x:v>
      </x:c>
      <x:c r="D14" s="23" t="n">
        <x:f>IFERROR(C14/B14,0)</x:f>
        <x:v>0.4581545454545455</x:v>
      </x:c>
      <x:c r="E14" s="20" t="n">
        <x:f>SUMIFS('Activity Plan'!$Q$6:$Q$17,'Activity Plan'!$A$6:$A$17,"&gt;"&amp;'Assumptions'!$B$5)</x:f>
        <x:v>42500</x:v>
      </x:c>
      <x:c r="F14" s="20" t="n">
        <x:f>C14+E14</x:f>
        <x:v>92897</x:v>
      </x:c>
      <x:c r="G14" s="20" t="n">
        <x:f>B14-F14</x:f>
        <x:v>17103</x:v>
      </x:c>
      <x:c r="H14" s="23" t="n">
        <x:f>IFERROR(G14/B14,0)</x:f>
        <x:v>0.1554818181818182</x:v>
      </x:c>
      <x:c r="I14" t="n">
        <x:f>COUNTIFS('Clean Actuals'!$D$6:$D$155,A14,'Clean Actuals'!$L$6:$L$155,"Review")</x:f>
        <x:v>2</x:v>
      </x:c>
      <x:c r="J14" t="str">
        <x:f>IF(B14&lt;=0,"Set approved budget",IF(G14&lt;0,"Forecast over budget",IF(I14&gt;0,"Review source exceptions","Within budget")))</x:f>
        <x:v>Review source exceptions</x:v>
      </x:c>
    </x:row>
    <x:row r="15">
      <x:c r="A15" t="str">
        <x:v>Administration</x:v>
      </x:c>
      <x:c r="B15" s="22" t="n">
        <x:v>550000</x:v>
      </x:c>
      <x:c r="C15" s="20" t="n">
        <x:f>SUMIFS('Clean Actuals'!$M$6:$M$155,'Clean Actuals'!$D$6:$D$155,A15,'Clean Actuals'!$C$6:$C$155,"&lt;="&amp;'Assumptions'!$B$5)</x:f>
        <x:v>27795</x:v>
      </x:c>
      <x:c r="D15" s="23" t="n">
        <x:f>IFERROR(C15/B15,0)</x:f>
        <x:v>0.050536363636363636</x:v>
      </x:c>
      <x:c r="E15" s="20" t="n">
        <x:f>SUMIFS('Activity Plan'!$R$6:$R$17,'Activity Plan'!$A$6:$A$17,"&gt;"&amp;'Assumptions'!$B$5)</x:f>
        <x:v>252000</x:v>
      </x:c>
      <x:c r="F15" s="20" t="n">
        <x:f>C15+E15</x:f>
        <x:v>279795</x:v>
      </x:c>
      <x:c r="G15" s="20" t="n">
        <x:f>B15-F15</x:f>
        <x:v>270205</x:v>
      </x:c>
      <x:c r="H15" s="23" t="n">
        <x:f>IFERROR(G15/B15,0)</x:f>
        <x:v>0.4912818181818182</x:v>
      </x:c>
      <x:c r="I15" t="n">
        <x:f>COUNTIFS('Clean Actuals'!$D$6:$D$155,A15,'Clean Actuals'!$L$6:$L$155,"Review")</x:f>
        <x:v>3</x:v>
      </x:c>
      <x:c r="J15" t="str">
        <x:f>IF(B15&lt;=0,"Set approved budget",IF(G15&lt;0,"Forecast over budget",IF(I15&gt;0,"Review source exceptions","Within budget")))</x:f>
        <x:v>Review source exceptions</x:v>
      </x:c>
    </x:row>
    <x:row r="16">
      <x:c r="A16" t="str">
        <x:v>Contingency</x:v>
      </x:c>
      <x:c r="B16" s="22" t="n">
        <x:v>250000</x:v>
      </x:c>
      <x:c r="C16" s="20" t="n">
        <x:f>SUMIFS('Clean Actuals'!$M$6:$M$155,'Clean Actuals'!$D$6:$D$155,A16,'Clean Actuals'!$C$6:$C$155,"&lt;="&amp;'Assumptions'!$B$5)</x:f>
        <x:v>0</x:v>
      </x:c>
      <x:c r="D16" s="23" t="n">
        <x:f>IFERROR(C16/B16,0)</x:f>
        <x:v>0</x:v>
      </x:c>
      <x:c r="E16" s="20" t="n">
        <x:f>SUMIFS('Activity Plan'!$T$6:$T$17,'Activity Plan'!$A$6:$A$17,"&gt;"&amp;'Assumptions'!$B$5)</x:f>
        <x:v>60238.40000000001</x:v>
      </x:c>
      <x:c r="F16" s="20" t="n">
        <x:f>C16+E16</x:f>
        <x:v>60238.40000000001</x:v>
      </x:c>
      <x:c r="G16" s="20" t="n">
        <x:f>B16-F16</x:f>
        <x:v>189761.59999999998</x:v>
      </x:c>
      <x:c r="H16" s="23" t="n">
        <x:f>IFERROR(G16/B16,0)</x:f>
        <x:v>0.7590463999999999</x:v>
      </x:c>
      <x:c r="I16" t="n">
        <x:f>COUNTIFS('Clean Actuals'!$D$6:$D$155,A16,'Clean Actuals'!$L$6:$L$155,"Review")</x:f>
        <x:v>0</x:v>
      </x:c>
      <x:c r="J16" t="str">
        <x:f>IF(B16&lt;=0,"Set approved budget",IF(G16&lt;0,"Forecast over budget",IF(I16&gt;0,"Review source exceptions","Within budget")))</x:f>
        <x:v>Within budget</x:v>
      </x:c>
    </x:row>
    <x:row r="17">
      <x:c r="A17" s="4" t="str">
        <x:v>Total</x:v>
      </x:c>
      <x:c r="B17" s="21" t="n">
        <x:f>SUM(B6:B16)</x:f>
        <x:v>2005000</x:v>
      </x:c>
      <x:c r="C17" s="21" t="n">
        <x:f>SUM(C6:C16)</x:f>
        <x:v>517777</x:v>
      </x:c>
      <x:c r="D17" s="24" t="n">
        <x:f>IFERROR(C17/B17,0)</x:f>
        <x:v>0.2582428927680798</x:v>
      </x:c>
      <x:c r="E17" s="21" t="n">
        <x:f>SUM(E6:E16)</x:f>
        <x:v>662622.4</x:v>
      </x:c>
      <x:c r="F17" s="21" t="n">
        <x:f>SUM(F6:F16)</x:f>
        <x:v>1180399.4</x:v>
      </x:c>
      <x:c r="G17" s="21" t="n">
        <x:f>B17-F17</x:f>
        <x:v>824600.6000000001</x:v>
      </x:c>
      <x:c r="H17" s="24" t="n">
        <x:f>IFERROR(G17/B17,0)</x:f>
        <x:v>0.4112721197007482</x:v>
      </x:c>
      <x:c r="I17" s="4" t="n">
        <x:f>SUM(I6:I16)</x:f>
        <x:v>21</x:v>
      </x:c>
      <x:c r="J17" s="4" t="str">
        <x:f>IF(G17&lt;0,"Forecast over budget",IF(I17&gt;0,"Review source exceptions","Within budget"))</x:f>
        <x:v>Review source exceptions</x:v>
      </x:c>
    </x:row>
  </x:sheetData>
  <x:conditionalFormatting sqref="J6:J17">
    <x:cfRule type="containsText" dxfId="0" priority="1" operator="containsText" text="over budget"/>
    <x:cfRule type="containsText" dxfId="1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fc332b8baab342ff"/>
  </x:tableParts>
</x:worksheet>
</file>

<file path=xl/worksheets/sheet5.xml><?xml version="1.0" encoding="utf-8"?>
<x:worksheet xmlns:x="http://schemas.openxmlformats.org/spreadsheetml/2006/main">
  <x:sheetPr>
    <x:tabColor rgb="FF1D3430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1" hidden="0" customWidth="1"/>
    <x:col min="4" max="4" width="21" hidden="0" customWidth="1"/>
    <x:col min="5" max="5" width="22" hidden="0" customWidth="1"/>
    <x:col min="6" max="6" width="25" hidden="0" customWidth="1"/>
    <x:col min="7" max="7" width="22" hidden="0" customWidth="1"/>
    <x:col min="8" max="8" width="22" hidden="0" customWidth="1"/>
    <x:col min="9" max="9" width="20" hidden="0" customWidth="1"/>
  </x:cols>
  <x:sheetData>
    <x:row r="1">
      <x:c r="A1" s="1" t="str">
        <x:v>Monthly Forecast, Actuals and Variance</x:v>
      </x:c>
    </x:row>
    <x:row r="2">
      <x:c r="A2" s="2" t="str">
        <x:v>Monthly forecast is compared with eligible actuals; full-year EAC uses actuals to cut-off plus remaining forecast</x:v>
      </x:c>
    </x:row>
    <x:row r="5" ht="30" customHeight="1">
      <x:c r="A5" s="12" t="str">
        <x:v>Month</x:v>
      </x:c>
      <x:c r="B5" s="12" t="str">
        <x:v>Workshops</x:v>
      </x:c>
      <x:c r="C5" s="12" t="str">
        <x:v>Learner attendances</x:v>
      </x:c>
      <x:c r="D5" s="12" t="str">
        <x:v>Forecast spend</x:v>
      </x:c>
      <x:c r="E5" s="12" t="str">
        <x:v>Recognized actuals</x:v>
      </x:c>
      <x:c r="F5" s="12" t="str">
        <x:v>Variance to monthly forecast</x:v>
      </x:c>
      <x:c r="G5" s="12" t="str">
        <x:v>Cumulative actuals</x:v>
      </x:c>
      <x:c r="H5" s="12" t="str">
        <x:v>Remaining forecast</x:v>
      </x:c>
      <x:c r="I5" s="12" t="str">
        <x:v>Month-end EAC</x:v>
      </x:c>
    </x:row>
    <x:row r="6">
      <x:c r="A6" s="16" t="n">
        <x:f>'Assumptions'!A29</x:f>
        <x:v>46388</x:v>
      </x:c>
      <x:c r="B6" t="n">
        <x:f>'Activity Plan'!B6</x:f>
        <x:v>0</x:v>
      </x:c>
      <x:c r="C6" t="n">
        <x:f>'Activity Plan'!G6</x:f>
        <x:v>0</x:v>
      </x:c>
      <x:c r="D6" s="20" t="n">
        <x:f>'Activity Plan'!U6</x:f>
        <x:v>46200</x:v>
      </x:c>
      <x:c r="E6" s="20" t="n">
        <x:f>SUMIFS('Clean Actuals'!$M$6:$M$155,'Clean Actuals'!$C$6:$C$155,"&gt;="&amp;A6,'Clean Actuals'!$C$6:$C$155,"&lt;"&amp;DATE(YEAR(A6),MONTH(A6)+1,1))</x:f>
        <x:v>86447</x:v>
      </x:c>
      <x:c r="F6" s="20" t="n">
        <x:f>IF(A6&lt;='Assumptions'!$B$5,D6-E6,"")</x:f>
        <x:v>-40247</x:v>
      </x:c>
      <x:c r="G6" s="20" t="n">
        <x:f>SUM($E$6:E6)</x:f>
        <x:v>86447</x:v>
      </x:c>
      <x:c r="H6" s="20" t="n">
        <x:f>SUMIFS('Activity Plan'!$U$6:$U$17,'Activity Plan'!$A$6:$A$17,"&gt;"&amp;A6)</x:f>
        <x:v>1354673.76</x:v>
      </x:c>
      <x:c r="I6" s="20" t="n">
        <x:f>G6+H6</x:f>
        <x:v>1441120.76</x:v>
      </x:c>
    </x:row>
    <x:row r="7">
      <x:c r="A7" s="16" t="n">
        <x:f>'Assumptions'!A30</x:f>
        <x:v>46419</x:v>
      </x:c>
      <x:c r="B7" t="n">
        <x:f>'Activity Plan'!B7</x:f>
        <x:v>4</x:v>
      </x:c>
      <x:c r="C7" t="n">
        <x:f>'Activity Plan'!G7</x:f>
        <x:v>72.16</x:v>
      </x:c>
      <x:c r="D7" s="20" t="n">
        <x:f>'Activity Plan'!U7</x:f>
        <x:v>84014.48000000001</x:v>
      </x:c>
      <x:c r="E7" s="20" t="n">
        <x:f>SUMIFS('Clean Actuals'!$M$6:$M$155,'Clean Actuals'!$C$6:$C$155,"&gt;="&amp;A7,'Clean Actuals'!$C$6:$C$155,"&lt;"&amp;DATE(YEAR(A7),MONTH(A7)+1,1))</x:f>
        <x:v>99261</x:v>
      </x:c>
      <x:c r="F7" s="20" t="n">
        <x:f>IF(A7&lt;='Assumptions'!$B$5,D7-E7,"")</x:f>
        <x:v>-15246.51999999999</x:v>
      </x:c>
      <x:c r="G7" s="20" t="n">
        <x:f>SUM($E$6:E7)</x:f>
        <x:v>185708</x:v>
      </x:c>
      <x:c r="H7" s="20" t="n">
        <x:f>SUMIFS('Activity Plan'!$U$6:$U$17,'Activity Plan'!$A$6:$A$17,"&gt;"&amp;A7)</x:f>
        <x:v>1270659.28</x:v>
      </x:c>
      <x:c r="I7" s="20" t="n">
        <x:f>G7+H7</x:f>
        <x:v>1456367.28</x:v>
      </x:c>
    </x:row>
    <x:row r="8">
      <x:c r="A8" s="16" t="n">
        <x:f>'Assumptions'!A31</x:f>
        <x:v>46447</x:v>
      </x:c>
      <x:c r="B8" t="n">
        <x:f>'Activity Plan'!B8</x:f>
        <x:v>6</x:v>
      </x:c>
      <x:c r="C8" t="n">
        <x:f>'Activity Plan'!G8</x:f>
        <x:v>108.24</x:v>
      </x:c>
      <x:c r="D8" s="20" t="n">
        <x:f>'Activity Plan'!U8</x:f>
        <x:v>112821.72000000002</x:v>
      </x:c>
      <x:c r="E8" s="20" t="n">
        <x:f>SUMIFS('Clean Actuals'!$M$6:$M$155,'Clean Actuals'!$C$6:$C$155,"&gt;="&amp;A8,'Clean Actuals'!$C$6:$C$155,"&lt;"&amp;DATE(YEAR(A8),MONTH(A8)+1,1))</x:f>
        <x:v>68438</x:v>
      </x:c>
      <x:c r="F8" s="20" t="n">
        <x:f>IF(A8&lt;='Assumptions'!$B$5,D8-E8,"")</x:f>
        <x:v>44383.720000000016</x:v>
      </x:c>
      <x:c r="G8" s="20" t="n">
        <x:f>SUM($E$6:E8)</x:f>
        <x:v>254146</x:v>
      </x:c>
      <x:c r="H8" s="20" t="n">
        <x:f>SUMIFS('Activity Plan'!$U$6:$U$17,'Activity Plan'!$A$6:$A$17,"&gt;"&amp;A8)</x:f>
        <x:v>1157837.56</x:v>
      </x:c>
      <x:c r="I8" s="20" t="n">
        <x:f>G8+H8</x:f>
        <x:v>1411983.56</x:v>
      </x:c>
    </x:row>
    <x:row r="9">
      <x:c r="A9" s="16" t="n">
        <x:f>'Assumptions'!A32</x:f>
        <x:v>46478</x:v>
      </x:c>
      <x:c r="B9" t="n">
        <x:f>'Activity Plan'!B9</x:f>
        <x:v>6</x:v>
      </x:c>
      <x:c r="C9" t="n">
        <x:f>'Activity Plan'!G9</x:f>
        <x:v>108.24</x:v>
      </x:c>
      <x:c r="D9" s="20" t="n">
        <x:f>'Activity Plan'!U9</x:f>
        <x:v>152971.72</x:v>
      </x:c>
      <x:c r="E9" s="20" t="n">
        <x:f>SUMIFS('Clean Actuals'!$M$6:$M$155,'Clean Actuals'!$C$6:$C$155,"&gt;="&amp;A9,'Clean Actuals'!$C$6:$C$155,"&lt;"&amp;DATE(YEAR(A9),MONTH(A9)+1,1))</x:f>
        <x:v>84004</x:v>
      </x:c>
      <x:c r="F9" s="20" t="n">
        <x:f>IF(A9&lt;='Assumptions'!$B$5,D9-E9,"")</x:f>
        <x:v>68967.72</x:v>
      </x:c>
      <x:c r="G9" s="20" t="n">
        <x:f>SUM($E$6:E9)</x:f>
        <x:v>338150</x:v>
      </x:c>
      <x:c r="H9" s="20" t="n">
        <x:f>SUMIFS('Activity Plan'!$U$6:$U$17,'Activity Plan'!$A$6:$A$17,"&gt;"&amp;A9)</x:f>
        <x:v>1004865.8400000001</x:v>
      </x:c>
      <x:c r="I9" s="20" t="n">
        <x:f>G9+H9</x:f>
        <x:v>1343015.84</x:v>
      </x:c>
    </x:row>
    <x:row r="10">
      <x:c r="A10" s="16" t="n">
        <x:f>'Assumptions'!A33</x:f>
        <x:v>46508</x:v>
      </x:c>
      <x:c r="B10" t="n">
        <x:f>'Activity Plan'!B10</x:f>
        <x:v>6</x:v>
      </x:c>
      <x:c r="C10" t="n">
        <x:f>'Activity Plan'!G10</x:f>
        <x:v>108.24</x:v>
      </x:c>
      <x:c r="D10" s="20" t="n">
        <x:f>'Activity Plan'!U10</x:f>
        <x:v>112821.72000000002</x:v>
      </x:c>
      <x:c r="E10" s="20" t="n">
        <x:f>SUMIFS('Clean Actuals'!$M$6:$M$155,'Clean Actuals'!$C$6:$C$155,"&gt;="&amp;A10,'Clean Actuals'!$C$6:$C$155,"&lt;"&amp;DATE(YEAR(A10),MONTH(A10)+1,1))</x:f>
        <x:v>63703</x:v>
      </x:c>
      <x:c r="F10" s="20" t="n">
        <x:f>IF(A10&lt;='Assumptions'!$B$5,D10-E10,"")</x:f>
        <x:v>49118.720000000016</x:v>
      </x:c>
      <x:c r="G10" s="20" t="n">
        <x:f>SUM($E$6:E10)</x:f>
        <x:v>401853</x:v>
      </x:c>
      <x:c r="H10" s="20" t="n">
        <x:f>SUMIFS('Activity Plan'!$U$6:$U$17,'Activity Plan'!$A$6:$A$17,"&gt;"&amp;A10)</x:f>
        <x:v>892044.12</x:v>
      </x:c>
      <x:c r="I10" s="20" t="n">
        <x:f>G10+H10</x:f>
        <x:v>1293897.12</x:v>
      </x:c>
    </x:row>
    <x:row r="11">
      <x:c r="A11" s="16" t="n">
        <x:f>'Assumptions'!A34</x:f>
        <x:v>46539</x:v>
      </x:c>
      <x:c r="B11" t="n">
        <x:f>'Activity Plan'!B11</x:f>
        <x:v>6</x:v>
      </x:c>
      <x:c r="C11" t="n">
        <x:f>'Activity Plan'!G11</x:f>
        <x:v>108.24</x:v>
      </x:c>
      <x:c r="D11" s="20" t="n">
        <x:f>'Activity Plan'!U11</x:f>
        <x:v>229421.72000000003</x:v>
      </x:c>
      <x:c r="E11" s="20" t="n">
        <x:f>SUMIFS('Clean Actuals'!$M$6:$M$155,'Clean Actuals'!$C$6:$C$155,"&gt;="&amp;A11,'Clean Actuals'!$C$6:$C$155,"&lt;"&amp;DATE(YEAR(A11),MONTH(A11)+1,1))</x:f>
        <x:v>106672</x:v>
      </x:c>
      <x:c r="F11" s="20" t="n">
        <x:f>IF(A11&lt;='Assumptions'!$B$5,D11-E11,"")</x:f>
        <x:v>122749.72000000003</x:v>
      </x:c>
      <x:c r="G11" s="20" t="n">
        <x:f>SUM($E$6:E11)</x:f>
        <x:v>508525</x:v>
      </x:c>
      <x:c r="H11" s="20" t="n">
        <x:f>SUMIFS('Activity Plan'!$U$6:$U$17,'Activity Plan'!$A$6:$A$17,"&gt;"&amp;A11)</x:f>
        <x:v>662622.4</x:v>
      </x:c>
      <x:c r="I11" s="20" t="n">
        <x:f>G11+H11</x:f>
        <x:v>1171147.4</x:v>
      </x:c>
    </x:row>
    <x:row r="12">
      <x:c r="A12" s="16" t="n">
        <x:f>'Assumptions'!A35</x:f>
        <x:v>46569</x:v>
      </x:c>
      <x:c r="B12" t="n">
        <x:f>'Activity Plan'!B12</x:f>
        <x:v>6</x:v>
      </x:c>
      <x:c r="C12" t="n">
        <x:f>'Activity Plan'!G12</x:f>
        <x:v>108.24</x:v>
      </x:c>
      <x:c r="D12" s="20" t="n">
        <x:f>'Activity Plan'!U12</x:f>
        <x:v>112821.72000000002</x:v>
      </x:c>
      <x:c r="E12" s="20" t="n">
        <x:f>SUMIFS('Clean Actuals'!$M$6:$M$155,'Clean Actuals'!$C$6:$C$155,"&gt;="&amp;A12,'Clean Actuals'!$C$6:$C$155,"&lt;"&amp;DATE(YEAR(A12),MONTH(A12)+1,1))</x:f>
        <x:v>0</x:v>
      </x:c>
      <x:c r="F12" s="20" t="str">
        <x:f>IF(A12&lt;='Assumptions'!$B$5,D12-E12,"")</x:f>
      </x:c>
      <x:c r="G12" s="20" t="n">
        <x:f>SUM($E$6:E12)</x:f>
        <x:v>508525</x:v>
      </x:c>
      <x:c r="H12" s="20" t="n">
        <x:f>SUMIFS('Activity Plan'!$U$6:$U$17,'Activity Plan'!$A$6:$A$17,"&gt;"&amp;A12)</x:f>
        <x:v>549800.6799999999</x:v>
      </x:c>
      <x:c r="I12" s="20" t="n">
        <x:f>G12+H12</x:f>
        <x:v>1058325.68</x:v>
      </x:c>
    </x:row>
    <x:row r="13">
      <x:c r="A13" s="16" t="n">
        <x:f>'Assumptions'!A36</x:f>
        <x:v>46600</x:v>
      </x:c>
      <x:c r="B13" t="n">
        <x:f>'Activity Plan'!B13</x:f>
        <x:v>5</x:v>
      </x:c>
      <x:c r="C13" t="n">
        <x:f>'Activity Plan'!G13</x:f>
        <x:v>90.19999999999999</x:v>
      </x:c>
      <x:c r="D13" s="20" t="n">
        <x:f>'Activity Plan'!U13</x:f>
        <x:v>143518.1</x:v>
      </x:c>
      <x:c r="E13" s="20" t="n">
        <x:f>SUMIFS('Clean Actuals'!$M$6:$M$155,'Clean Actuals'!$C$6:$C$155,"&gt;="&amp;A13,'Clean Actuals'!$C$6:$C$155,"&lt;"&amp;DATE(YEAR(A13),MONTH(A13)+1,1))</x:f>
        <x:v>0</x:v>
      </x:c>
      <x:c r="F13" s="20" t="str">
        <x:f>IF(A13&lt;='Assumptions'!$B$5,D13-E13,"")</x:f>
      </x:c>
      <x:c r="G13" s="20" t="n">
        <x:f>SUM($E$6:E13)</x:f>
        <x:v>508525</x:v>
      </x:c>
      <x:c r="H13" s="20" t="n">
        <x:f>SUMIFS('Activity Plan'!$U$6:$U$17,'Activity Plan'!$A$6:$A$17,"&gt;"&amp;A13)</x:f>
        <x:v>406282.58</x:v>
      </x:c>
      <x:c r="I13" s="20" t="n">
        <x:f>G13+H13</x:f>
        <x:v>914807.5800000001</x:v>
      </x:c>
    </x:row>
    <x:row r="14">
      <x:c r="A14" s="16" t="n">
        <x:f>'Assumptions'!A37</x:f>
        <x:v>46631</x:v>
      </x:c>
      <x:c r="B14" t="n">
        <x:f>'Activity Plan'!B14</x:f>
        <x:v>4</x:v>
      </x:c>
      <x:c r="C14" t="n">
        <x:f>'Activity Plan'!G14</x:f>
        <x:v>72.16</x:v>
      </x:c>
      <x:c r="D14" s="20" t="n">
        <x:f>'Activity Plan'!U14</x:f>
        <x:v>93914.48000000001</x:v>
      </x:c>
      <x:c r="E14" s="20" t="n">
        <x:f>SUMIFS('Clean Actuals'!$M$6:$M$155,'Clean Actuals'!$C$6:$C$155,"&gt;="&amp;A14,'Clean Actuals'!$C$6:$C$155,"&lt;"&amp;DATE(YEAR(A14),MONTH(A14)+1,1))</x:f>
        <x:v>0</x:v>
      </x:c>
      <x:c r="F14" s="20" t="str">
        <x:f>IF(A14&lt;='Assumptions'!$B$5,D14-E14,"")</x:f>
      </x:c>
      <x:c r="G14" s="20" t="n">
        <x:f>SUM($E$6:E14)</x:f>
        <x:v>508525</x:v>
      </x:c>
      <x:c r="H14" s="20" t="n">
        <x:f>SUMIFS('Activity Plan'!$U$6:$U$17,'Activity Plan'!$A$6:$A$17,"&gt;"&amp;A14)</x:f>
        <x:v>312368.1</x:v>
      </x:c>
      <x:c r="I14" s="20" t="n">
        <x:f>G14+H14</x:f>
        <x:v>820893.1</x:v>
      </x:c>
    </x:row>
    <x:row r="15">
      <x:c r="A15" s="16" t="n">
        <x:f>'Assumptions'!A38</x:f>
        <x:v>46661</x:v>
      </x:c>
      <x:c r="B15" t="n">
        <x:f>'Activity Plan'!B15</x:f>
        <x:v>3</x:v>
      </x:c>
      <x:c r="C15" t="n">
        <x:f>'Activity Plan'!G15</x:f>
        <x:v>54.12</x:v>
      </x:c>
      <x:c r="D15" s="20" t="n">
        <x:f>'Activity Plan'!U15</x:f>
        <x:v>79510.86</x:v>
      </x:c>
      <x:c r="E15" s="20" t="n">
        <x:f>SUMIFS('Clean Actuals'!$M$6:$M$155,'Clean Actuals'!$C$6:$C$155,"&gt;="&amp;A15,'Clean Actuals'!$C$6:$C$155,"&lt;"&amp;DATE(YEAR(A15),MONTH(A15)+1,1))</x:f>
        <x:v>0</x:v>
      </x:c>
      <x:c r="F15" s="20" t="str">
        <x:f>IF(A15&lt;='Assumptions'!$B$5,D15-E15,"")</x:f>
      </x:c>
      <x:c r="G15" s="20" t="n">
        <x:f>SUM($E$6:E15)</x:f>
        <x:v>508525</x:v>
      </x:c>
      <x:c r="H15" s="20" t="n">
        <x:f>SUMIFS('Activity Plan'!$U$6:$U$17,'Activity Plan'!$A$6:$A$17,"&gt;"&amp;A15)</x:f>
        <x:v>232857.24</x:v>
      </x:c>
      <x:c r="I15" s="20" t="n">
        <x:f>G15+H15</x:f>
        <x:v>741382.24</x:v>
      </x:c>
    </x:row>
    <x:row r="16">
      <x:c r="A16" s="16" t="n">
        <x:f>'Assumptions'!A39</x:f>
        <x:v>46692</x:v>
      </x:c>
      <x:c r="B16" t="n">
        <x:f>'Activity Plan'!B16</x:f>
        <x:v>2</x:v>
      </x:c>
      <x:c r="C16" t="n">
        <x:f>'Activity Plan'!G16</x:f>
        <x:v>36.08</x:v>
      </x:c>
      <x:c r="D16" s="20" t="n">
        <x:f>'Activity Plan'!U16</x:f>
        <x:v>186657.24</x:v>
      </x:c>
      <x:c r="E16" s="20" t="n">
        <x:f>SUMIFS('Clean Actuals'!$M$6:$M$155,'Clean Actuals'!$C$6:$C$155,"&gt;="&amp;A16,'Clean Actuals'!$C$6:$C$155,"&lt;"&amp;DATE(YEAR(A16),MONTH(A16)+1,1))</x:f>
        <x:v>0</x:v>
      </x:c>
      <x:c r="F16" s="20" t="str">
        <x:f>IF(A16&lt;='Assumptions'!$B$5,D16-E16,"")</x:f>
      </x:c>
      <x:c r="G16" s="20" t="n">
        <x:f>SUM($E$6:E16)</x:f>
        <x:v>508525</x:v>
      </x:c>
      <x:c r="H16" s="20" t="n">
        <x:f>SUMIFS('Activity Plan'!$U$6:$U$17,'Activity Plan'!$A$6:$A$17,"&gt;"&amp;A16)</x:f>
        <x:v>46200</x:v>
      </x:c>
      <x:c r="I16" s="20" t="n">
        <x:f>G16+H16</x:f>
        <x:v>554725</x:v>
      </x:c>
    </x:row>
    <x:row r="17">
      <x:c r="A17" s="16" t="n">
        <x:f>'Assumptions'!A40</x:f>
        <x:v>46722</x:v>
      </x:c>
      <x:c r="B17" t="n">
        <x:f>'Activity Plan'!B17</x:f>
        <x:v>0</x:v>
      </x:c>
      <x:c r="C17" t="n">
        <x:f>'Activity Plan'!G17</x:f>
        <x:v>0</x:v>
      </x:c>
      <x:c r="D17" s="20" t="n">
        <x:f>'Activity Plan'!U17</x:f>
        <x:v>46200</x:v>
      </x:c>
      <x:c r="E17" s="20" t="n">
        <x:f>SUMIFS('Clean Actuals'!$M$6:$M$155,'Clean Actuals'!$C$6:$C$155,"&gt;="&amp;A17,'Clean Actuals'!$C$6:$C$155,"&lt;"&amp;DATE(YEAR(A17),MONTH(A17)+1,1))</x:f>
        <x:v>0</x:v>
      </x:c>
      <x:c r="F17" s="20" t="str">
        <x:f>IF(A17&lt;='Assumptions'!$B$5,D17-E17,"")</x:f>
      </x:c>
      <x:c r="G17" s="20" t="n">
        <x:f>SUM($E$6:E17)</x:f>
        <x:v>508525</x:v>
      </x:c>
      <x:c r="H17" s="20" t="n">
        <x:f>SUMIFS('Activity Plan'!$U$6:$U$17,'Activity Plan'!$A$6:$A$17,"&gt;"&amp;A17)</x:f>
        <x:v>0</x:v>
      </x:c>
      <x:c r="I17" s="20" t="n">
        <x:f>G17+H17</x:f>
        <x:v>508525</x:v>
      </x:c>
    </x:row>
    <x:row r="18">
      <x:c r="A18" s="4" t="str">
        <x:v>Full year / final EAC</x:v>
      </x:c>
      <x:c r="B18" s="4" t="n">
        <x:f>SUM(B6:B17)</x:f>
        <x:v>48</x:v>
      </x:c>
      <x:c r="C18" s="4" t="n">
        <x:f>SUM(C6:C17)</x:f>
        <x:v>865.92</x:v>
      </x:c>
      <x:c r="D18" s="21" t="n">
        <x:f>SUM(D6:D17)</x:f>
        <x:v>1400873.7600000002</x:v>
      </x:c>
      <x:c r="E18" s="21" t="n">
        <x:f>SUM(E6:E17)</x:f>
        <x:v>508525</x:v>
      </x:c>
      <x:c r="F18" s="21" t="n">
        <x:f>SUM(F6:F17)</x:f>
        <x:v>229726.36000000007</x:v>
      </x:c>
      <x:c r="G18" s="21" t="n">
        <x:f>G17</x:f>
        <x:v>508525</x:v>
      </x:c>
      <x:c r="H18" s="21" t="n">
        <x:f>H17</x:f>
        <x:v>0</x:v>
      </x:c>
      <x:c r="I18" s="21" t="n">
        <x:f>I17</x:f>
        <x:v>508525</x:v>
      </x:c>
    </x:row>
  </x:sheetData>
  <x:conditionalFormatting sqref="F6:F17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7779afacf9404d"/>
  </x:tableParts>
</x:worksheet>
</file>

<file path=xl/worksheets/sheet6.xml><?xml version="1.0" encoding="utf-8"?>
<x:worksheet xmlns:x="http://schemas.openxmlformats.org/spreadsheetml/2006/main">
  <x:sheetPr>
    <x:tabColor rgb="FFB97845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20" hidden="0" customWidth="1"/>
    <x:col min="4" max="4" width="27" hidden="0" customWidth="1"/>
    <x:col min="5" max="5" width="27" hidden="0" customWidth="1"/>
    <x:col min="6" max="6" width="38" hidden="0" customWidth="1"/>
    <x:col min="7" max="7" width="20" hidden="0" customWidth="1"/>
    <x:col min="8" max="8" width="21" hidden="0" customWidth="1"/>
    <x:col min="9" max="9" width="17" hidden="0" customWidth="1"/>
  </x:cols>
  <x:sheetData>
    <x:row r="1">
      <x:c r="A1" s="1" t="str">
        <x:v>Raw Expense Transactions</x:v>
      </x:c>
    </x:row>
    <x:row r="2">
      <x:c r="A2" s="2" t="str">
        <x:v>150 synthetic cost transactions with inconsistent categories, invoice references, dates, amounts, suppliers and payment states</x:v>
      </x:c>
    </x:row>
    <x:row r="5" ht="30" customHeight="1">
      <x:c r="A5" s="12" t="str">
        <x:v>Transaction ID</x:v>
      </x:c>
      <x:c r="B5" s="12" t="str">
        <x:v>Invoice ref (raw)</x:v>
      </x:c>
      <x:c r="C5" s="12" t="str">
        <x:v>Date (raw)</x:v>
      </x:c>
      <x:c r="D5" s="12" t="str">
        <x:v>Cost category (raw)</x:v>
      </x:c>
      <x:c r="E5" s="12" t="str">
        <x:v>Supplier (raw)</x:v>
      </x:c>
      <x:c r="F5" s="12" t="str">
        <x:v>Description (raw)</x:v>
      </x:c>
      <x:c r="G5" s="12" t="str">
        <x:v>Amount (raw)</x:v>
      </x:c>
      <x:c r="H5" s="12" t="str">
        <x:v>Payment state (raw)</x:v>
      </x:c>
      <x:c r="I5" s="12" t="str">
        <x:v>Source row ID</x:v>
      </x:c>
    </x:row>
    <x:row r="6">
      <x:c r="A6" t="str">
        <x:v>TXN-27-0001</x:v>
      </x:c>
      <x:c r="B6" t="str">
        <x:v>INV-27-0001</x:v>
      </x:c>
      <x:c r="C6" t="str">
        <x:v>12/06/2027</x:v>
      </x:c>
      <x:c r="D6" t="str">
        <x:v>Recognition event</x:v>
      </x:c>
      <x:c r="E6" t="str">
        <x:v>Northline Transport</x:v>
      </x:c>
      <x:c r="F6" t="str">
        <x:v>Events expense 1</x:v>
      </x:c>
      <x:c r="G6" t="str">
        <x:v>R2,551</x:v>
      </x:c>
      <x:c r="H6" t="str">
        <x:v>Approved</x:v>
      </x:c>
      <x:c r="I6" t="str">
        <x:v>SRC-0001</x:v>
      </x:c>
    </x:row>
    <x:row r="7">
      <x:c r="A7" t="str">
        <x:v>TXN-27-0002</x:v>
      </x:c>
      <x:c r="B7" t="str">
        <x:v>INV-27-0002</x:v>
      </x:c>
      <x:c r="C7" t="str">
        <x:v>23-05-27</x:v>
      </x:c>
      <x:c r="D7" t="str">
        <x:v>Printing and consent</x:v>
      </x:c>
      <x:c r="E7" t="str">
        <x:v>Kopano Catering</x:v>
      </x:c>
      <x:c r="F7" t="str">
        <x:v>Printing expense 2</x:v>
      </x:c>
      <x:c r="G7" t="str">
        <x:v>R2,396</x:v>
      </x:c>
      <x:c r="H7" t="str">
        <x:v>Submitted</x:v>
      </x:c>
      <x:c r="I7" t="str">
        <x:v>SRC-0002</x:v>
      </x:c>
    </x:row>
    <x:row r="8">
      <x:c r="A8" t="str">
        <x:v>TXN-27-0003</x:v>
      </x:c>
      <x:c r="B8" t="str">
        <x:v>INV-27-0003</x:v>
      </x:c>
      <x:c r="C8" t="str">
        <x:v>2027-04-07</x:v>
      </x:c>
      <x:c r="D8" t="str">
        <x:v>Learner taxi</x:v>
      </x:c>
      <x:c r="E8" t="str">
        <x:v>Riverside Venue Hire</x:v>
      </x:c>
      <x:c r="F8" t="str">
        <x:v>Transport expense 3</x:v>
      </x:c>
      <x:c r="G8" t="str">
        <x:v>R3,402</x:v>
      </x:c>
      <x:c r="H8" t="str">
        <x:v>Rejected</x:v>
      </x:c>
      <x:c r="I8" t="str">
        <x:v>SRC-0003</x:v>
      </x:c>
    </x:row>
    <x:row r="9">
      <x:c r="A9" t="str">
        <x:v>TXN-27-0004</x:v>
      </x:c>
      <x:c r="B9" t="str">
        <x:v>INV-27-0004</x:v>
      </x:c>
      <x:c r="C9" t="str">
        <x:v>2027-03-18</x:v>
      </x:c>
      <x:c r="D9" t="str">
        <x:v>Venue hire</x:v>
      </x:c>
      <x:c r="E9" t="str">
        <x:v>Bright Print Studio</x:v>
      </x:c>
      <x:c r="F9" t="str">
        <x:v>Venue expense 4</x:v>
      </x:c>
      <x:c r="G9" t="str">
        <x:v>R2,363</x:v>
      </x:c>
      <x:c r="H9" t="str">
        <x:v>Paid</x:v>
      </x:c>
      <x:c r="I9" t="str">
        <x:v>SRC-0004</x:v>
      </x:c>
    </x:row>
    <x:row r="10">
      <x:c r="A10" t="str">
        <x:v>TXN-27-0005</x:v>
      </x:c>
      <x:c r="B10" t="str">
        <x:v>INV-27-0005</x:v>
      </x:c>
      <x:c r="C10" t="str">
        <x:v>02/02/2027</x:v>
      </x:c>
      <x:c r="D10" t="str">
        <x:v>FACILITATOR TRAINING</x:v>
      </x:c>
      <x:c r="E10" t="str">
        <x:v>Thuto Facilitation</x:v>
      </x:c>
      <x:c r="F10" t="str">
        <x:v>Training expense 5</x:v>
      </x:c>
      <x:c r="G10" t="str">
        <x:v>3097</x:v>
      </x:c>
      <x:c r="H10" t="str">
        <x:v>Approved</x:v>
      </x:c>
      <x:c r="I10" t="str">
        <x:v>SRC-0005</x:v>
      </x:c>
    </x:row>
    <x:row r="11">
      <x:c r="A11" t="str">
        <x:v>TXN-27-0006</x:v>
      </x:c>
      <x:c r="B11" t="str">
        <x:v>INV-27-0006</x:v>
      </x:c>
      <x:c r="C11" t="str">
        <x:v>13-01-27</x:v>
      </x:c>
      <x:c r="D11" t="str">
        <x:v>STIPENDS</x:v>
      </x:c>
      <x:c r="E11" t="str">
        <x:v>Moya Supplies</x:v>
      </x:c>
      <x:c r="F11" t="str">
        <x:v>Facilitation expense 6</x:v>
      </x:c>
      <x:c r="G11" t="str">
        <x:v>R3,970</x:v>
      </x:c>
      <x:c r="H11" t="str">
        <x:v>Submitted</x:v>
      </x:c>
      <x:c r="I11" t="str">
        <x:v>SRC-0006</x:v>
      </x:c>
    </x:row>
    <x:row r="12">
      <x:c r="A12" t="str">
        <x:v>TXN-27-0007</x:v>
      </x:c>
      <x:c r="B12" t="str">
        <x:v>INV-27-0007</x:v>
      </x:c>
      <x:c r="C12" t="str">
        <x:v>2027-06-24</x:v>
      </x:c>
      <x:c r="D12" t="str">
        <x:v>Admin</x:v>
      </x:c>
      <x:c r="E12" t="str">
        <x:v>Northline Transport</x:v>
      </x:c>
      <x:c r="F12" t="str">
        <x:v>Administration expense 7</x:v>
      </x:c>
      <x:c r="G12" t="str">
        <x:v> R 4665.00 </x:v>
      </x:c>
      <x:c r="H12" t="str">
        <x:v>Rejected</x:v>
      </x:c>
      <x:c r="I12" t="str">
        <x:v>SRC-0007</x:v>
      </x:c>
    </x:row>
    <x:row r="13">
      <x:c r="A13" t="str">
        <x:v>TXN-27-0008</x:v>
      </x:c>
      <x:c r="B13" t="str">
        <x:v>INV-27-0008</x:v>
      </x:c>
      <x:c r="C13" t="str">
        <x:v>2027-05-08</x:v>
      </x:c>
      <x:c r="D13" t="str">
        <x:v>Travel and site visits</x:v>
      </x:c>
      <x:c r="E13" t="str">
        <x:v>Kopano Catering</x:v>
      </x:c>
      <x:c r="F13" t="str">
        <x:v>Site visits expense 8</x:v>
      </x:c>
      <x:c r="G13" t="str">
        <x:v>R3,965</x:v>
      </x:c>
      <x:c r="H13" t="str">
        <x:v>Paid</x:v>
      </x:c>
      <x:c r="I13" t="str">
        <x:v>SRC-0008</x:v>
      </x:c>
    </x:row>
    <x:row r="14">
      <x:c r="A14" t="str">
        <x:v>TXN-27-0009</x:v>
      </x:c>
      <x:c r="B14" t="str">
        <x:v>INV-27-0009</x:v>
      </x:c>
      <x:c r="C14" t="str">
        <x:v>19/04/2027</x:v>
      </x:c>
      <x:c r="D14" t="str">
        <x:v>Materials</x:v>
      </x:c>
      <x:c r="E14" t="str">
        <x:v>  RIVERSIDE VENUE HIRE </x:v>
      </x:c>
      <x:c r="F14" t="str">
        <x:v>Materials expense 9</x:v>
      </x:c>
      <x:c r="G14" t="str">
        <x:v>R3,504</x:v>
      </x:c>
      <x:c r="H14" t="str">
        <x:v>Approved</x:v>
      </x:c>
      <x:c r="I14" t="str">
        <x:v>SRC-0009</x:v>
      </x:c>
    </x:row>
    <x:row r="15">
      <x:c r="A15" t="str">
        <x:v>TXN-27-0010</x:v>
      </x:c>
      <x:c r="B15" t="str">
        <x:v>INV-27-0010</x:v>
      </x:c>
      <x:c r="C15" t="str">
        <x:v>03-03-27</x:v>
      </x:c>
      <x:c r="D15" t="str">
        <x:v>MEALS</x:v>
      </x:c>
      <x:c r="E15" t="str">
        <x:v>Bright Print Studio</x:v>
      </x:c>
      <x:c r="F15" t="str">
        <x:v>Catering expense 10</x:v>
      </x:c>
      <x:c r="G15" t="str">
        <x:v>3582</x:v>
      </x:c>
      <x:c r="H15" t="str">
        <x:v>Submitted</x:v>
      </x:c>
      <x:c r="I15" t="str">
        <x:v>SRC-0010</x:v>
      </x:c>
    </x:row>
    <x:row r="16">
      <x:c r="A16" t="str">
        <x:v>TXN-27-0011</x:v>
      </x:c>
      <x:c r="B16" t="str">
        <x:v>INV-27-0011</x:v>
      </x:c>
      <x:c r="C16" t="str">
        <x:v>2027-02-14</x:v>
      </x:c>
      <x:c r="D16" t="str">
        <x:v>Badge ceremony</x:v>
      </x:c>
      <x:c r="E16" t="str">
        <x:v>Thuto Facilitation</x:v>
      </x:c>
      <x:c r="F16" t="str">
        <x:v>Events expense 11</x:v>
      </x:c>
      <x:c r="G16" t="str">
        <x:v>R3,721</x:v>
      </x:c>
      <x:c r="H16" t="str">
        <x:v>Rejected</x:v>
      </x:c>
      <x:c r="I16" t="str">
        <x:v>SRC-0011</x:v>
      </x:c>
    </x:row>
    <x:row r="17">
      <x:c r="A17" t="str">
        <x:v>TXN-27-0012</x:v>
      </x:c>
      <x:c r="B17" t="str">
        <x:v>INV-27-0012</x:v>
      </x:c>
      <x:c r="C17" t="str">
        <x:v>2027-01-25</x:v>
      </x:c>
      <x:c r="D17" t="str">
        <x:v>Printing</x:v>
      </x:c>
      <x:c r="E17" t="str">
        <x:v>Moya Supplies</x:v>
      </x:c>
      <x:c r="F17" t="str">
        <x:v>Printing expense 12</x:v>
      </x:c>
      <x:c r="G17" t="str">
        <x:v>R3,566</x:v>
      </x:c>
      <x:c r="H17" t="str">
        <x:v>Paid</x:v>
      </x:c>
      <x:c r="I17" t="str">
        <x:v>SRC-0012</x:v>
      </x:c>
    </x:row>
    <x:row r="18">
      <x:c r="A18" t="str">
        <x:v>TXN-27-0013</x:v>
      </x:c>
      <x:c r="B18" t="str">
        <x:v>INV-27-0013</x:v>
      </x:c>
      <x:c r="C18" t="str">
        <x:v>09/06/2027</x:v>
      </x:c>
      <x:c r="D18" t="str">
        <x:v> LEARNER TRANSPORT </x:v>
      </x:c>
      <x:c r="E18" t="str">
        <x:v>Northline Transport</x:v>
      </x:c>
      <x:c r="F18" t="str">
        <x:v>Transport expense 13</x:v>
      </x:c>
      <x:c r="G18" t="str">
        <x:v>R4,572</x:v>
      </x:c>
      <x:c r="H18" t="str">
        <x:v>Approved</x:v>
      </x:c>
      <x:c r="I18" t="str">
        <x:v>SRC-0013</x:v>
      </x:c>
    </x:row>
    <x:row r="19">
      <x:c r="A19" t="str">
        <x:v>TXN-27-0014</x:v>
      </x:c>
      <x:c r="B19" t="str">
        <x:v>INV-27-0014</x:v>
      </x:c>
      <x:c r="C19" t="str">
        <x:v>20-05-27</x:v>
      </x:c>
      <x:c r="D19" t="str">
        <x:v>Training venue</x:v>
      </x:c>
      <x:c r="E19" t="str">
        <x:v>Kopano Catering</x:v>
      </x:c>
      <x:c r="F19" t="str">
        <x:v>Venue expense 14</x:v>
      </x:c>
      <x:c r="G19" t="str">
        <x:v> R 3533.00 </x:v>
      </x:c>
      <x:c r="H19" t="str">
        <x:v>Submitted</x:v>
      </x:c>
      <x:c r="I19" t="str">
        <x:v>SRC-0014</x:v>
      </x:c>
    </x:row>
    <x:row r="20">
      <x:c r="A20" t="str">
        <x:v>TXN-27-0015</x:v>
      </x:c>
      <x:c r="B20" t="str">
        <x:v>INV-27-0015</x:v>
      </x:c>
      <x:c r="C20" t="str">
        <x:v>2027-04-04</x:v>
      </x:c>
      <x:c r="D20" t="str">
        <x:v>Training</x:v>
      </x:c>
      <x:c r="E20" t="str">
        <x:v>Riverside Venue Hire</x:v>
      </x:c>
      <x:c r="F20" t="str">
        <x:v>Training expense 15</x:v>
      </x:c>
      <x:c r="G20" t="str">
        <x:v>4267</x:v>
      </x:c>
      <x:c r="H20" t="str">
        <x:v>Rejected</x:v>
      </x:c>
      <x:c r="I20" t="str">
        <x:v>SRC-0015</x:v>
      </x:c>
    </x:row>
    <x:row r="21">
      <x:c r="A21" t="str">
        <x:v>TXN-27-0016</x:v>
      </x:c>
      <x:c r="B21" t="str">
        <x:v>INV-27-0016</x:v>
      </x:c>
      <x:c r="C21" t="str">
        <x:v>2027-03-15</x:v>
      </x:c>
      <x:c r="D21" t="str">
        <x:v>Facilitation</x:v>
      </x:c>
      <x:c r="E21" t="str">
        <x:v>Bright Print Studio</x:v>
      </x:c>
      <x:c r="F21" t="str">
        <x:v>Facilitation expense 16</x:v>
      </x:c>
      <x:c r="G21" t="str">
        <x:v>R5,140</x:v>
      </x:c>
      <x:c r="H21" t="str">
        <x:v>Paid</x:v>
      </x:c>
      <x:c r="I21" t="str">
        <x:v>SRC-0016</x:v>
      </x:c>
    </x:row>
    <x:row r="22">
      <x:c r="A22" t="str">
        <x:v>TXN-27-0017</x:v>
      </x:c>
      <x:c r="B22" t="str">
        <x:v>INV-27-0017</x:v>
      </x:c>
      <x:c r="C22" t="str">
        <x:v>26/02/2027</x:v>
      </x:c>
      <x:c r="D22" t="str">
        <x:v>Operational support</x:v>
      </x:c>
      <x:c r="E22" t="str">
        <x:v>Thuto Facilitation</x:v>
      </x:c>
      <x:c r="F22" t="str">
        <x:v>Administration expense 17</x:v>
      </x:c>
      <x:c r="G22" t="str">
        <x:v>R5,835</x:v>
      </x:c>
      <x:c r="H22" t="str">
        <x:v>paid </x:v>
      </x:c>
      <x:c r="I22" t="str">
        <x:v>SRC-0017</x:v>
      </x:c>
    </x:row>
    <x:row r="23">
      <x:c r="A23" t="str">
        <x:v>TXN-27-0018</x:v>
      </x:c>
      <x:c r="B23" t="str">
        <x:v>INV-27-0018</x:v>
      </x:c>
      <x:c r="C23" t="str">
        <x:v>10-01-27</x:v>
      </x:c>
      <x:c r="D23" t="str">
        <x:v>Site visits</x:v>
      </x:c>
      <x:c r="E23" t="str">
        <x:v>  MOYA SUPPLIES </x:v>
      </x:c>
      <x:c r="F23" t="str">
        <x:v>Site visits expense 18</x:v>
      </x:c>
      <x:c r="G23" t="str">
        <x:v>R5,135</x:v>
      </x:c>
      <x:c r="H23" t="str">
        <x:v>Submitted</x:v>
      </x:c>
      <x:c r="I23" t="str">
        <x:v>SRC-0018</x:v>
      </x:c>
    </x:row>
    <x:row r="24">
      <x:c r="A24" t="str">
        <x:v>TXN-27-0019</x:v>
      </x:c>
      <x:c r="B24" t="str">
        <x:v>INV-27-0019</x:v>
      </x:c>
      <x:c r="C24" t="str">
        <x:v>2027-06-21</x:v>
      </x:c>
      <x:c r="D24" t="str">
        <x:v>Workshop materials</x:v>
      </x:c>
      <x:c r="E24" t="str">
        <x:v>Northline Transport</x:v>
      </x:c>
      <x:c r="F24" t="str">
        <x:v>Materials expense 19</x:v>
      </x:c>
      <x:c r="G24" t="str">
        <x:v>N/A</x:v>
      </x:c>
      <x:c r="H24" t="str">
        <x:v>Rejected</x:v>
      </x:c>
      <x:c r="I24" t="str">
        <x:v>SRC-0019</x:v>
      </x:c>
    </x:row>
    <x:row r="25">
      <x:c r="A25" t="str">
        <x:v>TXN-27-0020</x:v>
      </x:c>
      <x:c r="B25" t="str">
        <x:v>INV-27-0020</x:v>
      </x:c>
      <x:c r="C25" t="str">
        <x:v>2027-05-05</x:v>
      </x:c>
      <x:c r="D25" t="str">
        <x:v>CATERING</x:v>
      </x:c>
      <x:c r="E25" t="str">
        <x:v>Kopano Catering</x:v>
      </x:c>
      <x:c r="F25" t="str">
        <x:v>Catering expense 20</x:v>
      </x:c>
      <x:c r="G25" t="str">
        <x:v>4752</x:v>
      </x:c>
      <x:c r="H25" t="str">
        <x:v>Paid</x:v>
      </x:c>
      <x:c r="I25" t="str">
        <x:v>SRC-0020</x:v>
      </x:c>
    </x:row>
    <x:row r="26">
      <x:c r="A26" t="str">
        <x:v>TXN-27-0021</x:v>
      </x:c>
      <x:c r="B26" t="str">
        <x:v>INV-27-0021</x:v>
      </x:c>
      <x:c r="C26" t="str">
        <x:v>16/04/2027</x:v>
      </x:c>
      <x:c r="D26" t="str">
        <x:v>Events</x:v>
      </x:c>
      <x:c r="E26" t="str">
        <x:v>Riverside Venue Hire</x:v>
      </x:c>
      <x:c r="F26" t="str">
        <x:v>Events expense 21</x:v>
      </x:c>
      <x:c r="G26" t="str">
        <x:v> R 4891.00 </x:v>
      </x:c>
      <x:c r="H26" t="str">
        <x:v>Approved</x:v>
      </x:c>
      <x:c r="I26" t="str">
        <x:v>SRC-0021</x:v>
      </x:c>
    </x:row>
    <x:row r="27">
      <x:c r="A27" t="str">
        <x:v>TXN-27-0022</x:v>
      </x:c>
      <x:c r="B27" t="str">
        <x:v>INV-27-0022</x:v>
      </x:c>
      <x:c r="C27" t="str">
        <x:v>27-03-27</x:v>
      </x:c>
      <x:c r="D27" t="str">
        <x:v>PRINT &amp; CONSENT</x:v>
      </x:c>
      <x:c r="E27" t="str">
        <x:v>Bright Print Studio</x:v>
      </x:c>
      <x:c r="F27" t="str">
        <x:v>Printing expense 22</x:v>
      </x:c>
      <x:c r="G27" t="str">
        <x:v>R4,736</x:v>
      </x:c>
      <x:c r="H27" t="str">
        <x:v>Submitted</x:v>
      </x:c>
      <x:c r="I27" t="str">
        <x:v>SRC-0022</x:v>
      </x:c>
    </x:row>
    <x:row r="28">
      <x:c r="A28" t="str">
        <x:v>TXN-27-0023</x:v>
      </x:c>
      <x:c r="B28" t="str">
        <x:v>INV-27-0022</x:v>
      </x:c>
      <x:c r="C28" t="str">
        <x:v>2027-02-11</x:v>
      </x:c>
      <x:c r="D28" t="str">
        <x:v>Learner taxi</x:v>
      </x:c>
      <x:c r="E28" t="str">
        <x:v>Thuto Facilitation</x:v>
      </x:c>
      <x:c r="F28" t="str">
        <x:v>Transport expense 23</x:v>
      </x:c>
      <x:c r="G28" t="str">
        <x:v>R5,742</x:v>
      </x:c>
      <x:c r="H28" t="str">
        <x:v>Rejected</x:v>
      </x:c>
      <x:c r="I28" t="str">
        <x:v>SRC-0023</x:v>
      </x:c>
    </x:row>
    <x:row r="29">
      <x:c r="A29" t="str">
        <x:v>TXN-27-0024</x:v>
      </x:c>
      <x:c r="B29" t="str">
        <x:v>INV-27-0024</x:v>
      </x:c>
      <x:c r="C29" t="str">
        <x:v>2027-01-22</x:v>
      </x:c>
      <x:c r="D29" t="str">
        <x:v>Venue</x:v>
      </x:c>
      <x:c r="E29" t="str">
        <x:v>Moya Supplies</x:v>
      </x:c>
      <x:c r="F29" t="str">
        <x:v>Venue expense 24</x:v>
      </x:c>
      <x:c r="G29" t="str">
        <x:v>R4,703</x:v>
      </x:c>
      <x:c r="H29" t="str">
        <x:v>Paid</x:v>
      </x:c>
      <x:c r="I29" t="str">
        <x:v>SRC-0024</x:v>
      </x:c>
    </x:row>
    <x:row r="30">
      <x:c r="A30" t="str">
        <x:v>TXN-27-0025</x:v>
      </x:c>
      <x:c r="B30" t="str">
        <x:v>INV-27-0025</x:v>
      </x:c>
      <x:c r="C30" t="str">
        <x:v>06/06/2027</x:v>
      </x:c>
      <x:c r="D30" t="str">
        <x:v>Champion training</x:v>
      </x:c>
      <x:c r="E30" t="str">
        <x:v>Northline Transport</x:v>
      </x:c>
      <x:c r="F30" t="str">
        <x:v>Training expense 25</x:v>
      </x:c>
      <x:c r="G30" t="str">
        <x:v>5437</x:v>
      </x:c>
      <x:c r="H30" t="str">
        <x:v>Approved</x:v>
      </x:c>
      <x:c r="I30" t="str">
        <x:v>SRC-0025</x:v>
      </x:c>
    </x:row>
    <x:row r="31">
      <x:c r="A31" t="str">
        <x:v>TXN-27-0026</x:v>
      </x:c>
      <x:c r="B31" t="str">
        <x:v>INV-27-0026</x:v>
      </x:c>
      <x:c r="C31" t="str">
        <x:v>17-05-27</x:v>
      </x:c>
      <x:c r="D31" t="str">
        <x:v> STIPENDS </x:v>
      </x:c>
      <x:c r="E31" t="str">
        <x:v>Kopano Catering</x:v>
      </x:c>
      <x:c r="F31" t="str">
        <x:v>Facilitation expense 26</x:v>
      </x:c>
      <x:c r="G31" t="str">
        <x:v>R6,310</x:v>
      </x:c>
      <x:c r="H31" t="str">
        <x:v>Submitted</x:v>
      </x:c>
      <x:c r="I31" t="str">
        <x:v>SRC-0026</x:v>
      </x:c>
    </x:row>
    <x:row r="32">
      <x:c r="A32" t="str">
        <x:v>TXN-27-0027</x:v>
      </x:c>
      <x:c r="B32" t="str">
        <x:v>INV-27-0027</x:v>
      </x:c>
      <x:c r="C32" t="str">
        <x:v>2027-04-01</x:v>
      </x:c>
      <x:c r="D32" t="str">
        <x:v>Administration</x:v>
      </x:c>
      <x:c r="E32" t="str">
        <x:v>  RIVERSIDE VENUE HIRE </x:v>
      </x:c>
      <x:c r="F32" t="str">
        <x:v>Administration expense 27</x:v>
      </x:c>
      <x:c r="G32" t="str">
        <x:v>R7,005</x:v>
      </x:c>
      <x:c r="H32" t="str">
        <x:v>Rejected</x:v>
      </x:c>
      <x:c r="I32" t="str">
        <x:v>SRC-0027</x:v>
      </x:c>
    </x:row>
    <x:row r="33">
      <x:c r="A33" t="str">
        <x:v>TXN-27-0028</x:v>
      </x:c>
      <x:c r="B33" t="str">
        <x:v>INV-27-0028</x:v>
      </x:c>
      <x:c r="C33" t="str">
        <x:v>2027-03-12</x:v>
      </x:c>
      <x:c r="D33" t="str">
        <x:v>Site Visit</x:v>
      </x:c>
      <x:c r="E33" t="str">
        <x:v>Bright Print Studio</x:v>
      </x:c>
      <x:c r="F33" t="str">
        <x:v>Site visits expense 28</x:v>
      </x:c>
      <x:c r="G33" t="str">
        <x:v> R 6305.00 </x:v>
      </x:c>
      <x:c r="H33" t="str">
        <x:v>Paid</x:v>
      </x:c>
      <x:c r="I33" t="str">
        <x:v>SRC-0028</x:v>
      </x:c>
    </x:row>
    <x:row r="34">
      <x:c r="A34" t="str">
        <x:v>TXN-27-0029</x:v>
      </x:c>
      <x:c r="B34" t="str">
        <x:v>INV-27-0029</x:v>
      </x:c>
      <x:c r="C34" t="str">
        <x:v>23/02/2027</x:v>
      </x:c>
      <x:c r="D34" t="str">
        <x:v>MATERIALS / SUPPLIES</x:v>
      </x:c>
      <x:c r="E34" t="str">
        <x:v>Thuto Facilitation</x:v>
      </x:c>
      <x:c r="F34" t="str">
        <x:v>Materials expense 29</x:v>
      </x:c>
      <x:c r="G34" t="str">
        <x:v>R-5844</x:v>
      </x:c>
      <x:c r="H34" t="str">
        <x:v>Approved</x:v>
      </x:c>
      <x:c r="I34" t="str">
        <x:v>SRC-0029</x:v>
      </x:c>
    </x:row>
    <x:row r="35">
      <x:c r="A35" t="str">
        <x:v>TXN-27-0030</x:v>
      </x:c>
      <x:c r="B35" t="str">
        <x:v>INV-27-0030</x:v>
      </x:c>
      <x:c r="C35" t="str">
        <x:v>07-01-27</x:v>
      </x:c>
      <x:c r="D35" t="str">
        <x:v>MEALS</x:v>
      </x:c>
      <x:c r="E35" t="str">
        <x:v>Moya Supplies</x:v>
      </x:c>
      <x:c r="F35" t="str">
        <x:v>Catering expense 30</x:v>
      </x:c>
      <x:c r="G35" t="str">
        <x:v>5922</x:v>
      </x:c>
      <x:c r="H35" t="str">
        <x:v>Submitted</x:v>
      </x:c>
      <x:c r="I35" t="str">
        <x:v>SRC-0030</x:v>
      </x:c>
    </x:row>
    <x:row r="36">
      <x:c r="A36" t="str">
        <x:v>TXN-27-0031</x:v>
      </x:c>
      <x:c r="B36" t="str">
        <x:v>INV-27-0031</x:v>
      </x:c>
      <x:c r="C36" t="str">
        <x:v>2027-06-18</x:v>
      </x:c>
      <x:c r="D36" t="str">
        <x:v>Recognition event</x:v>
      </x:c>
      <x:c r="E36" t="str">
        <x:v>Northline Transport</x:v>
      </x:c>
      <x:c r="F36" t="str">
        <x:v>Events expense 31</x:v>
      </x:c>
      <x:c r="G36" t="str">
        <x:v>R6,061</x:v>
      </x:c>
      <x:c r="H36" t="str">
        <x:v>Rejected</x:v>
      </x:c>
      <x:c r="I36" t="str">
        <x:v>SRC-0031</x:v>
      </x:c>
    </x:row>
    <x:row r="37">
      <x:c r="A37" t="str">
        <x:v>TXN-27-0032</x:v>
      </x:c>
      <x:c r="B37" t="str">
        <x:v>INV-27-0032</x:v>
      </x:c>
      <x:c r="C37" t="str">
        <x:v>2027-05-02</x:v>
      </x:c>
      <x:c r="D37" t="str">
        <x:v>Printing and consent</x:v>
      </x:c>
      <x:c r="E37" t="str">
        <x:v>Kopano Catering</x:v>
      </x:c>
      <x:c r="F37" t="str">
        <x:v>Printing expense 32</x:v>
      </x:c>
      <x:c r="G37" t="str">
        <x:v>R5,906</x:v>
      </x:c>
      <x:c r="H37" t="str">
        <x:v>Paid</x:v>
      </x:c>
      <x:c r="I37" t="str">
        <x:v>SRC-0032</x:v>
      </x:c>
    </x:row>
    <x:row r="38">
      <x:c r="A38" t="str">
        <x:v>TXN-27-0033</x:v>
      </x:c>
      <x:c r="B38" t="str">
        <x:v>INV-27-0033</x:v>
      </x:c>
      <x:c r="C38" t="str">
        <x:v>13/04/2027</x:v>
      </x:c>
      <x:c r="D38" t="str">
        <x:v>LEARNER TRANSPORT</x:v>
      </x:c>
      <x:c r="E38" t="str">
        <x:v>Riverside Venue Hire</x:v>
      </x:c>
      <x:c r="F38" t="str">
        <x:v>Transport expense 33</x:v>
      </x:c>
      <x:c r="G38" t="str">
        <x:v>R6,912</x:v>
      </x:c>
      <x:c r="H38" t="str">
        <x:v>Approved</x:v>
      </x:c>
      <x:c r="I38" t="str">
        <x:v>SRC-0033</x:v>
      </x:c>
    </x:row>
    <x:row r="39">
      <x:c r="A39" t="str">
        <x:v>TXN-27-0034</x:v>
      </x:c>
      <x:c r="B39" t="str">
        <x:v>INV-27-0034</x:v>
      </x:c>
      <x:c r="C39" t="str">
        <x:v>24-03-27</x:v>
      </x:c>
      <x:c r="D39" t="str">
        <x:v>Venue hire</x:v>
      </x:c>
      <x:c r="E39" t="str">
        <x:v>Bright Print Studio</x:v>
      </x:c>
      <x:c r="F39" t="str">
        <x:v>Venue expense 34</x:v>
      </x:c>
      <x:c r="G39" t="str">
        <x:v>R5,873</x:v>
      </x:c>
      <x:c r="H39" t="str">
        <x:v>paid </x:v>
      </x:c>
      <x:c r="I39" t="str">
        <x:v>SRC-0034</x:v>
      </x:c>
    </x:row>
    <x:row r="40">
      <x:c r="A40" t="str">
        <x:v>TXN-27-0035</x:v>
      </x:c>
      <x:c r="B40" t="str">
        <x:v>INV-27-0035</x:v>
      </x:c>
      <x:c r="C40" t="str">
        <x:v>2027-02-08</x:v>
      </x:c>
      <x:c r="D40" t="str">
        <x:v>FACILITATOR TRAINING</x:v>
      </x:c>
      <x:c r="E40" t="str">
        <x:v>Thuto Facilitation</x:v>
      </x:c>
      <x:c r="F40" t="str">
        <x:v>Training expense 35</x:v>
      </x:c>
      <x:c r="G40" t="str">
        <x:v>6607</x:v>
      </x:c>
      <x:c r="H40" t="str">
        <x:v>Rejected</x:v>
      </x:c>
      <x:c r="I40" t="str">
        <x:v>SRC-0035</x:v>
      </x:c>
    </x:row>
    <x:row r="41">
      <x:c r="A41" t="str">
        <x:v>TXN-27-0036</x:v>
      </x:c>
      <x:c r="B41" t="str">
        <x:v>INV-27-0036</x:v>
      </x:c>
      <x:c r="C41" t="str">
        <x:v>2027-01-19</x:v>
      </x:c>
      <x:c r="D41" t="str">
        <x:v>Facilitation</x:v>
      </x:c>
      <x:c r="E41" t="str">
        <x:v>  MOYA SUPPLIES </x:v>
      </x:c>
      <x:c r="F41" t="str">
        <x:v>Facilitation expense 36</x:v>
      </x:c>
      <x:c r="G41" t="str">
        <x:v>R7,480</x:v>
      </x:c>
      <x:c r="H41" t="str">
        <x:v>Paid</x:v>
      </x:c>
      <x:c r="I41" t="str">
        <x:v>SRC-0036</x:v>
      </x:c>
    </x:row>
    <x:row r="42">
      <x:c r="A42" t="str">
        <x:v>TXN-27-0037</x:v>
      </x:c>
      <x:c r="B42" t="str">
        <x:v>INV-27-0037</x:v>
      </x:c>
      <x:c r="C42" t="str">
        <x:v>03/06/2027</x:v>
      </x:c>
      <x:c r="D42" t="str">
        <x:v>Admin</x:v>
      </x:c>
      <x:c r="E42" t="str">
        <x:v>Northline Transport</x:v>
      </x:c>
      <x:c r="F42" t="str">
        <x:v>Administration expense 37</x:v>
      </x:c>
      <x:c r="G42" t="str">
        <x:v>R8,175</x:v>
      </x:c>
      <x:c r="H42" t="str">
        <x:v>Pending</x:v>
      </x:c>
      <x:c r="I42" t="str">
        <x:v>SRC-0037</x:v>
      </x:c>
    </x:row>
    <x:row r="43">
      <x:c r="A43" t="str">
        <x:v>TXN-27-0038</x:v>
      </x:c>
      <x:c r="B43" t="str">
        <x:v>INV-27-0038</x:v>
      </x:c>
      <x:c r="C43" t="str">
        <x:v>14-05-27</x:v>
      </x:c>
      <x:c r="D43" t="str">
        <x:v>Travel and site visits</x:v>
      </x:c>
      <x:c r="E43" t="str">
        <x:v>Kopano Catering</x:v>
      </x:c>
      <x:c r="F43" t="str">
        <x:v>Site visits expense 38</x:v>
      </x:c>
      <x:c r="G43" t="str">
        <x:v>N/A</x:v>
      </x:c>
      <x:c r="H43" t="str">
        <x:v>Submitted</x:v>
      </x:c>
      <x:c r="I43" t="str">
        <x:v>SRC-0038</x:v>
      </x:c>
    </x:row>
    <x:row r="44">
      <x:c r="A44" t="str">
        <x:v>TXN-27-0039</x:v>
      </x:c>
      <x:c r="B44" t="str">
        <x:v>INV-27-0039</x:v>
      </x:c>
      <x:c r="C44" t="str">
        <x:v>2027-04-25</x:v>
      </x:c>
      <x:c r="D44" t="str">
        <x:v> MATERIALS </x:v>
      </x:c>
      <x:c r="E44" t="str">
        <x:v>Riverside Venue Hire</x:v>
      </x:c>
      <x:c r="F44" t="str">
        <x:v>Materials expense 39</x:v>
      </x:c>
      <x:c r="G44" t="str">
        <x:v>R7,014</x:v>
      </x:c>
      <x:c r="H44" t="str">
        <x:v>Rejected</x:v>
      </x:c>
      <x:c r="I44" t="str">
        <x:v>SRC-0039</x:v>
      </x:c>
    </x:row>
    <x:row r="45">
      <x:c r="A45" t="str">
        <x:v>TXN-27-0040</x:v>
      </x:c>
      <x:c r="B45" t="str">
        <x:v>INV-27-0040</x:v>
      </x:c>
      <x:c r="C45" t="str">
        <x:v>2027-03-09</x:v>
      </x:c>
      <x:c r="D45" t="str">
        <x:v>CATERING</x:v>
      </x:c>
      <x:c r="E45" t="str">
        <x:v>Bright Print Studio</x:v>
      </x:c>
      <x:c r="F45" t="str">
        <x:v>Catering expense 40</x:v>
      </x:c>
      <x:c r="G45" t="str">
        <x:v>7092</x:v>
      </x:c>
      <x:c r="H45" t="str">
        <x:v>Paid</x:v>
      </x:c>
      <x:c r="I45" t="str">
        <x:v>SRC-0040</x:v>
      </x:c>
    </x:row>
    <x:row r="46">
      <x:c r="A46" t="str">
        <x:v>TXN-27-0041</x:v>
      </x:c>
      <x:c r="B46" t="str"/>
      <x:c r="C46" t="str">
        <x:v>20/02/2027</x:v>
      </x:c>
      <x:c r="D46" t="str">
        <x:v>Badge ceremony</x:v>
      </x:c>
      <x:c r="E46" t="str">
        <x:v>Thuto Facilitation</x:v>
      </x:c>
      <x:c r="F46" t="str">
        <x:v>Events expense 41</x:v>
      </x:c>
      <x:c r="G46" t="str">
        <x:v>R7,231</x:v>
      </x:c>
      <x:c r="H46" t="str">
        <x:v>Approved</x:v>
      </x:c>
      <x:c r="I46" t="str">
        <x:v>SRC-0041</x:v>
      </x:c>
    </x:row>
    <x:row r="47">
      <x:c r="A47" t="str">
        <x:v>TXN-27-0042</x:v>
      </x:c>
      <x:c r="B47" t="str">
        <x:v>INV-27-0042</x:v>
      </x:c>
      <x:c r="C47" t="str">
        <x:v>04-01-27</x:v>
      </x:c>
      <x:c r="D47" t="str">
        <x:v>Printing</x:v>
      </x:c>
      <x:c r="E47" t="str">
        <x:v>Moya Supplies</x:v>
      </x:c>
      <x:c r="F47" t="str">
        <x:v>Printing expense 42</x:v>
      </x:c>
      <x:c r="G47" t="str">
        <x:v> R 826.00 </x:v>
      </x:c>
      <x:c r="H47" t="str">
        <x:v>Submitted</x:v>
      </x:c>
      <x:c r="I47" t="str">
        <x:v>SRC-0042</x:v>
      </x:c>
    </x:row>
    <x:row r="48">
      <x:c r="A48" t="str">
        <x:v>TXN-27-0043</x:v>
      </x:c>
      <x:c r="B48" t="str">
        <x:v>INV-27-0043</x:v>
      </x:c>
      <x:c r="C48" t="str">
        <x:v>2027-06-15</x:v>
      </x:c>
      <x:c r="D48" t="str">
        <x:v>Learner taxi</x:v>
      </x:c>
      <x:c r="E48" t="str">
        <x:v>Northline Transport</x:v>
      </x:c>
      <x:c r="F48" t="str">
        <x:v>Transport expense 43</x:v>
      </x:c>
      <x:c r="G48" t="str">
        <x:v>R8,082</x:v>
      </x:c>
      <x:c r="H48" t="str">
        <x:v>Rejected</x:v>
      </x:c>
      <x:c r="I48" t="str">
        <x:v>SRC-0043</x:v>
      </x:c>
    </x:row>
    <x:row r="49">
      <x:c r="A49" t="str">
        <x:v>TXN-27-0044</x:v>
      </x:c>
      <x:c r="B49" t="str">
        <x:v>INV-27-0044</x:v>
      </x:c>
      <x:c r="C49" t="str">
        <x:v>2027-05-26</x:v>
      </x:c>
      <x:c r="D49" t="str">
        <x:v>Training venue</x:v>
      </x:c>
      <x:c r="E49" t="str">
        <x:v>Kopano Catering</x:v>
      </x:c>
      <x:c r="F49" t="str">
        <x:v>Venue expense 44</x:v>
      </x:c>
      <x:c r="G49" t="str">
        <x:v>R7,043</x:v>
      </x:c>
      <x:c r="H49" t="str">
        <x:v>Paid</x:v>
      </x:c>
      <x:c r="I49" t="str">
        <x:v>SRC-0044</x:v>
      </x:c>
    </x:row>
    <x:row r="50">
      <x:c r="A50" t="str">
        <x:v>TXN-27-0045</x:v>
      </x:c>
      <x:c r="B50" t="str">
        <x:v>INV-27-0045</x:v>
      </x:c>
      <x:c r="C50" t="str">
        <x:v>10/04/2027</x:v>
      </x:c>
      <x:c r="D50" t="str">
        <x:v>Training</x:v>
      </x:c>
      <x:c r="E50" t="str">
        <x:v>  RIVERSIDE VENUE HIRE </x:v>
      </x:c>
      <x:c r="F50" t="str">
        <x:v>Training expense 45</x:v>
      </x:c>
      <x:c r="G50" t="str">
        <x:v>7777</x:v>
      </x:c>
      <x:c r="H50" t="str">
        <x:v>Approved</x:v>
      </x:c>
      <x:c r="I50" t="str">
        <x:v>SRC-0045</x:v>
      </x:c>
    </x:row>
    <x:row r="51">
      <x:c r="A51" t="str">
        <x:v>TXN-27-0046</x:v>
      </x:c>
      <x:c r="B51" t="str">
        <x:v>INV-27-0045</x:v>
      </x:c>
      <x:c r="C51" t="str">
        <x:v>21-03-27</x:v>
      </x:c>
      <x:c r="D51" t="str">
        <x:v>STIPENDS</x:v>
      </x:c>
      <x:c r="E51" t="str">
        <x:v>Bright Print Studio</x:v>
      </x:c>
      <x:c r="F51" t="str">
        <x:v>Facilitation expense 46</x:v>
      </x:c>
      <x:c r="G51" t="str">
        <x:v>R8,650</x:v>
      </x:c>
      <x:c r="H51" t="str">
        <x:v>Submitted</x:v>
      </x:c>
      <x:c r="I51" t="str">
        <x:v>SRC-0046</x:v>
      </x:c>
    </x:row>
    <x:row r="52">
      <x:c r="A52" t="str">
        <x:v>TXN-27-0047</x:v>
      </x:c>
      <x:c r="B52" t="str">
        <x:v>INV-27-0047</x:v>
      </x:c>
      <x:c r="C52" t="str">
        <x:v>2027-02-05</x:v>
      </x:c>
      <x:c r="D52" t="str">
        <x:v>Operational support</x:v>
      </x:c>
      <x:c r="E52" t="str"/>
      <x:c r="F52" t="str">
        <x:v>Administration expense 47</x:v>
      </x:c>
      <x:c r="G52" t="str">
        <x:v>R9,345</x:v>
      </x:c>
      <x:c r="H52" t="str">
        <x:v>Rejected</x:v>
      </x:c>
      <x:c r="I52" t="str">
        <x:v>SRC-0047</x:v>
      </x:c>
    </x:row>
    <x:row r="53">
      <x:c r="A53" t="str">
        <x:v>TXN-27-0048</x:v>
      </x:c>
      <x:c r="B53" t="str">
        <x:v>INV-27-0048</x:v>
      </x:c>
      <x:c r="C53" t="str">
        <x:v>2027-01-16</x:v>
      </x:c>
      <x:c r="D53" t="str">
        <x:v>Site visits</x:v>
      </x:c>
      <x:c r="E53" t="str">
        <x:v>Moya Supplies</x:v>
      </x:c>
      <x:c r="F53" t="str">
        <x:v>Site visits expense 48</x:v>
      </x:c>
      <x:c r="G53" t="str">
        <x:v>R8,645</x:v>
      </x:c>
      <x:c r="H53" t="str">
        <x:v>Paid</x:v>
      </x:c>
      <x:c r="I53" t="str">
        <x:v>SRC-0048</x:v>
      </x:c>
    </x:row>
    <x:row r="54">
      <x:c r="A54" t="str">
        <x:v>TXN-27-0049</x:v>
      </x:c>
      <x:c r="B54" t="str">
        <x:v>INV-27-0049</x:v>
      </x:c>
      <x:c r="C54" t="str">
        <x:v>27/06/2027</x:v>
      </x:c>
      <x:c r="D54" t="str">
        <x:v>Workshop materials</x:v>
      </x:c>
      <x:c r="E54" t="str">
        <x:v>Northline Transport</x:v>
      </x:c>
      <x:c r="F54" t="str">
        <x:v>Materials expense 49</x:v>
      </x:c>
      <x:c r="G54" t="str">
        <x:v> R 8184.00 </x:v>
      </x:c>
      <x:c r="H54" t="str">
        <x:v>Approved</x:v>
      </x:c>
      <x:c r="I54" t="str">
        <x:v>SRC-0049</x:v>
      </x:c>
    </x:row>
    <x:row r="55">
      <x:c r="A55" t="str">
        <x:v>TXN-27-0050</x:v>
      </x:c>
      <x:c r="B55" t="str">
        <x:v>INV-27-0050</x:v>
      </x:c>
      <x:c r="C55" t="str">
        <x:v>11-05-27</x:v>
      </x:c>
      <x:c r="D55" t="str">
        <x:v>MEALS</x:v>
      </x:c>
      <x:c r="E55" t="str">
        <x:v>Kopano Catering</x:v>
      </x:c>
      <x:c r="F55" t="str">
        <x:v>Catering expense 50</x:v>
      </x:c>
      <x:c r="G55" t="str">
        <x:v>8262</x:v>
      </x:c>
      <x:c r="H55" t="str">
        <x:v>Submitted</x:v>
      </x:c>
      <x:c r="I55" t="str">
        <x:v>SRC-0050</x:v>
      </x:c>
    </x:row>
    <x:row r="56">
      <x:c r="A56" t="str">
        <x:v>TXN-27-0051</x:v>
      </x:c>
      <x:c r="B56" t="str">
        <x:v>INV-27-0051</x:v>
      </x:c>
      <x:c r="C56" t="str">
        <x:v>2027-04-22</x:v>
      </x:c>
      <x:c r="D56" t="str">
        <x:v>Events</x:v>
      </x:c>
      <x:c r="E56" t="str">
        <x:v>Riverside Venue Hire</x:v>
      </x:c>
      <x:c r="F56" t="str">
        <x:v>Events expense 51</x:v>
      </x:c>
      <x:c r="G56" t="str">
        <x:v>R8,401</x:v>
      </x:c>
      <x:c r="H56" t="str">
        <x:v>paid </x:v>
      </x:c>
      <x:c r="I56" t="str">
        <x:v>SRC-0051</x:v>
      </x:c>
    </x:row>
    <x:row r="57">
      <x:c r="A57" t="str">
        <x:v>TXN-27-0052</x:v>
      </x:c>
      <x:c r="B57" t="str">
        <x:v>INV-27-0052</x:v>
      </x:c>
      <x:c r="C57" t="str">
        <x:v>2027-03-06</x:v>
      </x:c>
      <x:c r="D57" t="str">
        <x:v> PRINT &amp; CONSENT </x:v>
      </x:c>
      <x:c r="E57" t="str">
        <x:v>Bright Print Studio</x:v>
      </x:c>
      <x:c r="F57" t="str">
        <x:v>Printing expense 52</x:v>
      </x:c>
      <x:c r="G57" t="str">
        <x:v>R1,996</x:v>
      </x:c>
      <x:c r="H57" t="str">
        <x:v>Paid</x:v>
      </x:c>
      <x:c r="I57" t="str">
        <x:v>SRC-0052</x:v>
      </x:c>
    </x:row>
    <x:row r="58">
      <x:c r="A58" t="str">
        <x:v>TXN-27-0053</x:v>
      </x:c>
      <x:c r="B58" t="str">
        <x:v>INV-27-0053</x:v>
      </x:c>
      <x:c r="C58" t="str">
        <x:v>bad date</x:v>
      </x:c>
      <x:c r="D58" t="str">
        <x:v>LEARNER TRANSPORT</x:v>
      </x:c>
      <x:c r="E58" t="str">
        <x:v>Thuto Facilitation</x:v>
      </x:c>
      <x:c r="F58" t="str">
        <x:v>Transport expense 53</x:v>
      </x:c>
      <x:c r="G58" t="str">
        <x:v>R9,252</x:v>
      </x:c>
      <x:c r="H58" t="str">
        <x:v>Approved</x:v>
      </x:c>
      <x:c r="I58" t="str">
        <x:v>SRC-0053</x:v>
      </x:c>
    </x:row>
    <x:row r="59">
      <x:c r="A59" t="str">
        <x:v>TXN-27-0054</x:v>
      </x:c>
      <x:c r="B59" t="str">
        <x:v>INV-27-0054</x:v>
      </x:c>
      <x:c r="C59" t="str">
        <x:v>01-01-27</x:v>
      </x:c>
      <x:c r="D59" t="str">
        <x:v>Venue</x:v>
      </x:c>
      <x:c r="E59" t="str">
        <x:v>  MOYA SUPPLIES </x:v>
      </x:c>
      <x:c r="F59" t="str">
        <x:v>Venue expense 54</x:v>
      </x:c>
      <x:c r="G59" t="str">
        <x:v>R8,213</x:v>
      </x:c>
      <x:c r="H59" t="str">
        <x:v>Submitted</x:v>
      </x:c>
      <x:c r="I59" t="str">
        <x:v>SRC-0054</x:v>
      </x:c>
    </x:row>
    <x:row r="60">
      <x:c r="A60" t="str">
        <x:v>TXN-27-0055</x:v>
      </x:c>
      <x:c r="B60" t="str">
        <x:v>INV-27-0055</x:v>
      </x:c>
      <x:c r="C60" t="str">
        <x:v>2027-06-12</x:v>
      </x:c>
      <x:c r="D60" t="str">
        <x:v>Champion training</x:v>
      </x:c>
      <x:c r="E60" t="str">
        <x:v>Northline Transport</x:v>
      </x:c>
      <x:c r="F60" t="str">
        <x:v>Training expense 55</x:v>
      </x:c>
      <x:c r="G60" t="str">
        <x:v>8947</x:v>
      </x:c>
      <x:c r="H60" t="str">
        <x:v>Rejected</x:v>
      </x:c>
      <x:c r="I60" t="str">
        <x:v>SRC-0055</x:v>
      </x:c>
    </x:row>
    <x:row r="61">
      <x:c r="A61" t="str">
        <x:v>TXN-27-0056</x:v>
      </x:c>
      <x:c r="B61" t="str">
        <x:v>INV-27-0056</x:v>
      </x:c>
      <x:c r="C61" t="str">
        <x:v>2027-05-23</x:v>
      </x:c>
      <x:c r="D61" t="str">
        <x:v>Facilitation</x:v>
      </x:c>
      <x:c r="E61" t="str">
        <x:v>Kopano Catering</x:v>
      </x:c>
      <x:c r="F61" t="str">
        <x:v>Facilitation expense 56</x:v>
      </x:c>
      <x:c r="G61" t="str">
        <x:v> R 9820.00 </x:v>
      </x:c>
      <x:c r="H61" t="str">
        <x:v>Paid</x:v>
      </x:c>
      <x:c r="I61" t="str">
        <x:v>SRC-0056</x:v>
      </x:c>
    </x:row>
    <x:row r="62">
      <x:c r="A62" t="str">
        <x:v>TXN-27-0057</x:v>
      </x:c>
      <x:c r="B62" t="str">
        <x:v>INV-27-0057</x:v>
      </x:c>
      <x:c r="C62" t="str">
        <x:v>07/04/2027</x:v>
      </x:c>
      <x:c r="D62" t="str">
        <x:v>Administration</x:v>
      </x:c>
      <x:c r="E62" t="str">
        <x:v>Riverside Venue Hire</x:v>
      </x:c>
      <x:c r="F62" t="str">
        <x:v>Administration expense 57</x:v>
      </x:c>
      <x:c r="G62" t="str">
        <x:v>N/A</x:v>
      </x:c>
      <x:c r="H62" t="str">
        <x:v>Approved</x:v>
      </x:c>
      <x:c r="I62" t="str">
        <x:v>SRC-0057</x:v>
      </x:c>
    </x:row>
    <x:row r="63">
      <x:c r="A63" t="str">
        <x:v>TXN-27-0058</x:v>
      </x:c>
      <x:c r="B63" t="str">
        <x:v>INV-27-0058</x:v>
      </x:c>
      <x:c r="C63" t="str">
        <x:v>18-03-27</x:v>
      </x:c>
      <x:c r="D63" t="str">
        <x:v>Site Visit</x:v>
      </x:c>
      <x:c r="E63" t="str">
        <x:v>Bright Print Studio</x:v>
      </x:c>
      <x:c r="F63" t="str">
        <x:v>Site visits expense 58</x:v>
      </x:c>
      <x:c r="G63" t="str">
        <x:v>R-9815</x:v>
      </x:c>
      <x:c r="H63" t="str">
        <x:v>Submitted</x:v>
      </x:c>
      <x:c r="I63" t="str">
        <x:v>SRC-0058</x:v>
      </x:c>
    </x:row>
    <x:row r="64">
      <x:c r="A64" t="str">
        <x:v>TXN-27-0059</x:v>
      </x:c>
      <x:c r="B64" t="str">
        <x:v>INV-27-0059</x:v>
      </x:c>
      <x:c r="C64" t="str">
        <x:v>2027-02-02</x:v>
      </x:c>
      <x:c r="D64" t="str">
        <x:v>MATERIALS / SUPPLIES</x:v>
      </x:c>
      <x:c r="E64" t="str">
        <x:v>Thuto Facilitation</x:v>
      </x:c>
      <x:c r="F64" t="str">
        <x:v>Materials expense 59</x:v>
      </x:c>
      <x:c r="G64" t="str">
        <x:v>R654</x:v>
      </x:c>
      <x:c r="H64" t="str">
        <x:v>Rejected</x:v>
      </x:c>
      <x:c r="I64" t="str">
        <x:v>SRC-0059</x:v>
      </x:c>
    </x:row>
    <x:row r="65">
      <x:c r="A65" t="str">
        <x:v>TXN-27-0060</x:v>
      </x:c>
      <x:c r="B65" t="str">
        <x:v>INV-27-0060</x:v>
      </x:c>
      <x:c r="C65" t="str">
        <x:v>2027-01-13</x:v>
      </x:c>
      <x:c r="D65" t="str">
        <x:v>CATERING</x:v>
      </x:c>
      <x:c r="E65" t="str">
        <x:v>Moya Supplies</x:v>
      </x:c>
      <x:c r="F65" t="str">
        <x:v>Catering expense 60</x:v>
      </x:c>
      <x:c r="G65" t="str">
        <x:v>9432</x:v>
      </x:c>
      <x:c r="H65" t="str">
        <x:v>Paid</x:v>
      </x:c>
      <x:c r="I65" t="str">
        <x:v>SRC-0060</x:v>
      </x:c>
    </x:row>
    <x:row r="66">
      <x:c r="A66" t="str">
        <x:v>TXN-27-0061</x:v>
      </x:c>
      <x:c r="B66" t="str">
        <x:v>INV-27-0061</x:v>
      </x:c>
      <x:c r="C66" t="str">
        <x:v>24/06/2027</x:v>
      </x:c>
      <x:c r="D66" t="str">
        <x:v>Miscellaneous / confirm</x:v>
      </x:c>
      <x:c r="E66" t="str">
        <x:v>Northline Transport</x:v>
      </x:c>
      <x:c r="F66" t="str">
        <x:v>Events expense 61</x:v>
      </x:c>
      <x:c r="G66" t="str">
        <x:v>R9,571</x:v>
      </x:c>
      <x:c r="H66" t="str">
        <x:v>Approved</x:v>
      </x:c>
      <x:c r="I66" t="str">
        <x:v>SRC-0061</x:v>
      </x:c>
    </x:row>
    <x:row r="67">
      <x:c r="A67" t="str">
        <x:v>TXN-27-0062</x:v>
      </x:c>
      <x:c r="B67" t="str">
        <x:v>INV-27-0062</x:v>
      </x:c>
      <x:c r="C67" t="str">
        <x:v>08-05-27</x:v>
      </x:c>
      <x:c r="D67" t="str">
        <x:v>Printing and consent</x:v>
      </x:c>
      <x:c r="E67" t="str">
        <x:v>Kopano Catering</x:v>
      </x:c>
      <x:c r="F67" t="str">
        <x:v>Printing expense 62</x:v>
      </x:c>
      <x:c r="G67" t="str">
        <x:v>R3,166</x:v>
      </x:c>
      <x:c r="H67" t="str">
        <x:v>Submitted</x:v>
      </x:c>
      <x:c r="I67" t="str">
        <x:v>SRC-0062</x:v>
      </x:c>
    </x:row>
    <x:row r="68">
      <x:c r="A68" t="str">
        <x:v>TXN-27-0063</x:v>
      </x:c>
      <x:c r="B68" t="str">
        <x:v>INV-27-0063</x:v>
      </x:c>
      <x:c r="C68" t="str">
        <x:v>2027-04-19</x:v>
      </x:c>
      <x:c r="D68" t="str">
        <x:v>Learner taxi</x:v>
      </x:c>
      <x:c r="E68" t="str">
        <x:v>  RIVERSIDE VENUE HIRE </x:v>
      </x:c>
      <x:c r="F68" t="str">
        <x:v>Transport expense 63</x:v>
      </x:c>
      <x:c r="G68" t="str">
        <x:v> R 10422.00 </x:v>
      </x:c>
      <x:c r="H68" t="str">
        <x:v>Rejected</x:v>
      </x:c>
      <x:c r="I68" t="str">
        <x:v>SRC-0063</x:v>
      </x:c>
    </x:row>
    <x:row r="69">
      <x:c r="A69" t="str">
        <x:v>TXN-27-0064</x:v>
      </x:c>
      <x:c r="B69" t="str">
        <x:v>INV-27-0064</x:v>
      </x:c>
      <x:c r="C69" t="str">
        <x:v>2027-03-03</x:v>
      </x:c>
      <x:c r="D69" t="str">
        <x:v>Venue hire</x:v>
      </x:c>
      <x:c r="E69" t="str">
        <x:v>Bright Print Studio</x:v>
      </x:c>
      <x:c r="F69" t="str">
        <x:v>Venue expense 64</x:v>
      </x:c>
      <x:c r="G69" t="str">
        <x:v>R9,383</x:v>
      </x:c>
      <x:c r="H69" t="str">
        <x:v>Paid</x:v>
      </x:c>
      <x:c r="I69" t="str">
        <x:v>SRC-0064</x:v>
      </x:c>
    </x:row>
    <x:row r="70">
      <x:c r="A70" t="str">
        <x:v>TXN-27-0065</x:v>
      </x:c>
      <x:c r="B70" t="str">
        <x:v>INV-27-0065</x:v>
      </x:c>
      <x:c r="C70" t="str">
        <x:v>14/02/2027</x:v>
      </x:c>
      <x:c r="D70" t="str">
        <x:v> FACILITATOR TRAINING </x:v>
      </x:c>
      <x:c r="E70" t="str">
        <x:v>Thuto Facilitation</x:v>
      </x:c>
      <x:c r="F70" t="str">
        <x:v>Training expense 65</x:v>
      </x:c>
      <x:c r="G70" t="str">
        <x:v>10117</x:v>
      </x:c>
      <x:c r="H70" t="str">
        <x:v>Approved</x:v>
      </x:c>
      <x:c r="I70" t="str">
        <x:v>SRC-0065</x:v>
      </x:c>
    </x:row>
    <x:row r="71">
      <x:c r="A71" t="str">
        <x:v>TXN-27-0066</x:v>
      </x:c>
      <x:c r="B71" t="str">
        <x:v>INV-27-0066</x:v>
      </x:c>
      <x:c r="C71" t="str">
        <x:v>25-01-27</x:v>
      </x:c>
      <x:c r="D71" t="str">
        <x:v>STIPENDS</x:v>
      </x:c>
      <x:c r="E71" t="str">
        <x:v>Moya Supplies</x:v>
      </x:c>
      <x:c r="F71" t="str">
        <x:v>Facilitation expense 66</x:v>
      </x:c>
      <x:c r="G71" t="str">
        <x:v>R10,990</x:v>
      </x:c>
      <x:c r="H71" t="str">
        <x:v>Submitted</x:v>
      </x:c>
      <x:c r="I71" t="str">
        <x:v>SRC-0066</x:v>
      </x:c>
    </x:row>
    <x:row r="72">
      <x:c r="A72" t="str">
        <x:v>TXN-27-0067</x:v>
      </x:c>
      <x:c r="B72" t="str">
        <x:v>INV-27-0067</x:v>
      </x:c>
      <x:c r="C72" t="str">
        <x:v>2027-06-09</x:v>
      </x:c>
      <x:c r="D72" t="str">
        <x:v>Admin</x:v>
      </x:c>
      <x:c r="E72" t="str">
        <x:v>Northline Transport</x:v>
      </x:c>
      <x:c r="F72" t="str">
        <x:v>Administration expense 67</x:v>
      </x:c>
      <x:c r="G72" t="str">
        <x:v>R11,685</x:v>
      </x:c>
      <x:c r="H72" t="str">
        <x:v>Rejected</x:v>
      </x:c>
      <x:c r="I72" t="str">
        <x:v>SRC-0067</x:v>
      </x:c>
    </x:row>
    <x:row r="73">
      <x:c r="A73" t="str">
        <x:v>TXN-27-0068</x:v>
      </x:c>
      <x:c r="B73" t="str">
        <x:v>INV-27-0068</x:v>
      </x:c>
      <x:c r="C73" t="str">
        <x:v>2027-05-20</x:v>
      </x:c>
      <x:c r="D73" t="str">
        <x:v>Travel and site visits</x:v>
      </x:c>
      <x:c r="E73" t="str">
        <x:v>Kopano Catering</x:v>
      </x:c>
      <x:c r="F73" t="str">
        <x:v>Site visits expense 68</x:v>
      </x:c>
      <x:c r="G73" t="str">
        <x:v>R10,985</x:v>
      </x:c>
      <x:c r="H73" t="str">
        <x:v>paid </x:v>
      </x:c>
      <x:c r="I73" t="str">
        <x:v>SRC-0068</x:v>
      </x:c>
    </x:row>
    <x:row r="74">
      <x:c r="A74" t="str">
        <x:v>TXN-27-0069</x:v>
      </x:c>
      <x:c r="B74" t="str">
        <x:v>INV-27-0068</x:v>
      </x:c>
      <x:c r="C74" t="str">
        <x:v>04/04/2027</x:v>
      </x:c>
      <x:c r="D74" t="str">
        <x:v>Materials</x:v>
      </x:c>
      <x:c r="E74" t="str">
        <x:v>Riverside Venue Hire</x:v>
      </x:c>
      <x:c r="F74" t="str">
        <x:v>Materials expense 69</x:v>
      </x:c>
      <x:c r="G74" t="str">
        <x:v>R1,824</x:v>
      </x:c>
      <x:c r="H74" t="str">
        <x:v>Approved</x:v>
      </x:c>
      <x:c r="I74" t="str">
        <x:v>SRC-0069</x:v>
      </x:c>
    </x:row>
    <x:row r="75">
      <x:c r="A75" t="str">
        <x:v>TXN-27-0070</x:v>
      </x:c>
      <x:c r="B75" t="str">
        <x:v>INV-27-0070</x:v>
      </x:c>
      <x:c r="C75" t="str">
        <x:v>15-03-27</x:v>
      </x:c>
      <x:c r="D75" t="str">
        <x:v>MEALS</x:v>
      </x:c>
      <x:c r="E75" t="str">
        <x:v>Bright Print Studio</x:v>
      </x:c>
      <x:c r="F75" t="str">
        <x:v>Catering expense 70</x:v>
      </x:c>
      <x:c r="G75" t="str">
        <x:v>10602</x:v>
      </x:c>
      <x:c r="H75" t="str">
        <x:v>Submitted</x:v>
      </x:c>
      <x:c r="I75" t="str">
        <x:v>SRC-0070</x:v>
      </x:c>
    </x:row>
    <x:row r="76">
      <x:c r="A76" t="str">
        <x:v>TXN-27-0071</x:v>
      </x:c>
      <x:c r="B76" t="str">
        <x:v>INV-27-0071</x:v>
      </x:c>
      <x:c r="C76" t="str">
        <x:v>2027-02-26</x:v>
      </x:c>
      <x:c r="D76" t="str">
        <x:v>Badge ceremony</x:v>
      </x:c>
      <x:c r="E76" t="str">
        <x:v>Thuto Facilitation</x:v>
      </x:c>
      <x:c r="F76" t="str">
        <x:v>Events expense 71</x:v>
      </x:c>
      <x:c r="G76" t="str">
        <x:v>R10,741</x:v>
      </x:c>
      <x:c r="H76" t="str">
        <x:v>Rejected</x:v>
      </x:c>
      <x:c r="I76" t="str">
        <x:v>SRC-0071</x:v>
      </x:c>
    </x:row>
    <x:row r="77">
      <x:c r="A77" t="str">
        <x:v>TXN-27-0072</x:v>
      </x:c>
      <x:c r="B77" t="str">
        <x:v>INV-27-0072</x:v>
      </x:c>
      <x:c r="C77" t="str">
        <x:v>2027-01-10</x:v>
      </x:c>
      <x:c r="D77" t="str">
        <x:v>Printing</x:v>
      </x:c>
      <x:c r="E77" t="str">
        <x:v>  MOYA SUPPLIES </x:v>
      </x:c>
      <x:c r="F77" t="str">
        <x:v>Printing expense 72</x:v>
      </x:c>
      <x:c r="G77" t="str">
        <x:v>R4,336</x:v>
      </x:c>
      <x:c r="H77" t="str">
        <x:v>Paid</x:v>
      </x:c>
      <x:c r="I77" t="str">
        <x:v>SRC-0072</x:v>
      </x:c>
    </x:row>
    <x:row r="78">
      <x:c r="A78" t="str">
        <x:v>TXN-27-0073</x:v>
      </x:c>
      <x:c r="B78" t="str">
        <x:v>INV-27-0073</x:v>
      </x:c>
      <x:c r="C78" t="str">
        <x:v>21/06/2027</x:v>
      </x:c>
      <x:c r="D78" t="str">
        <x:v>LEARNER TRANSPORT</x:v>
      </x:c>
      <x:c r="E78" t="str">
        <x:v>Northline Transport</x:v>
      </x:c>
      <x:c r="F78" t="str">
        <x:v>Transport expense 73</x:v>
      </x:c>
      <x:c r="G78" t="str">
        <x:v>R11,592</x:v>
      </x:c>
      <x:c r="H78" t="str">
        <x:v>Approved</x:v>
      </x:c>
      <x:c r="I78" t="str">
        <x:v>SRC-0073</x:v>
      </x:c>
    </x:row>
    <x:row r="79">
      <x:c r="A79" t="str">
        <x:v>TXN-27-0074</x:v>
      </x:c>
      <x:c r="B79" t="str">
        <x:v>INV-27-0074</x:v>
      </x:c>
      <x:c r="C79" t="str">
        <x:v>05-05-27</x:v>
      </x:c>
      <x:c r="D79" t="str">
        <x:v>Training venue</x:v>
      </x:c>
      <x:c r="E79" t="str">
        <x:v>Kopano Catering</x:v>
      </x:c>
      <x:c r="F79" t="str">
        <x:v>Venue expense 74</x:v>
      </x:c>
      <x:c r="G79" t="str">
        <x:v>R10,553</x:v>
      </x:c>
      <x:c r="H79" t="str">
        <x:v>Pending</x:v>
      </x:c>
      <x:c r="I79" t="str">
        <x:v>SRC-0074</x:v>
      </x:c>
    </x:row>
    <x:row r="80">
      <x:c r="A80" t="str">
        <x:v>TXN-27-0075</x:v>
      </x:c>
      <x:c r="B80" t="str">
        <x:v>INV-27-0075</x:v>
      </x:c>
      <x:c r="C80" t="str">
        <x:v>2027-04-16</x:v>
      </x:c>
      <x:c r="D80" t="str">
        <x:v>Training</x:v>
      </x:c>
      <x:c r="E80" t="str">
        <x:v>Riverside Venue Hire</x:v>
      </x:c>
      <x:c r="F80" t="str">
        <x:v>Training expense 75</x:v>
      </x:c>
      <x:c r="G80" t="str">
        <x:v>11287</x:v>
      </x:c>
      <x:c r="H80" t="str">
        <x:v>Rejected</x:v>
      </x:c>
      <x:c r="I80" t="str">
        <x:v>SRC-0075</x:v>
      </x:c>
    </x:row>
    <x:row r="81">
      <x:c r="A81" t="str">
        <x:v>TXN-27-0076</x:v>
      </x:c>
      <x:c r="B81" t="str">
        <x:v>INV-27-0076</x:v>
      </x:c>
      <x:c r="C81" t="str">
        <x:v>2027-03-27</x:v>
      </x:c>
      <x:c r="D81" t="str">
        <x:v>Facilitation</x:v>
      </x:c>
      <x:c r="E81" t="str">
        <x:v>Bright Print Studio</x:v>
      </x:c>
      <x:c r="F81" t="str">
        <x:v>Facilitation expense 76</x:v>
      </x:c>
      <x:c r="G81" t="str">
        <x:v>N/A</x:v>
      </x:c>
      <x:c r="H81" t="str">
        <x:v>Paid</x:v>
      </x:c>
      <x:c r="I81" t="str">
        <x:v>SRC-0076</x:v>
      </x:c>
    </x:row>
    <x:row r="82">
      <x:c r="A82" t="str">
        <x:v>TXN-27-0077</x:v>
      </x:c>
      <x:c r="B82" t="str">
        <x:v>INV-27-0077</x:v>
      </x:c>
      <x:c r="C82" t="str">
        <x:v>11/02/2027</x:v>
      </x:c>
      <x:c r="D82" t="str">
        <x:v>Operational support</x:v>
      </x:c>
      <x:c r="E82" t="str">
        <x:v>Thuto Facilitation</x:v>
      </x:c>
      <x:c r="F82" t="str">
        <x:v>Administration expense 77</x:v>
      </x:c>
      <x:c r="G82" t="str">
        <x:v> R 12855.00 </x:v>
      </x:c>
      <x:c r="H82" t="str">
        <x:v>Approved</x:v>
      </x:c>
      <x:c r="I82" t="str">
        <x:v>SRC-0077</x:v>
      </x:c>
    </x:row>
    <x:row r="83">
      <x:c r="A83" t="str">
        <x:v>TXN-27-0078</x:v>
      </x:c>
      <x:c r="B83" t="str">
        <x:v>INV-27-0078</x:v>
      </x:c>
      <x:c r="C83" t="str">
        <x:v>22-01-27</x:v>
      </x:c>
      <x:c r="D83" t="str">
        <x:v> SITE VISITS </x:v>
      </x:c>
      <x:c r="E83" t="str">
        <x:v>Moya Supplies</x:v>
      </x:c>
      <x:c r="F83" t="str">
        <x:v>Site visits expense 78</x:v>
      </x:c>
      <x:c r="G83" t="str">
        <x:v>R1,555</x:v>
      </x:c>
      <x:c r="H83" t="str">
        <x:v>Submitted</x:v>
      </x:c>
      <x:c r="I83" t="str">
        <x:v>SRC-0078</x:v>
      </x:c>
    </x:row>
    <x:row r="84">
      <x:c r="A84" t="str">
        <x:v>TXN-27-0079</x:v>
      </x:c>
      <x:c r="B84" t="str">
        <x:v>INV-27-0079</x:v>
      </x:c>
      <x:c r="C84" t="str">
        <x:v>2027-06-06</x:v>
      </x:c>
      <x:c r="D84" t="str">
        <x:v>Workshop materials</x:v>
      </x:c>
      <x:c r="E84" t="str">
        <x:v>Northline Transport</x:v>
      </x:c>
      <x:c r="F84" t="str">
        <x:v>Materials expense 79</x:v>
      </x:c>
      <x:c r="G84" t="str">
        <x:v>R2,994</x:v>
      </x:c>
      <x:c r="H84" t="str">
        <x:v>Rejected</x:v>
      </x:c>
      <x:c r="I84" t="str">
        <x:v>SRC-0079</x:v>
      </x:c>
    </x:row>
    <x:row r="85">
      <x:c r="A85" t="str">
        <x:v>TXN-27-0080</x:v>
      </x:c>
      <x:c r="B85" t="str">
        <x:v>INV-27-0080</x:v>
      </x:c>
      <x:c r="C85" t="str">
        <x:v>2027-05-17</x:v>
      </x:c>
      <x:c r="D85" t="str">
        <x:v>CATERING</x:v>
      </x:c>
      <x:c r="E85" t="str">
        <x:v>Kopano Catering</x:v>
      </x:c>
      <x:c r="F85" t="str">
        <x:v>Catering expense 80</x:v>
      </x:c>
      <x:c r="G85" t="str">
        <x:v>11772</x:v>
      </x:c>
      <x:c r="H85" t="str">
        <x:v>Paid</x:v>
      </x:c>
      <x:c r="I85" t="str">
        <x:v>SRC-0080</x:v>
      </x:c>
    </x:row>
    <x:row r="86">
      <x:c r="A86" t="str">
        <x:v>TXN-27-0081</x:v>
      </x:c>
      <x:c r="B86" t="str">
        <x:v>INV-27-0081</x:v>
      </x:c>
      <x:c r="C86" t="str">
        <x:v>01/04/2027</x:v>
      </x:c>
      <x:c r="D86" t="str">
        <x:v>Events</x:v>
      </x:c>
      <x:c r="E86" t="str">
        <x:v>  RIVERSIDE VENUE HIRE </x:v>
      </x:c>
      <x:c r="F86" t="str">
        <x:v>Events expense 81</x:v>
      </x:c>
      <x:c r="G86" t="str">
        <x:v>R11,911</x:v>
      </x:c>
      <x:c r="H86" t="str">
        <x:v>Approved</x:v>
      </x:c>
      <x:c r="I86" t="str">
        <x:v>SRC-0081</x:v>
      </x:c>
    </x:row>
    <x:row r="87">
      <x:c r="A87" t="str">
        <x:v>TXN-27-0082</x:v>
      </x:c>
      <x:c r="B87" t="str"/>
      <x:c r="C87" t="str">
        <x:v>12-03-27</x:v>
      </x:c>
      <x:c r="D87" t="str">
        <x:v>PRINT &amp; CONSENT</x:v>
      </x:c>
      <x:c r="E87" t="str">
        <x:v>Bright Print Studio</x:v>
      </x:c>
      <x:c r="F87" t="str">
        <x:v>Printing expense 82</x:v>
      </x:c>
      <x:c r="G87" t="str">
        <x:v>R5,506</x:v>
      </x:c>
      <x:c r="H87" t="str">
        <x:v>Submitted</x:v>
      </x:c>
      <x:c r="I87" t="str">
        <x:v>SRC-0082</x:v>
      </x:c>
    </x:row>
    <x:row r="88">
      <x:c r="A88" t="str">
        <x:v>TXN-27-0083</x:v>
      </x:c>
      <x:c r="B88" t="str">
        <x:v>INV-27-0083</x:v>
      </x:c>
      <x:c r="C88" t="str">
        <x:v>2027-02-23</x:v>
      </x:c>
      <x:c r="D88" t="str">
        <x:v>Learner taxi</x:v>
      </x:c>
      <x:c r="E88" t="str">
        <x:v>Thuto Facilitation</x:v>
      </x:c>
      <x:c r="F88" t="str">
        <x:v>Transport expense 83</x:v>
      </x:c>
      <x:c r="G88" t="str">
        <x:v>R12,762</x:v>
      </x:c>
      <x:c r="H88" t="str">
        <x:v>Rejected</x:v>
      </x:c>
      <x:c r="I88" t="str">
        <x:v>SRC-0083</x:v>
      </x:c>
    </x:row>
    <x:row r="89">
      <x:c r="A89" t="str">
        <x:v>TXN-27-0084</x:v>
      </x:c>
      <x:c r="B89" t="str">
        <x:v>INV-27-0084</x:v>
      </x:c>
      <x:c r="C89" t="str">
        <x:v>2027-01-07</x:v>
      </x:c>
      <x:c r="D89" t="str">
        <x:v>Venue</x:v>
      </x:c>
      <x:c r="E89" t="str">
        <x:v>Moya Supplies</x:v>
      </x:c>
      <x:c r="F89" t="str">
        <x:v>Venue expense 84</x:v>
      </x:c>
      <x:c r="G89" t="str">
        <x:v> R 11723.00 </x:v>
      </x:c>
      <x:c r="H89" t="str">
        <x:v>Paid</x:v>
      </x:c>
      <x:c r="I89" t="str">
        <x:v>SRC-0084</x:v>
      </x:c>
    </x:row>
    <x:row r="90">
      <x:c r="A90" t="str">
        <x:v>TXN-27-0085</x:v>
      </x:c>
      <x:c r="B90" t="str">
        <x:v>INV-27-0085</x:v>
      </x:c>
      <x:c r="C90" t="str">
        <x:v>18/06/2027</x:v>
      </x:c>
      <x:c r="D90" t="str">
        <x:v>Champion training</x:v>
      </x:c>
      <x:c r="E90" t="str">
        <x:v>Northline Transport</x:v>
      </x:c>
      <x:c r="F90" t="str">
        <x:v>Training expense 85</x:v>
      </x:c>
      <x:c r="G90" t="str">
        <x:v>12457</x:v>
      </x:c>
      <x:c r="H90" t="str">
        <x:v>paid </x:v>
      </x:c>
      <x:c r="I90" t="str">
        <x:v>SRC-0085</x:v>
      </x:c>
    </x:row>
    <x:row r="91">
      <x:c r="A91" t="str">
        <x:v>TXN-27-0086</x:v>
      </x:c>
      <x:c r="B91" t="str">
        <x:v>INV-27-0086</x:v>
      </x:c>
      <x:c r="C91" t="str">
        <x:v>02-05-27</x:v>
      </x:c>
      <x:c r="D91" t="str">
        <x:v>STIPENDS</x:v>
      </x:c>
      <x:c r="E91" t="str">
        <x:v>Kopano Catering</x:v>
      </x:c>
      <x:c r="F91" t="str">
        <x:v>Facilitation expense 86</x:v>
      </x:c>
      <x:c r="G91" t="str">
        <x:v>R1,730</x:v>
      </x:c>
      <x:c r="H91" t="str">
        <x:v>Submitted</x:v>
      </x:c>
      <x:c r="I91" t="str">
        <x:v>SRC-0086</x:v>
      </x:c>
    </x:row>
    <x:row r="92">
      <x:c r="A92" t="str">
        <x:v>TXN-27-0087</x:v>
      </x:c>
      <x:c r="B92" t="str">
        <x:v>INV-27-0087</x:v>
      </x:c>
      <x:c r="C92" t="str">
        <x:v>2027-04-13</x:v>
      </x:c>
      <x:c r="D92" t="str">
        <x:v>Administration</x:v>
      </x:c>
      <x:c r="E92" t="str">
        <x:v>Riverside Venue Hire</x:v>
      </x:c>
      <x:c r="F92" t="str">
        <x:v>Administration expense 87</x:v>
      </x:c>
      <x:c r="G92" t="str">
        <x:v>R-14025</x:v>
      </x:c>
      <x:c r="H92" t="str">
        <x:v>Rejected</x:v>
      </x:c>
      <x:c r="I92" t="str">
        <x:v>SRC-0087</x:v>
      </x:c>
    </x:row>
    <x:row r="93">
      <x:c r="A93" t="str">
        <x:v>TXN-27-0088</x:v>
      </x:c>
      <x:c r="B93" t="str">
        <x:v>INV-27-0088</x:v>
      </x:c>
      <x:c r="C93" t="str">
        <x:v>2027-03-24</x:v>
      </x:c>
      <x:c r="D93" t="str">
        <x:v>Site Visit</x:v>
      </x:c>
      <x:c r="E93" t="str">
        <x:v>Bright Print Studio</x:v>
      </x:c>
      <x:c r="F93" t="str">
        <x:v>Site visits expense 88</x:v>
      </x:c>
      <x:c r="G93" t="str">
        <x:v>R2,725</x:v>
      </x:c>
      <x:c r="H93" t="str">
        <x:v>Paid</x:v>
      </x:c>
      <x:c r="I93" t="str">
        <x:v>SRC-0088</x:v>
      </x:c>
    </x:row>
    <x:row r="94">
      <x:c r="A94" t="str">
        <x:v>TXN-27-0089</x:v>
      </x:c>
      <x:c r="B94" t="str">
        <x:v>INV-27-0089</x:v>
      </x:c>
      <x:c r="C94" t="str">
        <x:v>08/02/2027</x:v>
      </x:c>
      <x:c r="D94" t="str">
        <x:v>MATERIALS / SUPPLIES</x:v>
      </x:c>
      <x:c r="E94" t="str">
        <x:v>Thuto Facilitation</x:v>
      </x:c>
      <x:c r="F94" t="str">
        <x:v>Materials expense 89</x:v>
      </x:c>
      <x:c r="G94" t="str">
        <x:v>R4,164</x:v>
      </x:c>
      <x:c r="H94" t="str">
        <x:v>Approved</x:v>
      </x:c>
      <x:c r="I94" t="str">
        <x:v>SRC-0089</x:v>
      </x:c>
    </x:row>
    <x:row r="95">
      <x:c r="A95" t="str">
        <x:v>TXN-27-0090</x:v>
      </x:c>
      <x:c r="B95" t="str">
        <x:v>INV-27-0090</x:v>
      </x:c>
      <x:c r="C95" t="str">
        <x:v>19-01-27</x:v>
      </x:c>
      <x:c r="D95" t="str">
        <x:v>MEALS</x:v>
      </x:c>
      <x:c r="E95" t="str">
        <x:v>  MOYA SUPPLIES </x:v>
      </x:c>
      <x:c r="F95" t="str">
        <x:v>Catering expense 90</x:v>
      </x:c>
      <x:c r="G95" t="str">
        <x:v>12942</x:v>
      </x:c>
      <x:c r="H95" t="str">
        <x:v>Submitted</x:v>
      </x:c>
      <x:c r="I95" t="str">
        <x:v>SRC-0090</x:v>
      </x:c>
    </x:row>
    <x:row r="96">
      <x:c r="A96" t="str">
        <x:v>TXN-27-0091</x:v>
      </x:c>
      <x:c r="B96" t="str">
        <x:v>INV-27-0091</x:v>
      </x:c>
      <x:c r="C96" t="str">
        <x:v>2027-06-03</x:v>
      </x:c>
      <x:c r="D96" t="str">
        <x:v> RECOGNITION EVENT </x:v>
      </x:c>
      <x:c r="E96" t="str">
        <x:v>Northline Transport</x:v>
      </x:c>
      <x:c r="F96" t="str">
        <x:v>Events expense 91</x:v>
      </x:c>
      <x:c r="G96" t="str">
        <x:v> R 13081.00 </x:v>
      </x:c>
      <x:c r="H96" t="str">
        <x:v>Rejected</x:v>
      </x:c>
      <x:c r="I96" t="str">
        <x:v>SRC-0091</x:v>
      </x:c>
    </x:row>
    <x:row r="97">
      <x:c r="A97" t="str">
        <x:v>TXN-27-0092</x:v>
      </x:c>
      <x:c r="B97" t="str">
        <x:v>INV-27-0091</x:v>
      </x:c>
      <x:c r="C97" t="str">
        <x:v>2027-05-14</x:v>
      </x:c>
      <x:c r="D97" t="str">
        <x:v>Printing and consent</x:v>
      </x:c>
      <x:c r="E97" t="str">
        <x:v>Kopano Catering</x:v>
      </x:c>
      <x:c r="F97" t="str">
        <x:v>Printing expense 92</x:v>
      </x:c>
      <x:c r="G97" t="str">
        <x:v>R426</x:v>
      </x:c>
      <x:c r="H97" t="str">
        <x:v>Paid</x:v>
      </x:c>
      <x:c r="I97" t="str">
        <x:v>SRC-0092</x:v>
      </x:c>
    </x:row>
    <x:row r="98">
      <x:c r="A98" t="str">
        <x:v>TXN-27-0093</x:v>
      </x:c>
      <x:c r="B98" t="str">
        <x:v>INV-27-0093</x:v>
      </x:c>
      <x:c r="C98" t="str">
        <x:v>25/04/2027</x:v>
      </x:c>
      <x:c r="D98" t="str">
        <x:v>LEARNER TRANSPORT</x:v>
      </x:c>
      <x:c r="E98" t="str">
        <x:v>Riverside Venue Hire</x:v>
      </x:c>
      <x:c r="F98" t="str">
        <x:v>Transport expense 93</x:v>
      </x:c>
      <x:c r="G98" t="str">
        <x:v>R13,932</x:v>
      </x:c>
      <x:c r="H98" t="str">
        <x:v>Approved</x:v>
      </x:c>
      <x:c r="I98" t="str">
        <x:v>SRC-0093</x:v>
      </x:c>
    </x:row>
    <x:row r="99">
      <x:c r="A99" t="str">
        <x:v>TXN-27-0094</x:v>
      </x:c>
      <x:c r="B99" t="str">
        <x:v>INV-27-0094</x:v>
      </x:c>
      <x:c r="C99" t="str">
        <x:v>09-03-27</x:v>
      </x:c>
      <x:c r="D99" t="str">
        <x:v>Venue hire</x:v>
      </x:c>
      <x:c r="E99" t="str"/>
      <x:c r="F99" t="str">
        <x:v>Venue expense 94</x:v>
      </x:c>
      <x:c r="G99" t="str">
        <x:v>R12,893</x:v>
      </x:c>
      <x:c r="H99" t="str">
        <x:v>Submitted</x:v>
      </x:c>
      <x:c r="I99" t="str">
        <x:v>SRC-0094</x:v>
      </x:c>
    </x:row>
    <x:row r="100">
      <x:c r="A100" t="str">
        <x:v>TXN-27-0095</x:v>
      </x:c>
      <x:c r="B100" t="str">
        <x:v>INV-27-0095</x:v>
      </x:c>
      <x:c r="C100" t="str">
        <x:v>2027-02-20</x:v>
      </x:c>
      <x:c r="D100" t="str">
        <x:v>FACILITATOR TRAINING</x:v>
      </x:c>
      <x:c r="E100" t="str">
        <x:v>Thuto Facilitation</x:v>
      </x:c>
      <x:c r="F100" t="str">
        <x:v>Training expense 95</x:v>
      </x:c>
      <x:c r="G100" t="str">
        <x:v>13627</x:v>
      </x:c>
      <x:c r="H100" t="str">
        <x:v>Rejected</x:v>
      </x:c>
      <x:c r="I100" t="str">
        <x:v>SRC-0095</x:v>
      </x:c>
    </x:row>
    <x:row r="101">
      <x:c r="A101" t="str">
        <x:v>TXN-27-0096</x:v>
      </x:c>
      <x:c r="B101" t="str">
        <x:v>INV-27-0096</x:v>
      </x:c>
      <x:c r="C101" t="str">
        <x:v>2027-01-04</x:v>
      </x:c>
      <x:c r="D101" t="str">
        <x:v>Facilitation</x:v>
      </x:c>
      <x:c r="E101" t="str">
        <x:v>Moya Supplies</x:v>
      </x:c>
      <x:c r="F101" t="str">
        <x:v>Facilitation expense 96</x:v>
      </x:c>
      <x:c r="G101" t="str">
        <x:v>R2,900</x:v>
      </x:c>
      <x:c r="H101" t="str">
        <x:v>Paid</x:v>
      </x:c>
      <x:c r="I101" t="str">
        <x:v>SRC-0096</x:v>
      </x:c>
    </x:row>
    <x:row r="102">
      <x:c r="A102" t="str">
        <x:v>TXN-27-0097</x:v>
      </x:c>
      <x:c r="B102" t="str">
        <x:v>INV-27-0097</x:v>
      </x:c>
      <x:c r="C102" t="str">
        <x:v>15/06/2027</x:v>
      </x:c>
      <x:c r="D102" t="str">
        <x:v>Admin</x:v>
      </x:c>
      <x:c r="E102" t="str">
        <x:v>Northline Transport</x:v>
      </x:c>
      <x:c r="F102" t="str">
        <x:v>Administration expense 97</x:v>
      </x:c>
      <x:c r="G102" t="str">
        <x:v>R695</x:v>
      </x:c>
      <x:c r="H102" t="str">
        <x:v>Approved</x:v>
      </x:c>
      <x:c r="I102" t="str">
        <x:v>SRC-0097</x:v>
      </x:c>
    </x:row>
    <x:row r="103">
      <x:c r="A103" t="str">
        <x:v>TXN-27-0098</x:v>
      </x:c>
      <x:c r="B103" t="str">
        <x:v>INV-27-0098</x:v>
      </x:c>
      <x:c r="C103" t="str">
        <x:v>26-05-27</x:v>
      </x:c>
      <x:c r="D103" t="str">
        <x:v>Travel and site visits</x:v>
      </x:c>
      <x:c r="E103" t="str">
        <x:v>Kopano Catering</x:v>
      </x:c>
      <x:c r="F103" t="str">
        <x:v>Site visits expense 98</x:v>
      </x:c>
      <x:c r="G103" t="str">
        <x:v> R 3895.00 </x:v>
      </x:c>
      <x:c r="H103" t="str">
        <x:v>Submitted</x:v>
      </x:c>
      <x:c r="I103" t="str">
        <x:v>SRC-0098</x:v>
      </x:c>
    </x:row>
    <x:row r="104">
      <x:c r="A104" t="str">
        <x:v>TXN-27-0099</x:v>
      </x:c>
      <x:c r="B104" t="str">
        <x:v>INV-27-0099</x:v>
      </x:c>
      <x:c r="C104" t="str">
        <x:v>2027-04-10</x:v>
      </x:c>
      <x:c r="D104" t="str">
        <x:v>Materials</x:v>
      </x:c>
      <x:c r="E104" t="str">
        <x:v>  RIVERSIDE VENUE HIRE </x:v>
      </x:c>
      <x:c r="F104" t="str">
        <x:v>Materials expense 99</x:v>
      </x:c>
      <x:c r="G104" t="str">
        <x:v>R5,334</x:v>
      </x:c>
      <x:c r="H104" t="str">
        <x:v>Rejected</x:v>
      </x:c>
      <x:c r="I104" t="str">
        <x:v>SRC-0099</x:v>
      </x:c>
    </x:row>
    <x:row r="105">
      <x:c r="A105" t="str">
        <x:v>TXN-27-0100</x:v>
      </x:c>
      <x:c r="B105" t="str">
        <x:v>INV-27-0100</x:v>
      </x:c>
      <x:c r="C105" t="str">
        <x:v>2027-03-21</x:v>
      </x:c>
      <x:c r="D105" t="str">
        <x:v>CATERING</x:v>
      </x:c>
      <x:c r="E105" t="str">
        <x:v>Bright Print Studio</x:v>
      </x:c>
      <x:c r="F105" t="str">
        <x:v>Catering expense 100</x:v>
      </x:c>
      <x:c r="G105" t="str">
        <x:v>14112</x:v>
      </x:c>
      <x:c r="H105" t="str">
        <x:v>Paid</x:v>
      </x:c>
      <x:c r="I105" t="str">
        <x:v>SRC-0100</x:v>
      </x:c>
    </x:row>
    <x:row r="106">
      <x:c r="A106" t="str">
        <x:v>TXN-27-0101</x:v>
      </x:c>
      <x:c r="B106" t="str">
        <x:v>INV-27-0101</x:v>
      </x:c>
      <x:c r="C106" t="str">
        <x:v>05/02/2027</x:v>
      </x:c>
      <x:c r="D106" t="str">
        <x:v>Badge ceremony</x:v>
      </x:c>
      <x:c r="E106" t="str">
        <x:v>Thuto Facilitation</x:v>
      </x:c>
      <x:c r="F106" t="str">
        <x:v>Events expense 101</x:v>
      </x:c>
      <x:c r="G106" t="str">
        <x:v>R14,251</x:v>
      </x:c>
      <x:c r="H106" t="str">
        <x:v>Approved</x:v>
      </x:c>
      <x:c r="I106" t="str">
        <x:v>SRC-0101</x:v>
      </x:c>
    </x:row>
    <x:row r="107">
      <x:c r="A107" t="str">
        <x:v>TXN-27-0102</x:v>
      </x:c>
      <x:c r="B107" t="str">
        <x:v>INV-27-0102</x:v>
      </x:c>
      <x:c r="C107" t="str">
        <x:v>16-01-27</x:v>
      </x:c>
      <x:c r="D107" t="str">
        <x:v>Printing</x:v>
      </x:c>
      <x:c r="E107" t="str">
        <x:v>Moya Supplies</x:v>
      </x:c>
      <x:c r="F107" t="str">
        <x:v>Printing expense 102</x:v>
      </x:c>
      <x:c r="G107" t="str">
        <x:v>R1,596</x:v>
      </x:c>
      <x:c r="H107" t="str">
        <x:v>paid </x:v>
      </x:c>
      <x:c r="I107" t="str">
        <x:v>SRC-0102</x:v>
      </x:c>
    </x:row>
    <x:row r="108">
      <x:c r="A108" t="str">
        <x:v>TXN-27-0103</x:v>
      </x:c>
      <x:c r="B108" t="str">
        <x:v>INV-27-0103</x:v>
      </x:c>
      <x:c r="C108" t="str">
        <x:v>2027-06-27</x:v>
      </x:c>
      <x:c r="D108" t="str">
        <x:v>Learner taxi</x:v>
      </x:c>
      <x:c r="E108" t="str">
        <x:v>Northline Transport</x:v>
      </x:c>
      <x:c r="F108" t="str">
        <x:v>Transport expense 103</x:v>
      </x:c>
      <x:c r="G108" t="str">
        <x:v>R15,102</x:v>
      </x:c>
      <x:c r="H108" t="str">
        <x:v>Rejected</x:v>
      </x:c>
      <x:c r="I108" t="str">
        <x:v>SRC-0103</x:v>
      </x:c>
    </x:row>
    <x:row r="109">
      <x:c r="A109" t="str">
        <x:v>TXN-27-0104</x:v>
      </x:c>
      <x:c r="B109" t="str">
        <x:v>INV-27-0104</x:v>
      </x:c>
      <x:c r="C109" t="str">
        <x:v>2027-05-11</x:v>
      </x:c>
      <x:c r="D109" t="str">
        <x:v> TRAINING VENUE </x:v>
      </x:c>
      <x:c r="E109" t="str">
        <x:v>Kopano Catering</x:v>
      </x:c>
      <x:c r="F109" t="str">
        <x:v>Venue expense 104</x:v>
      </x:c>
      <x:c r="G109" t="str">
        <x:v>R763</x:v>
      </x:c>
      <x:c r="H109" t="str">
        <x:v>Paid</x:v>
      </x:c>
      <x:c r="I109" t="str">
        <x:v>SRC-0104</x:v>
      </x:c>
    </x:row>
    <x:row r="110">
      <x:c r="A110" t="str">
        <x:v>TXN-27-0105</x:v>
      </x:c>
      <x:c r="B110" t="str">
        <x:v>INV-27-0105</x:v>
      </x:c>
      <x:c r="C110" t="str">
        <x:v>22/04/2027</x:v>
      </x:c>
      <x:c r="D110" t="str">
        <x:v>Training</x:v>
      </x:c>
      <x:c r="E110" t="str">
        <x:v>Riverside Venue Hire</x:v>
      </x:c>
      <x:c r="F110" t="str">
        <x:v>Training expense 105</x:v>
      </x:c>
      <x:c r="G110" t="str">
        <x:v>14797</x:v>
      </x:c>
      <x:c r="H110" t="str">
        <x:v>Approved</x:v>
      </x:c>
      <x:c r="I110" t="str">
        <x:v>SRC-0105</x:v>
      </x:c>
    </x:row>
    <x:row r="111">
      <x:c r="A111" t="str">
        <x:v>TXN-27-0106</x:v>
      </x:c>
      <x:c r="B111" t="str">
        <x:v>INV-27-0106</x:v>
      </x:c>
      <x:c r="C111" t="str">
        <x:v>bad date</x:v>
      </x:c>
      <x:c r="D111" t="str">
        <x:v>STIPENDS</x:v>
      </x:c>
      <x:c r="E111" t="str">
        <x:v>Bright Print Studio</x:v>
      </x:c>
      <x:c r="F111" t="str">
        <x:v>Facilitation expense 106</x:v>
      </x:c>
      <x:c r="G111" t="str">
        <x:v>R4,070</x:v>
      </x:c>
      <x:c r="H111" t="str">
        <x:v>Submitted</x:v>
      </x:c>
      <x:c r="I111" t="str">
        <x:v>SRC-0106</x:v>
      </x:c>
    </x:row>
    <x:row r="112">
      <x:c r="A112" t="str">
        <x:v>TXN-27-0107</x:v>
      </x:c>
      <x:c r="B112" t="str">
        <x:v>INV-27-0107</x:v>
      </x:c>
      <x:c r="C112" t="str">
        <x:v>2027-02-17</x:v>
      </x:c>
      <x:c r="D112" t="str">
        <x:v>Operational support</x:v>
      </x:c>
      <x:c r="E112" t="str">
        <x:v>Thuto Facilitation</x:v>
      </x:c>
      <x:c r="F112" t="str">
        <x:v>Administration expense 107</x:v>
      </x:c>
      <x:c r="G112" t="str">
        <x:v>R1,865</x:v>
      </x:c>
      <x:c r="H112" t="str">
        <x:v>Rejected</x:v>
      </x:c>
      <x:c r="I112" t="str">
        <x:v>SRC-0107</x:v>
      </x:c>
    </x:row>
    <x:row r="113">
      <x:c r="A113" t="str">
        <x:v>TXN-27-0108</x:v>
      </x:c>
      <x:c r="B113" t="str">
        <x:v>INV-27-0108</x:v>
      </x:c>
      <x:c r="C113" t="str">
        <x:v>2027-01-01</x:v>
      </x:c>
      <x:c r="D113" t="str">
        <x:v>Site visits</x:v>
      </x:c>
      <x:c r="E113" t="str">
        <x:v>  MOYA SUPPLIES </x:v>
      </x:c>
      <x:c r="F113" t="str">
        <x:v>Site visits expense 108</x:v>
      </x:c>
      <x:c r="G113" t="str">
        <x:v>R5,065</x:v>
      </x:c>
      <x:c r="H113" t="str">
        <x:v>Paid</x:v>
      </x:c>
      <x:c r="I113" t="str">
        <x:v>SRC-0108</x:v>
      </x:c>
    </x:row>
    <x:row r="114">
      <x:c r="A114" t="str">
        <x:v>TXN-27-0109</x:v>
      </x:c>
      <x:c r="B114" t="str">
        <x:v>INV-27-0109</x:v>
      </x:c>
      <x:c r="C114" t="str">
        <x:v>12/06/2027</x:v>
      </x:c>
      <x:c r="D114" t="str">
        <x:v>Workshop materials</x:v>
      </x:c>
      <x:c r="E114" t="str">
        <x:v>Northline Transport</x:v>
      </x:c>
      <x:c r="F114" t="str">
        <x:v>Materials expense 109</x:v>
      </x:c>
      <x:c r="G114" t="str">
        <x:v>R6,504</x:v>
      </x:c>
      <x:c r="H114" t="str">
        <x:v>Approved</x:v>
      </x:c>
      <x:c r="I114" t="str">
        <x:v>SRC-0109</x:v>
      </x:c>
    </x:row>
    <x:row r="115">
      <x:c r="A115" t="str">
        <x:v>TXN-27-0110</x:v>
      </x:c>
      <x:c r="B115" t="str">
        <x:v>INV-27-0110</x:v>
      </x:c>
      <x:c r="C115" t="str">
        <x:v>23-05-27</x:v>
      </x:c>
      <x:c r="D115" t="str">
        <x:v>MEALS</x:v>
      </x:c>
      <x:c r="E115" t="str">
        <x:v>Kopano Catering</x:v>
      </x:c>
      <x:c r="F115" t="str">
        <x:v>Catering expense 110</x:v>
      </x:c>
      <x:c r="G115" t="str">
        <x:v>15282</x:v>
      </x:c>
      <x:c r="H115" t="str">
        <x:v>Submitted</x:v>
      </x:c>
      <x:c r="I115" t="str">
        <x:v>SRC-0110</x:v>
      </x:c>
    </x:row>
    <x:row r="116">
      <x:c r="A116" t="str">
        <x:v>TXN-27-0111</x:v>
      </x:c>
      <x:c r="B116" t="str">
        <x:v>INV-27-0111</x:v>
      </x:c>
      <x:c r="C116" t="str">
        <x:v>2027-04-07</x:v>
      </x:c>
      <x:c r="D116" t="str">
        <x:v>Events</x:v>
      </x:c>
      <x:c r="E116" t="str">
        <x:v>Riverside Venue Hire</x:v>
      </x:c>
      <x:c r="F116" t="str">
        <x:v>Events expense 111</x:v>
      </x:c>
      <x:c r="G116" t="str">
        <x:v>R15,421</x:v>
      </x:c>
      <x:c r="H116" t="str">
        <x:v>Pending</x:v>
      </x:c>
      <x:c r="I116" t="str">
        <x:v>SRC-0111</x:v>
      </x:c>
    </x:row>
    <x:row r="117">
      <x:c r="A117" t="str">
        <x:v>TXN-27-0112</x:v>
      </x:c>
      <x:c r="B117" t="str">
        <x:v>INV-27-0112</x:v>
      </x:c>
      <x:c r="C117" t="str">
        <x:v>2027-03-18</x:v>
      </x:c>
      <x:c r="D117" t="str">
        <x:v>PRINT &amp; CONSENT</x:v>
      </x:c>
      <x:c r="E117" t="str">
        <x:v>Bright Print Studio</x:v>
      </x:c>
      <x:c r="F117" t="str">
        <x:v>Printing expense 112</x:v>
      </x:c>
      <x:c r="G117" t="str">
        <x:v> R 2766.00 </x:v>
      </x:c>
      <x:c r="H117" t="str">
        <x:v>Paid</x:v>
      </x:c>
      <x:c r="I117" t="str">
        <x:v>SRC-0112</x:v>
      </x:c>
    </x:row>
    <x:row r="118">
      <x:c r="A118" t="str">
        <x:v>TXN-27-0113</x:v>
      </x:c>
      <x:c r="B118" t="str">
        <x:v>INV-27-0113</x:v>
      </x:c>
      <x:c r="C118" t="str">
        <x:v>02/02/2027</x:v>
      </x:c>
      <x:c r="D118" t="str">
        <x:v>LEARNER TRANSPORT</x:v>
      </x:c>
      <x:c r="E118" t="str">
        <x:v>Thuto Facilitation</x:v>
      </x:c>
      <x:c r="F118" t="str">
        <x:v>Transport expense 113</x:v>
      </x:c>
      <x:c r="G118" t="str">
        <x:v>R16,272</x:v>
      </x:c>
      <x:c r="H118" t="str">
        <x:v>Approved</x:v>
      </x:c>
      <x:c r="I118" t="str">
        <x:v>SRC-0113</x:v>
      </x:c>
    </x:row>
    <x:row r="119">
      <x:c r="A119" t="str">
        <x:v>TXN-27-0114</x:v>
      </x:c>
      <x:c r="B119" t="str">
        <x:v>INV-27-0114</x:v>
      </x:c>
      <x:c r="C119" t="str">
        <x:v>13-01-27</x:v>
      </x:c>
      <x:c r="D119" t="str">
        <x:v>Venue</x:v>
      </x:c>
      <x:c r="E119" t="str">
        <x:v>Moya Supplies</x:v>
      </x:c>
      <x:c r="F119" t="str">
        <x:v>Venue expense 114</x:v>
      </x:c>
      <x:c r="G119" t="str">
        <x:v>N/A</x:v>
      </x:c>
      <x:c r="H119" t="str">
        <x:v>Submitted</x:v>
      </x:c>
      <x:c r="I119" t="str">
        <x:v>SRC-0114</x:v>
      </x:c>
    </x:row>
    <x:row r="120">
      <x:c r="A120" t="str">
        <x:v>TXN-27-0115</x:v>
      </x:c>
      <x:c r="B120" t="str">
        <x:v>INV-27-0114</x:v>
      </x:c>
      <x:c r="C120" t="str">
        <x:v>2027-06-24</x:v>
      </x:c>
      <x:c r="D120" t="str">
        <x:v>Champion training</x:v>
      </x:c>
      <x:c r="E120" t="str">
        <x:v>Northline Transport</x:v>
      </x:c>
      <x:c r="F120" t="str">
        <x:v>Training expense 115</x:v>
      </x:c>
      <x:c r="G120" t="str">
        <x:v>15967</x:v>
      </x:c>
      <x:c r="H120" t="str">
        <x:v>Rejected</x:v>
      </x:c>
      <x:c r="I120" t="str">
        <x:v>SRC-0115</x:v>
      </x:c>
    </x:row>
    <x:row r="121">
      <x:c r="A121" t="str">
        <x:v>TXN-27-0116</x:v>
      </x:c>
      <x:c r="B121" t="str">
        <x:v>INV-27-0116</x:v>
      </x:c>
      <x:c r="C121" t="str">
        <x:v>2027-05-08</x:v>
      </x:c>
      <x:c r="D121" t="str">
        <x:v>Facilitation</x:v>
      </x:c>
      <x:c r="E121" t="str">
        <x:v>Kopano Catering</x:v>
      </x:c>
      <x:c r="F121" t="str">
        <x:v>Facilitation expense 116</x:v>
      </x:c>
      <x:c r="G121" t="str">
        <x:v>R-5240</x:v>
      </x:c>
      <x:c r="H121" t="str">
        <x:v>Paid</x:v>
      </x:c>
      <x:c r="I121" t="str">
        <x:v>SRC-0116</x:v>
      </x:c>
    </x:row>
    <x:row r="122">
      <x:c r="A122" t="str">
        <x:v>TXN-27-0117</x:v>
      </x:c>
      <x:c r="B122" t="str">
        <x:v>INV-27-0117</x:v>
      </x:c>
      <x:c r="C122" t="str">
        <x:v>19/04/2027</x:v>
      </x:c>
      <x:c r="D122" t="str">
        <x:v> ADMINISTRATION </x:v>
      </x:c>
      <x:c r="E122" t="str">
        <x:v>  RIVERSIDE VENUE HIRE </x:v>
      </x:c>
      <x:c r="F122" t="str">
        <x:v>Administration expense 117</x:v>
      </x:c>
      <x:c r="G122" t="str">
        <x:v>R3,035</x:v>
      </x:c>
      <x:c r="H122" t="str">
        <x:v>Approved</x:v>
      </x:c>
      <x:c r="I122" t="str">
        <x:v>SRC-0117</x:v>
      </x:c>
    </x:row>
    <x:row r="123">
      <x:c r="A123" t="str">
        <x:v>TXN-27-0118</x:v>
      </x:c>
      <x:c r="B123" t="str">
        <x:v>INV-27-0118</x:v>
      </x:c>
      <x:c r="C123" t="str">
        <x:v>03-03-27</x:v>
      </x:c>
      <x:c r="D123" t="str">
        <x:v>Site Visit</x:v>
      </x:c>
      <x:c r="E123" t="str">
        <x:v>Bright Print Studio</x:v>
      </x:c>
      <x:c r="F123" t="str">
        <x:v>Site visits expense 118</x:v>
      </x:c>
      <x:c r="G123" t="str">
        <x:v>R6,235</x:v>
      </x:c>
      <x:c r="H123" t="str">
        <x:v>Submitted</x:v>
      </x:c>
      <x:c r="I123" t="str">
        <x:v>SRC-0118</x:v>
      </x:c>
    </x:row>
    <x:row r="124">
      <x:c r="A124" t="str">
        <x:v>TXN-27-0119</x:v>
      </x:c>
      <x:c r="B124" t="str">
        <x:v>INV-27-0119</x:v>
      </x:c>
      <x:c r="C124" t="str">
        <x:v>2027-02-14</x:v>
      </x:c>
      <x:c r="D124" t="str">
        <x:v>MATERIALS / SUPPLIES</x:v>
      </x:c>
      <x:c r="E124" t="str">
        <x:v>Thuto Facilitation</x:v>
      </x:c>
      <x:c r="F124" t="str">
        <x:v>Materials expense 119</x:v>
      </x:c>
      <x:c r="G124" t="str">
        <x:v> R 7674.00 </x:v>
      </x:c>
      <x:c r="H124" t="str">
        <x:v>paid </x:v>
      </x:c>
      <x:c r="I124" t="str">
        <x:v>SRC-0119</x:v>
      </x:c>
    </x:row>
    <x:row r="125">
      <x:c r="A125" t="str">
        <x:v>TXN-27-0120</x:v>
      </x:c>
      <x:c r="B125" t="str">
        <x:v>INV-27-0120</x:v>
      </x:c>
      <x:c r="C125" t="str">
        <x:v>2027-01-25</x:v>
      </x:c>
      <x:c r="D125" t="str">
        <x:v>CATERING</x:v>
      </x:c>
      <x:c r="E125" t="str">
        <x:v>Moya Supplies</x:v>
      </x:c>
      <x:c r="F125" t="str">
        <x:v>Catering expense 120</x:v>
      </x:c>
      <x:c r="G125" t="str">
        <x:v>16452</x:v>
      </x:c>
      <x:c r="H125" t="str">
        <x:v>Paid</x:v>
      </x:c>
      <x:c r="I125" t="str">
        <x:v>SRC-0120</x:v>
      </x:c>
    </x:row>
    <x:row r="126">
      <x:c r="A126" t="str">
        <x:v>TXN-27-0121</x:v>
      </x:c>
      <x:c r="B126" t="str">
        <x:v>INV-27-0121</x:v>
      </x:c>
      <x:c r="C126" t="str">
        <x:v>09/06/2027</x:v>
      </x:c>
      <x:c r="D126" t="str">
        <x:v>Recognition event</x:v>
      </x:c>
      <x:c r="E126" t="str">
        <x:v>Northline Transport</x:v>
      </x:c>
      <x:c r="F126" t="str">
        <x:v>Events expense 121</x:v>
      </x:c>
      <x:c r="G126" t="str">
        <x:v>R16,591</x:v>
      </x:c>
      <x:c r="H126" t="str">
        <x:v>Approved</x:v>
      </x:c>
      <x:c r="I126" t="str">
        <x:v>SRC-0121</x:v>
      </x:c>
    </x:row>
    <x:row r="127">
      <x:c r="A127" t="str">
        <x:v>TXN-27-0122</x:v>
      </x:c>
      <x:c r="B127" t="str">
        <x:v>INV-27-0122</x:v>
      </x:c>
      <x:c r="C127" t="str">
        <x:v>20-05-27</x:v>
      </x:c>
      <x:c r="D127" t="str">
        <x:v>Miscellaneous / confirm</x:v>
      </x:c>
      <x:c r="E127" t="str">
        <x:v>Kopano Catering</x:v>
      </x:c>
      <x:c r="F127" t="str">
        <x:v>Printing expense 122</x:v>
      </x:c>
      <x:c r="G127" t="str">
        <x:v>R3,936</x:v>
      </x:c>
      <x:c r="H127" t="str">
        <x:v>Submitted</x:v>
      </x:c>
      <x:c r="I127" t="str">
        <x:v>SRC-0122</x:v>
      </x:c>
    </x:row>
    <x:row r="128">
      <x:c r="A128" t="str">
        <x:v>TXN-27-0123</x:v>
      </x:c>
      <x:c r="B128" t="str"/>
      <x:c r="C128" t="str">
        <x:v>2027-04-04</x:v>
      </x:c>
      <x:c r="D128" t="str">
        <x:v>Learner taxi</x:v>
      </x:c>
      <x:c r="E128" t="str">
        <x:v>Riverside Venue Hire</x:v>
      </x:c>
      <x:c r="F128" t="str">
        <x:v>Transport expense 123</x:v>
      </x:c>
      <x:c r="G128" t="str">
        <x:v>R17,442</x:v>
      </x:c>
      <x:c r="H128" t="str">
        <x:v>Rejected</x:v>
      </x:c>
      <x:c r="I128" t="str">
        <x:v>SRC-0123</x:v>
      </x:c>
    </x:row>
    <x:row r="129">
      <x:c r="A129" t="str">
        <x:v>TXN-27-0124</x:v>
      </x:c>
      <x:c r="B129" t="str">
        <x:v>INV-27-0124</x:v>
      </x:c>
      <x:c r="C129" t="str">
        <x:v>2027-03-15</x:v>
      </x:c>
      <x:c r="D129" t="str">
        <x:v>Venue hire</x:v>
      </x:c>
      <x:c r="E129" t="str">
        <x:v>Bright Print Studio</x:v>
      </x:c>
      <x:c r="F129" t="str">
        <x:v>Venue expense 124</x:v>
      </x:c>
      <x:c r="G129" t="str">
        <x:v>R3,103</x:v>
      </x:c>
      <x:c r="H129" t="str">
        <x:v>Paid</x:v>
      </x:c>
      <x:c r="I129" t="str">
        <x:v>SRC-0124</x:v>
      </x:c>
    </x:row>
    <x:row r="130">
      <x:c r="A130" t="str">
        <x:v>TXN-27-0125</x:v>
      </x:c>
      <x:c r="B130" t="str">
        <x:v>INV-27-0125</x:v>
      </x:c>
      <x:c r="C130" t="str">
        <x:v>26/02/2027</x:v>
      </x:c>
      <x:c r="D130" t="str">
        <x:v>FACILITATOR TRAINING</x:v>
      </x:c>
      <x:c r="E130" t="str">
        <x:v>Thuto Facilitation</x:v>
      </x:c>
      <x:c r="F130" t="str">
        <x:v>Training expense 125</x:v>
      </x:c>
      <x:c r="G130" t="str">
        <x:v>17137</x:v>
      </x:c>
      <x:c r="H130" t="str">
        <x:v>Approved</x:v>
      </x:c>
      <x:c r="I130" t="str">
        <x:v>SRC-0125</x:v>
      </x:c>
    </x:row>
    <x:row r="131">
      <x:c r="A131" t="str">
        <x:v>TXN-27-0126</x:v>
      </x:c>
      <x:c r="B131" t="str">
        <x:v>INV-27-0126</x:v>
      </x:c>
      <x:c r="C131" t="str">
        <x:v>10-01-27</x:v>
      </x:c>
      <x:c r="D131" t="str">
        <x:v>STIPENDS</x:v>
      </x:c>
      <x:c r="E131" t="str">
        <x:v>  MOYA SUPPLIES </x:v>
      </x:c>
      <x:c r="F131" t="str">
        <x:v>Facilitation expense 126</x:v>
      </x:c>
      <x:c r="G131" t="str">
        <x:v> R 6410.00 </x:v>
      </x:c>
      <x:c r="H131" t="str">
        <x:v>Submitted</x:v>
      </x:c>
      <x:c r="I131" t="str">
        <x:v>SRC-0126</x:v>
      </x:c>
    </x:row>
    <x:row r="132">
      <x:c r="A132" t="str">
        <x:v>TXN-27-0127</x:v>
      </x:c>
      <x:c r="B132" t="str">
        <x:v>INV-27-0127</x:v>
      </x:c>
      <x:c r="C132" t="str">
        <x:v>2027-06-21</x:v>
      </x:c>
      <x:c r="D132" t="str">
        <x:v>Admin</x:v>
      </x:c>
      <x:c r="E132" t="str">
        <x:v>Northline Transport</x:v>
      </x:c>
      <x:c r="F132" t="str">
        <x:v>Administration expense 127</x:v>
      </x:c>
      <x:c r="G132" t="str">
        <x:v>R4,205</x:v>
      </x:c>
      <x:c r="H132" t="str">
        <x:v>Rejected</x:v>
      </x:c>
      <x:c r="I132" t="str">
        <x:v>SRC-0127</x:v>
      </x:c>
    </x:row>
    <x:row r="133">
      <x:c r="A133" t="str">
        <x:v>TXN-27-0128</x:v>
      </x:c>
      <x:c r="B133" t="str">
        <x:v>INV-27-0128</x:v>
      </x:c>
      <x:c r="C133" t="str">
        <x:v>2027-05-05</x:v>
      </x:c>
      <x:c r="D133" t="str">
        <x:v>Travel and site visits</x:v>
      </x:c>
      <x:c r="E133" t="str">
        <x:v>Kopano Catering</x:v>
      </x:c>
      <x:c r="F133" t="str">
        <x:v>Site visits expense 128</x:v>
      </x:c>
      <x:c r="G133" t="str">
        <x:v>R7,405</x:v>
      </x:c>
      <x:c r="H133" t="str">
        <x:v>Paid</x:v>
      </x:c>
      <x:c r="I133" t="str">
        <x:v>SRC-0128</x:v>
      </x:c>
    </x:row>
    <x:row r="134">
      <x:c r="A134" t="str">
        <x:v>TXN-27-0129</x:v>
      </x:c>
      <x:c r="B134" t="str">
        <x:v>INV-27-0129</x:v>
      </x:c>
      <x:c r="C134" t="str">
        <x:v>16/04/2027</x:v>
      </x:c>
      <x:c r="D134" t="str">
        <x:v>Materials</x:v>
      </x:c>
      <x:c r="E134" t="str">
        <x:v>Riverside Venue Hire</x:v>
      </x:c>
      <x:c r="F134" t="str">
        <x:v>Materials expense 129</x:v>
      </x:c>
      <x:c r="G134" t="str">
        <x:v>R8,844</x:v>
      </x:c>
      <x:c r="H134" t="str">
        <x:v>Approved</x:v>
      </x:c>
      <x:c r="I134" t="str">
        <x:v>SRC-0129</x:v>
      </x:c>
    </x:row>
    <x:row r="135">
      <x:c r="A135" t="str">
        <x:v>TXN-27-0130</x:v>
      </x:c>
      <x:c r="B135" t="str">
        <x:v>INV-27-0130</x:v>
      </x:c>
      <x:c r="C135" t="str">
        <x:v>27-03-27</x:v>
      </x:c>
      <x:c r="D135" t="str">
        <x:v> MEALS </x:v>
      </x:c>
      <x:c r="E135" t="str">
        <x:v>Bright Print Studio</x:v>
      </x:c>
      <x:c r="F135" t="str">
        <x:v>Catering expense 130</x:v>
      </x:c>
      <x:c r="G135" t="str">
        <x:v>17622</x:v>
      </x:c>
      <x:c r="H135" t="str">
        <x:v>Submitted</x:v>
      </x:c>
      <x:c r="I135" t="str">
        <x:v>SRC-0130</x:v>
      </x:c>
    </x:row>
    <x:row r="136">
      <x:c r="A136" t="str">
        <x:v>TXN-27-0131</x:v>
      </x:c>
      <x:c r="B136" t="str">
        <x:v>INV-27-0131</x:v>
      </x:c>
      <x:c r="C136" t="str">
        <x:v>2027-02-11</x:v>
      </x:c>
      <x:c r="D136" t="str">
        <x:v>Badge ceremony</x:v>
      </x:c>
      <x:c r="E136" t="str">
        <x:v>Thuto Facilitation</x:v>
      </x:c>
      <x:c r="F136" t="str">
        <x:v>Events expense 131</x:v>
      </x:c>
      <x:c r="G136" t="str">
        <x:v>R17,761</x:v>
      </x:c>
      <x:c r="H136" t="str">
        <x:v>Rejected</x:v>
      </x:c>
      <x:c r="I136" t="str">
        <x:v>SRC-0131</x:v>
      </x:c>
    </x:row>
    <x:row r="137">
      <x:c r="A137" t="str">
        <x:v>TXN-27-0132</x:v>
      </x:c>
      <x:c r="B137" t="str">
        <x:v>INV-27-0132</x:v>
      </x:c>
      <x:c r="C137" t="str">
        <x:v>2027-01-22</x:v>
      </x:c>
      <x:c r="D137" t="str">
        <x:v>Printing</x:v>
      </x:c>
      <x:c r="E137" t="str">
        <x:v>Moya Supplies</x:v>
      </x:c>
      <x:c r="F137" t="str">
        <x:v>Printing expense 132</x:v>
      </x:c>
      <x:c r="G137" t="str">
        <x:v>R5,106</x:v>
      </x:c>
      <x:c r="H137" t="str">
        <x:v>Paid</x:v>
      </x:c>
      <x:c r="I137" t="str">
        <x:v>SRC-0132</x:v>
      </x:c>
    </x:row>
    <x:row r="138">
      <x:c r="A138" t="str">
        <x:v>TXN-27-0133</x:v>
      </x:c>
      <x:c r="B138" t="str">
        <x:v>INV-27-0133</x:v>
      </x:c>
      <x:c r="C138" t="str">
        <x:v>06/06/2027</x:v>
      </x:c>
      <x:c r="D138" t="str">
        <x:v>LEARNER TRANSPORT</x:v>
      </x:c>
      <x:c r="E138" t="str">
        <x:v>Northline Transport</x:v>
      </x:c>
      <x:c r="F138" t="str">
        <x:v>Transport expense 133</x:v>
      </x:c>
      <x:c r="G138" t="str">
        <x:v> R 18612.00 </x:v>
      </x:c>
      <x:c r="H138" t="str">
        <x:v>Approved</x:v>
      </x:c>
      <x:c r="I138" t="str">
        <x:v>SRC-0133</x:v>
      </x:c>
    </x:row>
    <x:row r="139">
      <x:c r="A139" t="str">
        <x:v>TXN-27-0134</x:v>
      </x:c>
      <x:c r="B139" t="str">
        <x:v>INV-27-0134</x:v>
      </x:c>
      <x:c r="C139" t="str">
        <x:v>17-05-27</x:v>
      </x:c>
      <x:c r="D139" t="str">
        <x:v>Training venue</x:v>
      </x:c>
      <x:c r="E139" t="str">
        <x:v>Kopano Catering</x:v>
      </x:c>
      <x:c r="F139" t="str">
        <x:v>Venue expense 134</x:v>
      </x:c>
      <x:c r="G139" t="str">
        <x:v>R4,273</x:v>
      </x:c>
      <x:c r="H139" t="str">
        <x:v>Submitted</x:v>
      </x:c>
      <x:c r="I139" t="str">
        <x:v>SRC-0134</x:v>
      </x:c>
    </x:row>
    <x:row r="140">
      <x:c r="A140" t="str">
        <x:v>TXN-27-0135</x:v>
      </x:c>
      <x:c r="B140" t="str">
        <x:v>INV-27-0135</x:v>
      </x:c>
      <x:c r="C140" t="str">
        <x:v>2027-04-01</x:v>
      </x:c>
      <x:c r="D140" t="str">
        <x:v>Training</x:v>
      </x:c>
      <x:c r="E140" t="str">
        <x:v>  RIVERSIDE VENUE HIRE </x:v>
      </x:c>
      <x:c r="F140" t="str">
        <x:v>Training expense 135</x:v>
      </x:c>
      <x:c r="G140" t="str">
        <x:v>18307</x:v>
      </x:c>
      <x:c r="H140" t="str">
        <x:v>Rejected</x:v>
      </x:c>
      <x:c r="I140" t="str">
        <x:v>SRC-0135</x:v>
      </x:c>
    </x:row>
    <x:row r="141">
      <x:c r="A141" t="str">
        <x:v>TXN-27-0136</x:v>
      </x:c>
      <x:c r="B141" t="str">
        <x:v>INV-27-0136</x:v>
      </x:c>
      <x:c r="C141" t="str">
        <x:v>2027-03-12</x:v>
      </x:c>
      <x:c r="D141" t="str">
        <x:v>Facilitation</x:v>
      </x:c>
      <x:c r="E141" t="str">
        <x:v>Bright Print Studio</x:v>
      </x:c>
      <x:c r="F141" t="str">
        <x:v>Facilitation expense 136</x:v>
      </x:c>
      <x:c r="G141" t="str">
        <x:v>R7,580</x:v>
      </x:c>
      <x:c r="H141" t="str">
        <x:v>paid </x:v>
      </x:c>
      <x:c r="I141" t="str">
        <x:v>SRC-0136</x:v>
      </x:c>
    </x:row>
    <x:row r="142">
      <x:c r="A142" t="str">
        <x:v>TXN-27-0137</x:v>
      </x:c>
      <x:c r="B142" t="str">
        <x:v>INV-27-0137</x:v>
      </x:c>
      <x:c r="C142" t="str">
        <x:v>23/02/2027</x:v>
      </x:c>
      <x:c r="D142" t="str">
        <x:v>Operational support</x:v>
      </x:c>
      <x:c r="E142" t="str">
        <x:v>Thuto Facilitation</x:v>
      </x:c>
      <x:c r="F142" t="str">
        <x:v>Administration expense 137</x:v>
      </x:c>
      <x:c r="G142" t="str">
        <x:v>R5,375</x:v>
      </x:c>
      <x:c r="H142" t="str">
        <x:v>Approved</x:v>
      </x:c>
      <x:c r="I142" t="str">
        <x:v>SRC-0137</x:v>
      </x:c>
    </x:row>
    <x:row r="143">
      <x:c r="A143" t="str">
        <x:v>TXN-27-0138</x:v>
      </x:c>
      <x:c r="B143" t="str">
        <x:v>INV-27-0137</x:v>
      </x:c>
      <x:c r="C143" t="str">
        <x:v>07-01-27</x:v>
      </x:c>
      <x:c r="D143" t="str">
        <x:v>Site visits</x:v>
      </x:c>
      <x:c r="E143" t="str">
        <x:v>Moya Supplies</x:v>
      </x:c>
      <x:c r="F143" t="str">
        <x:v>Site visits expense 138</x:v>
      </x:c>
      <x:c r="G143" t="str">
        <x:v>R8,575</x:v>
      </x:c>
      <x:c r="H143" t="str">
        <x:v>Submitted</x:v>
      </x:c>
      <x:c r="I143" t="str">
        <x:v>SRC-0138</x:v>
      </x:c>
    </x:row>
    <x:row r="144">
      <x:c r="A144" t="str">
        <x:v>TXN-27-0139</x:v>
      </x:c>
      <x:c r="B144" t="str">
        <x:v>INV-27-0139</x:v>
      </x:c>
      <x:c r="C144" t="str">
        <x:v>2027-06-18</x:v>
      </x:c>
      <x:c r="D144" t="str">
        <x:v>Workshop materials</x:v>
      </x:c>
      <x:c r="E144" t="str">
        <x:v>Northline Transport</x:v>
      </x:c>
      <x:c r="F144" t="str">
        <x:v>Materials expense 139</x:v>
      </x:c>
      <x:c r="G144" t="str">
        <x:v>R1,314</x:v>
      </x:c>
      <x:c r="H144" t="str">
        <x:v>Rejected</x:v>
      </x:c>
      <x:c r="I144" t="str">
        <x:v>SRC-0139</x:v>
      </x:c>
    </x:row>
    <x:row r="145">
      <x:c r="A145" t="str">
        <x:v>TXN-27-0140</x:v>
      </x:c>
      <x:c r="B145" t="str">
        <x:v>INV-27-0140</x:v>
      </x:c>
      <x:c r="C145" t="str">
        <x:v>2027-05-02</x:v>
      </x:c>
      <x:c r="D145" t="str">
        <x:v>CATERING</x:v>
      </x:c>
      <x:c r="E145" t="str">
        <x:v>Kopano Catering</x:v>
      </x:c>
      <x:c r="F145" t="str">
        <x:v>Catering expense 140</x:v>
      </x:c>
      <x:c r="G145" t="str">
        <x:v>1292</x:v>
      </x:c>
      <x:c r="H145" t="str">
        <x:v>Paid</x:v>
      </x:c>
      <x:c r="I145" t="str">
        <x:v>SRC-0140</x:v>
      </x:c>
    </x:row>
    <x:row r="146">
      <x:c r="A146" t="str">
        <x:v>TXN-27-0141</x:v>
      </x:c>
      <x:c r="B146" t="str">
        <x:v>INV-27-0141</x:v>
      </x:c>
      <x:c r="C146" t="str">
        <x:v>13/04/2027</x:v>
      </x:c>
      <x:c r="D146" t="str">
        <x:v>Events</x:v>
      </x:c>
      <x:c r="E146" t="str"/>
      <x:c r="F146" t="str">
        <x:v>Events expense 141</x:v>
      </x:c>
      <x:c r="G146" t="str">
        <x:v>R18,931</x:v>
      </x:c>
      <x:c r="H146" t="str">
        <x:v>Approved</x:v>
      </x:c>
      <x:c r="I146" t="str">
        <x:v>SRC-0141</x:v>
      </x:c>
    </x:row>
    <x:row r="147">
      <x:c r="A147" t="str">
        <x:v>TXN-27-0142</x:v>
      </x:c>
      <x:c r="B147" t="str">
        <x:v>INV-27-0142</x:v>
      </x:c>
      <x:c r="C147" t="str">
        <x:v>24-03-27</x:v>
      </x:c>
      <x:c r="D147" t="str">
        <x:v>PRINT &amp; CONSENT</x:v>
      </x:c>
      <x:c r="E147" t="str">
        <x:v>Bright Print Studio</x:v>
      </x:c>
      <x:c r="F147" t="str">
        <x:v>Printing expense 142</x:v>
      </x:c>
      <x:c r="G147" t="str">
        <x:v>R6,276</x:v>
      </x:c>
      <x:c r="H147" t="str">
        <x:v>Submitted</x:v>
      </x:c>
      <x:c r="I147" t="str">
        <x:v>SRC-0142</x:v>
      </x:c>
    </x:row>
    <x:row r="148">
      <x:c r="A148" t="str">
        <x:v>TXN-27-0143</x:v>
      </x:c>
      <x:c r="B148" t="str">
        <x:v>INV-27-0143</x:v>
      </x:c>
      <x:c r="C148" t="str">
        <x:v>2027-02-08</x:v>
      </x:c>
      <x:c r="D148" t="str">
        <x:v> LEARNER TAXI </x:v>
      </x:c>
      <x:c r="E148" t="str">
        <x:v>Thuto Facilitation</x:v>
      </x:c>
      <x:c r="F148" t="str">
        <x:v>Transport expense 143</x:v>
      </x:c>
      <x:c r="G148" t="str">
        <x:v>R19,782</x:v>
      </x:c>
      <x:c r="H148" t="str">
        <x:v>Rejected</x:v>
      </x:c>
      <x:c r="I148" t="str">
        <x:v>SRC-0143</x:v>
      </x:c>
    </x:row>
    <x:row r="149">
      <x:c r="A149" t="str">
        <x:v>TXN-27-0144</x:v>
      </x:c>
      <x:c r="B149" t="str">
        <x:v>INV-27-0144</x:v>
      </x:c>
      <x:c r="C149" t="str">
        <x:v>2027-01-19</x:v>
      </x:c>
      <x:c r="D149" t="str">
        <x:v>Venue</x:v>
      </x:c>
      <x:c r="E149" t="str">
        <x:v>  MOYA SUPPLIES </x:v>
      </x:c>
      <x:c r="F149" t="str">
        <x:v>Venue expense 144</x:v>
      </x:c>
      <x:c r="G149" t="str">
        <x:v>R5,443</x:v>
      </x:c>
      <x:c r="H149" t="str">
        <x:v>Paid</x:v>
      </x:c>
      <x:c r="I149" t="str">
        <x:v>SRC-0144</x:v>
      </x:c>
    </x:row>
    <x:row r="150">
      <x:c r="A150" t="str">
        <x:v>TXN-27-0145</x:v>
      </x:c>
      <x:c r="B150" t="str">
        <x:v>INV-27-0145</x:v>
      </x:c>
      <x:c r="C150" t="str">
        <x:v>03/06/2027</x:v>
      </x:c>
      <x:c r="D150" t="str">
        <x:v>Champion training</x:v>
      </x:c>
      <x:c r="E150" t="str">
        <x:v>Northline Transport</x:v>
      </x:c>
      <x:c r="F150" t="str">
        <x:v>Training expense 145</x:v>
      </x:c>
      <x:c r="G150" t="str">
        <x:v>19477</x:v>
      </x:c>
      <x:c r="H150" t="str">
        <x:v>Approved</x:v>
      </x:c>
      <x:c r="I150" t="str">
        <x:v>SRC-0145</x:v>
      </x:c>
    </x:row>
    <x:row r="151">
      <x:c r="A151" t="str">
        <x:v>TXN-27-0146</x:v>
      </x:c>
      <x:c r="B151" t="str">
        <x:v>INV-27-0146</x:v>
      </x:c>
      <x:c r="C151" t="str">
        <x:v>14-05-27</x:v>
      </x:c>
      <x:c r="D151" t="str">
        <x:v>STIPENDS</x:v>
      </x:c>
      <x:c r="E151" t="str">
        <x:v>Kopano Catering</x:v>
      </x:c>
      <x:c r="F151" t="str">
        <x:v>Facilitation expense 146</x:v>
      </x:c>
      <x:c r="G151" t="str">
        <x:v>R8,750</x:v>
      </x:c>
      <x:c r="H151" t="str">
        <x:v>Submitted</x:v>
      </x:c>
      <x:c r="I151" t="str">
        <x:v>SRC-0146</x:v>
      </x:c>
    </x:row>
    <x:row r="152">
      <x:c r="A152" t="str">
        <x:v>TXN-27-0147</x:v>
      </x:c>
      <x:c r="B152" t="str">
        <x:v>INV-27-0147</x:v>
      </x:c>
      <x:c r="C152" t="str">
        <x:v>2027-04-25</x:v>
      </x:c>
      <x:c r="D152" t="str">
        <x:v>Administration</x:v>
      </x:c>
      <x:c r="E152" t="str">
        <x:v>Riverside Venue Hire</x:v>
      </x:c>
      <x:c r="F152" t="str">
        <x:v>Administration expense 147</x:v>
      </x:c>
      <x:c r="G152" t="str">
        <x:v> R 6545.00 </x:v>
      </x:c>
      <x:c r="H152" t="str">
        <x:v>Rejected</x:v>
      </x:c>
      <x:c r="I152" t="str">
        <x:v>SRC-0147</x:v>
      </x:c>
    </x:row>
    <x:row r="153">
      <x:c r="A153" t="str">
        <x:v>TXN-27-0148</x:v>
      </x:c>
      <x:c r="B153" t="str">
        <x:v>INV-27-0148</x:v>
      </x:c>
      <x:c r="C153" t="str">
        <x:v>2027-03-09</x:v>
      </x:c>
      <x:c r="D153" t="str">
        <x:v>Site Visit</x:v>
      </x:c>
      <x:c r="E153" t="str">
        <x:v>Bright Print Studio</x:v>
      </x:c>
      <x:c r="F153" t="str">
        <x:v>Site visits expense 148</x:v>
      </x:c>
      <x:c r="G153" t="str">
        <x:v>R9,745</x:v>
      </x:c>
      <x:c r="H153" t="str">
        <x:v>Pending</x:v>
      </x:c>
      <x:c r="I153" t="str">
        <x:v>SRC-0148</x:v>
      </x:c>
    </x:row>
    <x:row r="154">
      <x:c r="A154" t="str">
        <x:v>TXN-27-0149</x:v>
      </x:c>
      <x:c r="B154" t="str">
        <x:v>INV-27-0149</x:v>
      </x:c>
      <x:c r="C154" t="str">
        <x:v>20/02/2027</x:v>
      </x:c>
      <x:c r="D154" t="str">
        <x:v>MATERIALS / SUPPLIES</x:v>
      </x:c>
      <x:c r="E154" t="str">
        <x:v>Thuto Facilitation</x:v>
      </x:c>
      <x:c r="F154" t="str">
        <x:v>Materials expense 149</x:v>
      </x:c>
      <x:c r="G154" t="str">
        <x:v>R2,484</x:v>
      </x:c>
      <x:c r="H154" t="str">
        <x:v>Approved</x:v>
      </x:c>
      <x:c r="I154" t="str">
        <x:v>SRC-0149</x:v>
      </x:c>
    </x:row>
    <x:row r="155">
      <x:c r="A155" t="str">
        <x:v>TXN-27-0150</x:v>
      </x:c>
      <x:c r="B155" t="str">
        <x:v>INV-27-0150</x:v>
      </x:c>
      <x:c r="C155" t="str">
        <x:v>04-01-27</x:v>
      </x:c>
      <x:c r="D155" t="str">
        <x:v>MEALS</x:v>
      </x:c>
      <x:c r="E155" t="str">
        <x:v>Moya Supplies</x:v>
      </x:c>
      <x:c r="F155" t="str">
        <x:v>Catering expense 150</x:v>
      </x:c>
      <x:c r="G155" t="str">
        <x:v>2462</x:v>
      </x:c>
      <x:c r="H155" t="str">
        <x:v>Submitted</x:v>
      </x:c>
      <x:c r="I155" t="str">
        <x:v>SRC-0150</x:v>
      </x:c>
    </x:row>
  </x:sheetData>
  <x:pageMargins left="0.7" right="0.7" top="0.75" bottom="0.75" header="0.3" footer="0.3"/>
  <x:tableParts count="1">
    <x:tablePart xmlns:r="http://schemas.openxmlformats.org/officeDocument/2006/relationships" r:id="Rd43fde56c83145ab"/>
  </x:tableParts>
</x:worksheet>
</file>

<file path=xl/worksheets/sheet7.xml><?xml version="1.0" encoding="utf-8"?>
<x:worksheet xmlns:x="http://schemas.openxmlformats.org/spreadsheetml/2006/main">
  <x:sheetPr>
    <x:tabColor rgb="FF35584D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18" hidden="0" customWidth="1"/>
    <x:col min="4" max="4" width="22" hidden="0" customWidth="1"/>
    <x:col min="5" max="5" width="25" hidden="0" customWidth="1"/>
    <x:col min="6" max="6" width="3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56" hidden="0" customWidth="1"/>
    <x:col min="12" max="12" width="18" hidden="0" customWidth="1"/>
    <x:col min="13" max="13" width="21" hidden="0" customWidth="1"/>
  </x:cols>
  <x:sheetData>
    <x:row r="1">
      <x:c r="A1" s="1" t="str">
        <x:v>Validated Expense Transactions</x:v>
      </x:c>
    </x:row>
    <x:row r="2">
      <x:c r="A2" s="2" t="str">
        <x:v>Normalize raw transactions, map cost categories, flag duplicates and exclude unresolved records from the model</x:v>
      </x:c>
    </x:row>
    <x:row r="5" ht="30" customHeight="1">
      <x:c r="A5" s="12" t="str">
        <x:v>Transaction ID</x:v>
      </x:c>
      <x:c r="B5" s="12" t="str">
        <x:v>Invoice key</x:v>
      </x:c>
      <x:c r="C5" s="12" t="str">
        <x:v>Transaction date</x:v>
      </x:c>
      <x:c r="D5" s="12" t="str">
        <x:v>Cost category</x:v>
      </x:c>
      <x:c r="E5" s="12" t="str">
        <x:v>Supplier</x:v>
      </x:c>
      <x:c r="F5" s="12" t="str">
        <x:v>Description</x:v>
      </x:c>
      <x:c r="G5" s="12" t="str">
        <x:v>Amount (ZAR)</x:v>
      </x:c>
      <x:c r="H5" s="12" t="str">
        <x:v>Payment status</x:v>
      </x:c>
      <x:c r="I5" s="12" t="str">
        <x:v>Spend include?</x:v>
      </x:c>
      <x:c r="J5" s="12" t="str">
        <x:v>Duplicate invoice?</x:v>
      </x:c>
      <x:c r="K5" s="12" t="str">
        <x:v>Issue flags</x:v>
      </x:c>
      <x:c r="L5" s="12" t="str">
        <x:v>Control status</x:v>
      </x:c>
      <x:c r="M5" s="12" t="str">
        <x:v>Recognized spend</x:v>
      </x:c>
    </x:row>
    <x:row r="6">
      <x:c r="A6" t="str">
        <x:f>UPPER(TRIM('Raw Actuals'!A6))</x:f>
        <x:v>TXN-27-0001</x:v>
      </x:c>
      <x:c r="B6" t="str">
        <x:f>UPPER(TRIM('Raw Actuals'!B6))</x:f>
        <x:v>INV-27-0001</x:v>
      </x:c>
      <x:c r="C6" s="25" t="n">
        <x:f>IFERROR(IF(OR(MID(TRIM('Raw Actuals'!C6),5,1)="-",MID(TRIM('Raw Actuals'!C6),5,1)="/"),DATE(VALUE(LEFT(TRIM('Raw Actuals'!C6),4)),VALUE(MID(TRIM('Raw Actuals'!C6),6,2)),VALUE(RIGHT(TRIM('Raw Actuals'!C6),2))),IF(LEN(TRIM('Raw Actuals'!C6))=10,DATE(VALUE(RIGHT(TRIM('Raw Actuals'!C6),4)),VALUE(MID(TRIM('Raw Actuals'!C6),4,2)),VALUE(LEFT(TRIM('Raw Actuals'!C6),2))),IF(LEN(TRIM('Raw Actuals'!C6))=8,DATE(2000+VALUE(RIGHT(TRIM('Raw Actuals'!C6),2)),VALUE(MID(TRIM('Raw Actuals'!C6),4,2)),VALUE(LEFT(TRIM('Raw Actuals'!C6),2))),""))),"")</x:f>
        <x:v>46550</x:v>
      </x:c>
      <x:c r="D6" t="str">
        <x:f>IF(OR(UPPER(TRIM('Raw Actuals'!D6))="CATERING",UPPER(TRIM('Raw Actuals'!D6))="WORKSHOP CATERING",UPPER(TRIM('Raw Actuals'!D6))="MEALS",UPPER(TRIM('Raw Actuals'!D6))="CATERNG"),"Catering",IF(OR(UPPER(TRIM('Raw Actuals'!D6))="TRANSPORT",UPPER(TRIM('Raw Actuals'!D6))="LEARNER TRANSPORT",UPPER(TRIM('Raw Actuals'!D6))="TAXIS",UPPER(TRIM('Raw Actuals'!D6))="LEARNER TAXI"),"Transport",IF(OR(UPPER(TRIM('Raw Actuals'!D6))="FACILITATION",UPPER(TRIM('Raw Actuals'!D6))="CHAMPION PAYMENTS",UPPER(TRIM('Raw Actuals'!D6))="STIPENDS",UPPER(TRIM('Raw Actuals'!D6))="FACILITATOR FEE"),"Facilitation",IF(OR(UPPER(TRIM('Raw Actuals'!D6))="MATERIALS",UPPER(TRIM('Raw Actuals'!D6))="WORKSHOP MATERIALS",UPPER(TRIM('Raw Actuals'!D6))="MATERIALS / SUPPLIES"),"Materials",IF(OR(UPPER(TRIM('Raw Actuals'!D6))="PRINTING",UPPER(TRIM('Raw Actuals'!D6))="PRINT &amp; CONSENT",UPPER(TRIM('Raw Actuals'!D6))="PRINTING AND CONSENT"),"Printing",IF(OR(UPPER(TRIM('Raw Actuals'!D6))="TRAINING",UPPER(TRIM('Raw Actuals'!D6))="CHAMPION TRAINING",UPPER(TRIM('Raw Actuals'!D6))="FACILITATOR TRAINING"),"Training",IF(OR(UPPER(TRIM('Raw Actuals'!D6))="SITE VISITS",UPPER(TRIM('Raw Actuals'!D6))="SITE VISIT",UPPER(TRIM('Raw Actuals'!D6))="TRAVEL AND SITE VISITS"),"Site visits",IF(OR(UPPER(TRIM('Raw Actuals'!D6))="EVENTS",UPPER(TRIM('Raw Actuals'!D6))="RECOGNITION EVENT",UPPER(TRIM('Raw Actuals'!D6))="BADGE CEREMONY"),"Events",IF(OR(UPPER(TRIM('Raw Actuals'!D6))="VENUE",UPPER(TRIM('Raw Actuals'!D6))="VENUE HIRE",UPPER(TRIM('Raw Actuals'!D6))="TRAINING VENUE"),"Venue",IF(OR(UPPER(TRIM('Raw Actuals'!D6))="ADMINISTRATION",UPPER(TRIM('Raw Actuals'!D6))="ADMIN",UPPER(TRIM('Raw Actuals'!D6))="OPERATIONAL SUPPORT"),"Administration","Review"))))))))))</x:f>
        <x:v>Events</x:v>
      </x:c>
      <x:c r="E6" t="str">
        <x:f>IF(TRIM('Raw Actuals'!E6)="","Missing",PROPER(TRIM('Raw Actuals'!E6)))</x:f>
        <x:v>Northline Transport</x:v>
      </x:c>
      <x:c r="F6" t="str">
        <x:f>TRIM('Raw Actuals'!F6)</x:f>
        <x:v>Events expense 1</x:v>
      </x:c>
      <x:c r="G6" s="26" t="n">
        <x:v>2551</x:v>
      </x:c>
      <x:c r="H6" t="str">
        <x:f>IF(OR(UPPER(TRIM('Raw Actuals'!H6))="PAID",UPPER(TRIM('Raw Actuals'!H6))="PAID "),"Paid",IF(UPPER(TRIM('Raw Actuals'!H6))="APPROVED","Approved",IF(OR(UPPER(TRIM('Raw Actuals'!H6))="SUBMITTED",UPPER(TRIM('Raw Actuals'!H6))="PENDING"),"Submitted",IF(UPPER(TRIM('Raw Actuals'!H6))="REJECTED","Rejected","Review"))))</x:f>
        <x:v>Approved</x:v>
      </x:c>
      <x:c r="I6" t="str">
        <x:f>IF(OR(H6="Paid",H6="Approved"),"Include","Exclude")</x:f>
        <x:v>Include</x:v>
      </x:c>
      <x:c r="J6" t="str">
        <x:f>IF(B6="","Missing invoice",IF(COUNTIF($B$6:B6,B6)&gt;1,"Duplicate","Unique"))</x:f>
        <x:v>Unique</x:v>
      </x:c>
      <x:c r="K6" s="17" t="str">
        <x:f>IF(A6="","Missing ID; ","")&amp;IF(B6="","Missing invoice; ","")&amp;IF(C6="","Invalid date; ","")&amp;IF(D6="Review","Unmapped category; ","")&amp;IF(E6="Missing","Missing supplier; ","")&amp;IF(OR(G6="",G6&lt;=0),"Invalid amount; ","")&amp;IF(H6="Review","Invalid payment state; ","")&amp;IF(J6="Duplicate","Duplicate invoice; ","")</x:f>
      </x:c>
      <x:c r="L6" t="str">
        <x:f>IF(K6="","Ready","Review")</x:f>
        <x:v>Ready</x:v>
      </x:c>
      <x:c r="M6" s="26" t="n">
        <x:f>IF(AND(L6="Ready",I6="Include"),G6,0)</x:f>
        <x:v>2551</x:v>
      </x:c>
    </x:row>
    <x:row r="7">
      <x:c r="A7" t="str">
        <x:f>UPPER(TRIM('Raw Actuals'!A7))</x:f>
        <x:v>TXN-27-0002</x:v>
      </x:c>
      <x:c r="B7" t="str">
        <x:f>UPPER(TRIM('Raw Actuals'!B7))</x:f>
        <x:v>INV-27-0002</x:v>
      </x:c>
      <x:c r="C7" s="25" t="n">
        <x:f>IFERROR(IF(OR(MID(TRIM('Raw Actuals'!C7),5,1)="-",MID(TRIM('Raw Actuals'!C7),5,1)="/"),DATE(VALUE(LEFT(TRIM('Raw Actuals'!C7),4)),VALUE(MID(TRIM('Raw Actuals'!C7),6,2)),VALUE(RIGHT(TRIM('Raw Actuals'!C7),2))),IF(LEN(TRIM('Raw Actuals'!C7))=10,DATE(VALUE(RIGHT(TRIM('Raw Actuals'!C7),4)),VALUE(MID(TRIM('Raw Actuals'!C7),4,2)),VALUE(LEFT(TRIM('Raw Actuals'!C7),2))),IF(LEN(TRIM('Raw Actuals'!C7))=8,DATE(2000+VALUE(RIGHT(TRIM('Raw Actuals'!C7),2)),VALUE(MID(TRIM('Raw Actuals'!C7),4,2)),VALUE(LEFT(TRIM('Raw Actuals'!C7),2))),""))),"")</x:f>
        <x:v>46530</x:v>
      </x:c>
      <x:c r="D7" t="str">
        <x:f>IF(OR(UPPER(TRIM('Raw Actuals'!D7))="CATERING",UPPER(TRIM('Raw Actuals'!D7))="WORKSHOP CATERING",UPPER(TRIM('Raw Actuals'!D7))="MEALS",UPPER(TRIM('Raw Actuals'!D7))="CATERNG"),"Catering",IF(OR(UPPER(TRIM('Raw Actuals'!D7))="TRANSPORT",UPPER(TRIM('Raw Actuals'!D7))="LEARNER TRANSPORT",UPPER(TRIM('Raw Actuals'!D7))="TAXIS",UPPER(TRIM('Raw Actuals'!D7))="LEARNER TAXI"),"Transport",IF(OR(UPPER(TRIM('Raw Actuals'!D7))="FACILITATION",UPPER(TRIM('Raw Actuals'!D7))="CHAMPION PAYMENTS",UPPER(TRIM('Raw Actuals'!D7))="STIPENDS",UPPER(TRIM('Raw Actuals'!D7))="FACILITATOR FEE"),"Facilitation",IF(OR(UPPER(TRIM('Raw Actuals'!D7))="MATERIALS",UPPER(TRIM('Raw Actuals'!D7))="WORKSHOP MATERIALS",UPPER(TRIM('Raw Actuals'!D7))="MATERIALS / SUPPLIES"),"Materials",IF(OR(UPPER(TRIM('Raw Actuals'!D7))="PRINTING",UPPER(TRIM('Raw Actuals'!D7))="PRINT &amp; CONSENT",UPPER(TRIM('Raw Actuals'!D7))="PRINTING AND CONSENT"),"Printing",IF(OR(UPPER(TRIM('Raw Actuals'!D7))="TRAINING",UPPER(TRIM('Raw Actuals'!D7))="CHAMPION TRAINING",UPPER(TRIM('Raw Actuals'!D7))="FACILITATOR TRAINING"),"Training",IF(OR(UPPER(TRIM('Raw Actuals'!D7))="SITE VISITS",UPPER(TRIM('Raw Actuals'!D7))="SITE VISIT",UPPER(TRIM('Raw Actuals'!D7))="TRAVEL AND SITE VISITS"),"Site visits",IF(OR(UPPER(TRIM('Raw Actuals'!D7))="EVENTS",UPPER(TRIM('Raw Actuals'!D7))="RECOGNITION EVENT",UPPER(TRIM('Raw Actuals'!D7))="BADGE CEREMONY"),"Events",IF(OR(UPPER(TRIM('Raw Actuals'!D7))="VENUE",UPPER(TRIM('Raw Actuals'!D7))="VENUE HIRE",UPPER(TRIM('Raw Actuals'!D7))="TRAINING VENUE"),"Venue",IF(OR(UPPER(TRIM('Raw Actuals'!D7))="ADMINISTRATION",UPPER(TRIM('Raw Actuals'!D7))="ADMIN",UPPER(TRIM('Raw Actuals'!D7))="OPERATIONAL SUPPORT"),"Administration","Review"))))))))))</x:f>
        <x:v>Printing</x:v>
      </x:c>
      <x:c r="E7" t="str">
        <x:f>IF(TRIM('Raw Actuals'!E7)="","Missing",PROPER(TRIM('Raw Actuals'!E7)))</x:f>
        <x:v>Kopano Catering</x:v>
      </x:c>
      <x:c r="F7" t="str">
        <x:f>TRIM('Raw Actuals'!F7)</x:f>
        <x:v>Printing expense 2</x:v>
      </x:c>
      <x:c r="G7" s="26" t="n">
        <x:v>2396</x:v>
      </x:c>
      <x:c r="H7" t="str">
        <x:f>IF(OR(UPPER(TRIM('Raw Actuals'!H7))="PAID",UPPER(TRIM('Raw Actuals'!H7))="PAID "),"Paid",IF(UPPER(TRIM('Raw Actuals'!H7))="APPROVED","Approved",IF(OR(UPPER(TRIM('Raw Actuals'!H7))="SUBMITTED",UPPER(TRIM('Raw Actuals'!H7))="PENDING"),"Submitted",IF(UPPER(TRIM('Raw Actuals'!H7))="REJECTED","Rejected","Review"))))</x:f>
        <x:v>Submitted</x:v>
      </x:c>
      <x:c r="I7" t="str">
        <x:f>IF(OR(H7="Paid",H7="Approved"),"Include","Exclude")</x:f>
        <x:v>Exclude</x:v>
      </x:c>
      <x:c r="J7" t="str">
        <x:f>IF(B7="","Missing invoice",IF(COUNTIF($B$6:B7,B7)&gt;1,"Duplicate","Unique"))</x:f>
        <x:v>Unique</x:v>
      </x:c>
      <x:c r="K7" s="17" t="str">
        <x:f>IF(A7="","Missing ID; ","")&amp;IF(B7="","Missing invoice; ","")&amp;IF(C7="","Invalid date; ","")&amp;IF(D7="Review","Unmapped category; ","")&amp;IF(E7="Missing","Missing supplier; ","")&amp;IF(OR(G7="",G7&lt;=0),"Invalid amount; ","")&amp;IF(H7="Review","Invalid payment state; ","")&amp;IF(J7="Duplicate","Duplicate invoice; ","")</x:f>
      </x:c>
      <x:c r="L7" t="str">
        <x:f>IF(K7="","Ready","Review")</x:f>
        <x:v>Ready</x:v>
      </x:c>
      <x:c r="M7" s="26" t="n">
        <x:f>IF(AND(L7="Ready",I7="Include"),G7,0)</x:f>
        <x:v>0</x:v>
      </x:c>
    </x:row>
    <x:row r="8">
      <x:c r="A8" t="str">
        <x:f>UPPER(TRIM('Raw Actuals'!A8))</x:f>
        <x:v>TXN-27-0003</x:v>
      </x:c>
      <x:c r="B8" t="str">
        <x:f>UPPER(TRIM('Raw Actuals'!B8))</x:f>
        <x:v>INV-27-0003</x:v>
      </x:c>
      <x:c r="C8" s="25" t="n">
        <x:f>IFERROR(IF(OR(MID(TRIM('Raw Actuals'!C8),5,1)="-",MID(TRIM('Raw Actuals'!C8),5,1)="/"),DATE(VALUE(LEFT(TRIM('Raw Actuals'!C8),4)),VALUE(MID(TRIM('Raw Actuals'!C8),6,2)),VALUE(RIGHT(TRIM('Raw Actuals'!C8),2))),IF(LEN(TRIM('Raw Actuals'!C8))=10,DATE(VALUE(RIGHT(TRIM('Raw Actuals'!C8),4)),VALUE(MID(TRIM('Raw Actuals'!C8),4,2)),VALUE(LEFT(TRIM('Raw Actuals'!C8),2))),IF(LEN(TRIM('Raw Actuals'!C8))=8,DATE(2000+VALUE(RIGHT(TRIM('Raw Actuals'!C8),2)),VALUE(MID(TRIM('Raw Actuals'!C8),4,2)),VALUE(LEFT(TRIM('Raw Actuals'!C8),2))),""))),"")</x:f>
        <x:v>46484</x:v>
      </x:c>
      <x:c r="D8" t="str">
        <x:f>IF(OR(UPPER(TRIM('Raw Actuals'!D8))="CATERING",UPPER(TRIM('Raw Actuals'!D8))="WORKSHOP CATERING",UPPER(TRIM('Raw Actuals'!D8))="MEALS",UPPER(TRIM('Raw Actuals'!D8))="CATERNG"),"Catering",IF(OR(UPPER(TRIM('Raw Actuals'!D8))="TRANSPORT",UPPER(TRIM('Raw Actuals'!D8))="LEARNER TRANSPORT",UPPER(TRIM('Raw Actuals'!D8))="TAXIS",UPPER(TRIM('Raw Actuals'!D8))="LEARNER TAXI"),"Transport",IF(OR(UPPER(TRIM('Raw Actuals'!D8))="FACILITATION",UPPER(TRIM('Raw Actuals'!D8))="CHAMPION PAYMENTS",UPPER(TRIM('Raw Actuals'!D8))="STIPENDS",UPPER(TRIM('Raw Actuals'!D8))="FACILITATOR FEE"),"Facilitation",IF(OR(UPPER(TRIM('Raw Actuals'!D8))="MATERIALS",UPPER(TRIM('Raw Actuals'!D8))="WORKSHOP MATERIALS",UPPER(TRIM('Raw Actuals'!D8))="MATERIALS / SUPPLIES"),"Materials",IF(OR(UPPER(TRIM('Raw Actuals'!D8))="PRINTING",UPPER(TRIM('Raw Actuals'!D8))="PRINT &amp; CONSENT",UPPER(TRIM('Raw Actuals'!D8))="PRINTING AND CONSENT"),"Printing",IF(OR(UPPER(TRIM('Raw Actuals'!D8))="TRAINING",UPPER(TRIM('Raw Actuals'!D8))="CHAMPION TRAINING",UPPER(TRIM('Raw Actuals'!D8))="FACILITATOR TRAINING"),"Training",IF(OR(UPPER(TRIM('Raw Actuals'!D8))="SITE VISITS",UPPER(TRIM('Raw Actuals'!D8))="SITE VISIT",UPPER(TRIM('Raw Actuals'!D8))="TRAVEL AND SITE VISITS"),"Site visits",IF(OR(UPPER(TRIM('Raw Actuals'!D8))="EVENTS",UPPER(TRIM('Raw Actuals'!D8))="RECOGNITION EVENT",UPPER(TRIM('Raw Actuals'!D8))="BADGE CEREMONY"),"Events",IF(OR(UPPER(TRIM('Raw Actuals'!D8))="VENUE",UPPER(TRIM('Raw Actuals'!D8))="VENUE HIRE",UPPER(TRIM('Raw Actuals'!D8))="TRAINING VENUE"),"Venue",IF(OR(UPPER(TRIM('Raw Actuals'!D8))="ADMINISTRATION",UPPER(TRIM('Raw Actuals'!D8))="ADMIN",UPPER(TRIM('Raw Actuals'!D8))="OPERATIONAL SUPPORT"),"Administration","Review"))))))))))</x:f>
        <x:v>Transport</x:v>
      </x:c>
      <x:c r="E8" t="str">
        <x:f>IF(TRIM('Raw Actuals'!E8)="","Missing",PROPER(TRIM('Raw Actuals'!E8)))</x:f>
        <x:v>Riverside Venue Hire</x:v>
      </x:c>
      <x:c r="F8" t="str">
        <x:f>TRIM('Raw Actuals'!F8)</x:f>
        <x:v>Transport expense 3</x:v>
      </x:c>
      <x:c r="G8" s="26" t="n">
        <x:v>3402</x:v>
      </x:c>
      <x:c r="H8" t="str">
        <x:f>IF(OR(UPPER(TRIM('Raw Actuals'!H8))="PAID",UPPER(TRIM('Raw Actuals'!H8))="PAID "),"Paid",IF(UPPER(TRIM('Raw Actuals'!H8))="APPROVED","Approved",IF(OR(UPPER(TRIM('Raw Actuals'!H8))="SUBMITTED",UPPER(TRIM('Raw Actuals'!H8))="PENDING"),"Submitted",IF(UPPER(TRIM('Raw Actuals'!H8))="REJECTED","Rejected","Review"))))</x:f>
        <x:v>Rejected</x:v>
      </x:c>
      <x:c r="I8" t="str">
        <x:f>IF(OR(H8="Paid",H8="Approved"),"Include","Exclude")</x:f>
        <x:v>Exclude</x:v>
      </x:c>
      <x:c r="J8" t="str">
        <x:f>IF(B8="","Missing invoice",IF(COUNTIF($B$6:B8,B8)&gt;1,"Duplicate","Unique"))</x:f>
        <x:v>Unique</x:v>
      </x:c>
      <x:c r="K8" s="17" t="str">
        <x:f>IF(A8="","Missing ID; ","")&amp;IF(B8="","Missing invoice; ","")&amp;IF(C8="","Invalid date; ","")&amp;IF(D8="Review","Unmapped category; ","")&amp;IF(E8="Missing","Missing supplier; ","")&amp;IF(OR(G8="",G8&lt;=0),"Invalid amount; ","")&amp;IF(H8="Review","Invalid payment state; ","")&amp;IF(J8="Duplicate","Duplicate invoice; ","")</x:f>
      </x:c>
      <x:c r="L8" t="str">
        <x:f>IF(K8="","Ready","Review")</x:f>
        <x:v>Ready</x:v>
      </x:c>
      <x:c r="M8" s="26" t="n">
        <x:f>IF(AND(L8="Ready",I8="Include"),G8,0)</x:f>
        <x:v>0</x:v>
      </x:c>
    </x:row>
    <x:row r="9">
      <x:c r="A9" t="str">
        <x:f>UPPER(TRIM('Raw Actuals'!A9))</x:f>
        <x:v>TXN-27-0004</x:v>
      </x:c>
      <x:c r="B9" t="str">
        <x:f>UPPER(TRIM('Raw Actuals'!B9))</x:f>
        <x:v>INV-27-0004</x:v>
      </x:c>
      <x:c r="C9" s="25" t="n">
        <x:f>IFERROR(IF(OR(MID(TRIM('Raw Actuals'!C9),5,1)="-",MID(TRIM('Raw Actuals'!C9),5,1)="/"),DATE(VALUE(LEFT(TRIM('Raw Actuals'!C9),4)),VALUE(MID(TRIM('Raw Actuals'!C9),6,2)),VALUE(RIGHT(TRIM('Raw Actuals'!C9),2))),IF(LEN(TRIM('Raw Actuals'!C9))=10,DATE(VALUE(RIGHT(TRIM('Raw Actuals'!C9),4)),VALUE(MID(TRIM('Raw Actuals'!C9),4,2)),VALUE(LEFT(TRIM('Raw Actuals'!C9),2))),IF(LEN(TRIM('Raw Actuals'!C9))=8,DATE(2000+VALUE(RIGHT(TRIM('Raw Actuals'!C9),2)),VALUE(MID(TRIM('Raw Actuals'!C9),4,2)),VALUE(LEFT(TRIM('Raw Actuals'!C9),2))),""))),"")</x:f>
        <x:v>46464</x:v>
      </x:c>
      <x:c r="D9" t="str">
        <x:f>IF(OR(UPPER(TRIM('Raw Actuals'!D9))="CATERING",UPPER(TRIM('Raw Actuals'!D9))="WORKSHOP CATERING",UPPER(TRIM('Raw Actuals'!D9))="MEALS",UPPER(TRIM('Raw Actuals'!D9))="CATERNG"),"Catering",IF(OR(UPPER(TRIM('Raw Actuals'!D9))="TRANSPORT",UPPER(TRIM('Raw Actuals'!D9))="LEARNER TRANSPORT",UPPER(TRIM('Raw Actuals'!D9))="TAXIS",UPPER(TRIM('Raw Actuals'!D9))="LEARNER TAXI"),"Transport",IF(OR(UPPER(TRIM('Raw Actuals'!D9))="FACILITATION",UPPER(TRIM('Raw Actuals'!D9))="CHAMPION PAYMENTS",UPPER(TRIM('Raw Actuals'!D9))="STIPENDS",UPPER(TRIM('Raw Actuals'!D9))="FACILITATOR FEE"),"Facilitation",IF(OR(UPPER(TRIM('Raw Actuals'!D9))="MATERIALS",UPPER(TRIM('Raw Actuals'!D9))="WORKSHOP MATERIALS",UPPER(TRIM('Raw Actuals'!D9))="MATERIALS / SUPPLIES"),"Materials",IF(OR(UPPER(TRIM('Raw Actuals'!D9))="PRINTING",UPPER(TRIM('Raw Actuals'!D9))="PRINT &amp; CONSENT",UPPER(TRIM('Raw Actuals'!D9))="PRINTING AND CONSENT"),"Printing",IF(OR(UPPER(TRIM('Raw Actuals'!D9))="TRAINING",UPPER(TRIM('Raw Actuals'!D9))="CHAMPION TRAINING",UPPER(TRIM('Raw Actuals'!D9))="FACILITATOR TRAINING"),"Training",IF(OR(UPPER(TRIM('Raw Actuals'!D9))="SITE VISITS",UPPER(TRIM('Raw Actuals'!D9))="SITE VISIT",UPPER(TRIM('Raw Actuals'!D9))="TRAVEL AND SITE VISITS"),"Site visits",IF(OR(UPPER(TRIM('Raw Actuals'!D9))="EVENTS",UPPER(TRIM('Raw Actuals'!D9))="RECOGNITION EVENT",UPPER(TRIM('Raw Actuals'!D9))="BADGE CEREMONY"),"Events",IF(OR(UPPER(TRIM('Raw Actuals'!D9))="VENUE",UPPER(TRIM('Raw Actuals'!D9))="VENUE HIRE",UPPER(TRIM('Raw Actuals'!D9))="TRAINING VENUE"),"Venue",IF(OR(UPPER(TRIM('Raw Actuals'!D9))="ADMINISTRATION",UPPER(TRIM('Raw Actuals'!D9))="ADMIN",UPPER(TRIM('Raw Actuals'!D9))="OPERATIONAL SUPPORT"),"Administration","Review"))))))))))</x:f>
        <x:v>Venue</x:v>
      </x:c>
      <x:c r="E9" t="str">
        <x:f>IF(TRIM('Raw Actuals'!E9)="","Missing",PROPER(TRIM('Raw Actuals'!E9)))</x:f>
        <x:v>Bright Print Studio</x:v>
      </x:c>
      <x:c r="F9" t="str">
        <x:f>TRIM('Raw Actuals'!F9)</x:f>
        <x:v>Venue expense 4</x:v>
      </x:c>
      <x:c r="G9" s="26" t="n">
        <x:v>2363</x:v>
      </x:c>
      <x:c r="H9" t="str">
        <x:f>IF(OR(UPPER(TRIM('Raw Actuals'!H9))="PAID",UPPER(TRIM('Raw Actuals'!H9))="PAID "),"Paid",IF(UPPER(TRIM('Raw Actuals'!H9))="APPROVED","Approved",IF(OR(UPPER(TRIM('Raw Actuals'!H9))="SUBMITTED",UPPER(TRIM('Raw Actuals'!H9))="PENDING"),"Submitted",IF(UPPER(TRIM('Raw Actuals'!H9))="REJECTED","Rejected","Review"))))</x:f>
        <x:v>Paid</x:v>
      </x:c>
      <x:c r="I9" t="str">
        <x:f>IF(OR(H9="Paid",H9="Approved"),"Include","Exclude")</x:f>
        <x:v>Include</x:v>
      </x:c>
      <x:c r="J9" t="str">
        <x:f>IF(B9="","Missing invoice",IF(COUNTIF($B$6:B9,B9)&gt;1,"Duplicate","Unique"))</x:f>
        <x:v>Unique</x:v>
      </x:c>
      <x:c r="K9" s="17" t="str">
        <x:f>IF(A9="","Missing ID; ","")&amp;IF(B9="","Missing invoice; ","")&amp;IF(C9="","Invalid date; ","")&amp;IF(D9="Review","Unmapped category; ","")&amp;IF(E9="Missing","Missing supplier; ","")&amp;IF(OR(G9="",G9&lt;=0),"Invalid amount; ","")&amp;IF(H9="Review","Invalid payment state; ","")&amp;IF(J9="Duplicate","Duplicate invoice; ","")</x:f>
      </x:c>
      <x:c r="L9" t="str">
        <x:f>IF(K9="","Ready","Review")</x:f>
        <x:v>Ready</x:v>
      </x:c>
      <x:c r="M9" s="26" t="n">
        <x:f>IF(AND(L9="Ready",I9="Include"),G9,0)</x:f>
        <x:v>2363</x:v>
      </x:c>
    </x:row>
    <x:row r="10">
      <x:c r="A10" t="str">
        <x:f>UPPER(TRIM('Raw Actuals'!A10))</x:f>
        <x:v>TXN-27-0005</x:v>
      </x:c>
      <x:c r="B10" t="str">
        <x:f>UPPER(TRIM('Raw Actuals'!B10))</x:f>
        <x:v>INV-27-0005</x:v>
      </x:c>
      <x:c r="C10" s="25" t="n">
        <x:f>IFERROR(IF(OR(MID(TRIM('Raw Actuals'!C10),5,1)="-",MID(TRIM('Raw Actuals'!C10),5,1)="/"),DATE(VALUE(LEFT(TRIM('Raw Actuals'!C10),4)),VALUE(MID(TRIM('Raw Actuals'!C10),6,2)),VALUE(RIGHT(TRIM('Raw Actuals'!C10),2))),IF(LEN(TRIM('Raw Actuals'!C10))=10,DATE(VALUE(RIGHT(TRIM('Raw Actuals'!C10),4)),VALUE(MID(TRIM('Raw Actuals'!C10),4,2)),VALUE(LEFT(TRIM('Raw Actuals'!C10),2))),IF(LEN(TRIM('Raw Actuals'!C10))=8,DATE(2000+VALUE(RIGHT(TRIM('Raw Actuals'!C10),2)),VALUE(MID(TRIM('Raw Actuals'!C10),4,2)),VALUE(LEFT(TRIM('Raw Actuals'!C10),2))),""))),"")</x:f>
        <x:v>46420</x:v>
      </x:c>
      <x:c r="D10" t="str">
        <x:f>IF(OR(UPPER(TRIM('Raw Actuals'!D10))="CATERING",UPPER(TRIM('Raw Actuals'!D10))="WORKSHOP CATERING",UPPER(TRIM('Raw Actuals'!D10))="MEALS",UPPER(TRIM('Raw Actuals'!D10))="CATERNG"),"Catering",IF(OR(UPPER(TRIM('Raw Actuals'!D10))="TRANSPORT",UPPER(TRIM('Raw Actuals'!D10))="LEARNER TRANSPORT",UPPER(TRIM('Raw Actuals'!D10))="TAXIS",UPPER(TRIM('Raw Actuals'!D10))="LEARNER TAXI"),"Transport",IF(OR(UPPER(TRIM('Raw Actuals'!D10))="FACILITATION",UPPER(TRIM('Raw Actuals'!D10))="CHAMPION PAYMENTS",UPPER(TRIM('Raw Actuals'!D10))="STIPENDS",UPPER(TRIM('Raw Actuals'!D10))="FACILITATOR FEE"),"Facilitation",IF(OR(UPPER(TRIM('Raw Actuals'!D10))="MATERIALS",UPPER(TRIM('Raw Actuals'!D10))="WORKSHOP MATERIALS",UPPER(TRIM('Raw Actuals'!D10))="MATERIALS / SUPPLIES"),"Materials",IF(OR(UPPER(TRIM('Raw Actuals'!D10))="PRINTING",UPPER(TRIM('Raw Actuals'!D10))="PRINT &amp; CONSENT",UPPER(TRIM('Raw Actuals'!D10))="PRINTING AND CONSENT"),"Printing",IF(OR(UPPER(TRIM('Raw Actuals'!D10))="TRAINING",UPPER(TRIM('Raw Actuals'!D10))="CHAMPION TRAINING",UPPER(TRIM('Raw Actuals'!D10))="FACILITATOR TRAINING"),"Training",IF(OR(UPPER(TRIM('Raw Actuals'!D10))="SITE VISITS",UPPER(TRIM('Raw Actuals'!D10))="SITE VISIT",UPPER(TRIM('Raw Actuals'!D10))="TRAVEL AND SITE VISITS"),"Site visits",IF(OR(UPPER(TRIM('Raw Actuals'!D10))="EVENTS",UPPER(TRIM('Raw Actuals'!D10))="RECOGNITION EVENT",UPPER(TRIM('Raw Actuals'!D10))="BADGE CEREMONY"),"Events",IF(OR(UPPER(TRIM('Raw Actuals'!D10))="VENUE",UPPER(TRIM('Raw Actuals'!D10))="VENUE HIRE",UPPER(TRIM('Raw Actuals'!D10))="TRAINING VENUE"),"Venue",IF(OR(UPPER(TRIM('Raw Actuals'!D10))="ADMINISTRATION",UPPER(TRIM('Raw Actuals'!D10))="ADMIN",UPPER(TRIM('Raw Actuals'!D10))="OPERATIONAL SUPPORT"),"Administration","Review"))))))))))</x:f>
        <x:v>Training</x:v>
      </x:c>
      <x:c r="E10" t="str">
        <x:f>IF(TRIM('Raw Actuals'!E10)="","Missing",PROPER(TRIM('Raw Actuals'!E10)))</x:f>
        <x:v>Thuto Facilitation</x:v>
      </x:c>
      <x:c r="F10" t="str">
        <x:f>TRIM('Raw Actuals'!F10)</x:f>
        <x:v>Training expense 5</x:v>
      </x:c>
      <x:c r="G10" s="26" t="n">
        <x:v>3097</x:v>
      </x:c>
      <x:c r="H10" t="str">
        <x:f>IF(OR(UPPER(TRIM('Raw Actuals'!H10))="PAID",UPPER(TRIM('Raw Actuals'!H10))="PAID "),"Paid",IF(UPPER(TRIM('Raw Actuals'!H10))="APPROVED","Approved",IF(OR(UPPER(TRIM('Raw Actuals'!H10))="SUBMITTED",UPPER(TRIM('Raw Actuals'!H10))="PENDING"),"Submitted",IF(UPPER(TRIM('Raw Actuals'!H10))="REJECTED","Rejected","Review"))))</x:f>
        <x:v>Approved</x:v>
      </x:c>
      <x:c r="I10" t="str">
        <x:f>IF(OR(H10="Paid",H10="Approved"),"Include","Exclude")</x:f>
        <x:v>Include</x:v>
      </x:c>
      <x:c r="J10" t="str">
        <x:f>IF(B10="","Missing invoice",IF(COUNTIF($B$6:B10,B10)&gt;1,"Duplicate","Unique"))</x:f>
        <x:v>Unique</x:v>
      </x:c>
      <x:c r="K10" s="17" t="str">
        <x:f>IF(A10="","Missing ID; ","")&amp;IF(B10="","Missing invoice; ","")&amp;IF(C10="","Invalid date; ","")&amp;IF(D10="Review","Unmapped category; ","")&amp;IF(E10="Missing","Missing supplier; ","")&amp;IF(OR(G10="",G10&lt;=0),"Invalid amount; ","")&amp;IF(H10="Review","Invalid payment state; ","")&amp;IF(J10="Duplicate","Duplicate invoice; ","")</x:f>
      </x:c>
      <x:c r="L10" t="str">
        <x:f>IF(K10="","Ready","Review")</x:f>
        <x:v>Ready</x:v>
      </x:c>
      <x:c r="M10" s="26" t="n">
        <x:f>IF(AND(L10="Ready",I10="Include"),G10,0)</x:f>
        <x:v>3097</x:v>
      </x:c>
    </x:row>
    <x:row r="11">
      <x:c r="A11" t="str">
        <x:f>UPPER(TRIM('Raw Actuals'!A11))</x:f>
        <x:v>TXN-27-0006</x:v>
      </x:c>
      <x:c r="B11" t="str">
        <x:f>UPPER(TRIM('Raw Actuals'!B11))</x:f>
        <x:v>INV-27-0006</x:v>
      </x:c>
      <x:c r="C11" s="25" t="n">
        <x:f>IFERROR(IF(OR(MID(TRIM('Raw Actuals'!C11),5,1)="-",MID(TRIM('Raw Actuals'!C11),5,1)="/"),DATE(VALUE(LEFT(TRIM('Raw Actuals'!C11),4)),VALUE(MID(TRIM('Raw Actuals'!C11),6,2)),VALUE(RIGHT(TRIM('Raw Actuals'!C11),2))),IF(LEN(TRIM('Raw Actuals'!C11))=10,DATE(VALUE(RIGHT(TRIM('Raw Actuals'!C11),4)),VALUE(MID(TRIM('Raw Actuals'!C11),4,2)),VALUE(LEFT(TRIM('Raw Actuals'!C11),2))),IF(LEN(TRIM('Raw Actuals'!C11))=8,DATE(2000+VALUE(RIGHT(TRIM('Raw Actuals'!C11),2)),VALUE(MID(TRIM('Raw Actuals'!C11),4,2)),VALUE(LEFT(TRIM('Raw Actuals'!C11),2))),""))),"")</x:f>
        <x:v>46400</x:v>
      </x:c>
      <x:c r="D11" t="str">
        <x:f>IF(OR(UPPER(TRIM('Raw Actuals'!D11))="CATERING",UPPER(TRIM('Raw Actuals'!D11))="WORKSHOP CATERING",UPPER(TRIM('Raw Actuals'!D11))="MEALS",UPPER(TRIM('Raw Actuals'!D11))="CATERNG"),"Catering",IF(OR(UPPER(TRIM('Raw Actuals'!D11))="TRANSPORT",UPPER(TRIM('Raw Actuals'!D11))="LEARNER TRANSPORT",UPPER(TRIM('Raw Actuals'!D11))="TAXIS",UPPER(TRIM('Raw Actuals'!D11))="LEARNER TAXI"),"Transport",IF(OR(UPPER(TRIM('Raw Actuals'!D11))="FACILITATION",UPPER(TRIM('Raw Actuals'!D11))="CHAMPION PAYMENTS",UPPER(TRIM('Raw Actuals'!D11))="STIPENDS",UPPER(TRIM('Raw Actuals'!D11))="FACILITATOR FEE"),"Facilitation",IF(OR(UPPER(TRIM('Raw Actuals'!D11))="MATERIALS",UPPER(TRIM('Raw Actuals'!D11))="WORKSHOP MATERIALS",UPPER(TRIM('Raw Actuals'!D11))="MATERIALS / SUPPLIES"),"Materials",IF(OR(UPPER(TRIM('Raw Actuals'!D11))="PRINTING",UPPER(TRIM('Raw Actuals'!D11))="PRINT &amp; CONSENT",UPPER(TRIM('Raw Actuals'!D11))="PRINTING AND CONSENT"),"Printing",IF(OR(UPPER(TRIM('Raw Actuals'!D11))="TRAINING",UPPER(TRIM('Raw Actuals'!D11))="CHAMPION TRAINING",UPPER(TRIM('Raw Actuals'!D11))="FACILITATOR TRAINING"),"Training",IF(OR(UPPER(TRIM('Raw Actuals'!D11))="SITE VISITS",UPPER(TRIM('Raw Actuals'!D11))="SITE VISIT",UPPER(TRIM('Raw Actuals'!D11))="TRAVEL AND SITE VISITS"),"Site visits",IF(OR(UPPER(TRIM('Raw Actuals'!D11))="EVENTS",UPPER(TRIM('Raw Actuals'!D11))="RECOGNITION EVENT",UPPER(TRIM('Raw Actuals'!D11))="BADGE CEREMONY"),"Events",IF(OR(UPPER(TRIM('Raw Actuals'!D11))="VENUE",UPPER(TRIM('Raw Actuals'!D11))="VENUE HIRE",UPPER(TRIM('Raw Actuals'!D11))="TRAINING VENUE"),"Venue",IF(OR(UPPER(TRIM('Raw Actuals'!D11))="ADMINISTRATION",UPPER(TRIM('Raw Actuals'!D11))="ADMIN",UPPER(TRIM('Raw Actuals'!D11))="OPERATIONAL SUPPORT"),"Administration","Review"))))))))))</x:f>
        <x:v>Facilitation</x:v>
      </x:c>
      <x:c r="E11" t="str">
        <x:f>IF(TRIM('Raw Actuals'!E11)="","Missing",PROPER(TRIM('Raw Actuals'!E11)))</x:f>
        <x:v>Moya Supplies</x:v>
      </x:c>
      <x:c r="F11" t="str">
        <x:f>TRIM('Raw Actuals'!F11)</x:f>
        <x:v>Facilitation expense 6</x:v>
      </x:c>
      <x:c r="G11" s="26" t="n">
        <x:v>3970</x:v>
      </x:c>
      <x:c r="H11" t="str">
        <x:f>IF(OR(UPPER(TRIM('Raw Actuals'!H11))="PAID",UPPER(TRIM('Raw Actuals'!H11))="PAID "),"Paid",IF(UPPER(TRIM('Raw Actuals'!H11))="APPROVED","Approved",IF(OR(UPPER(TRIM('Raw Actuals'!H11))="SUBMITTED",UPPER(TRIM('Raw Actuals'!H11))="PENDING"),"Submitted",IF(UPPER(TRIM('Raw Actuals'!H11))="REJECTED","Rejected","Review"))))</x:f>
        <x:v>Submitted</x:v>
      </x:c>
      <x:c r="I11" t="str">
        <x:f>IF(OR(H11="Paid",H11="Approved"),"Include","Exclude")</x:f>
        <x:v>Exclude</x:v>
      </x:c>
      <x:c r="J11" t="str">
        <x:f>IF(B11="","Missing invoice",IF(COUNTIF($B$6:B11,B11)&gt;1,"Duplicate","Unique"))</x:f>
        <x:v>Unique</x:v>
      </x:c>
      <x:c r="K11" s="17" t="str">
        <x:f>IF(A11="","Missing ID; ","")&amp;IF(B11="","Missing invoice; ","")&amp;IF(C11="","Invalid date; ","")&amp;IF(D11="Review","Unmapped category; ","")&amp;IF(E11="Missing","Missing supplier; ","")&amp;IF(OR(G11="",G11&lt;=0),"Invalid amount; ","")&amp;IF(H11="Review","Invalid payment state; ","")&amp;IF(J11="Duplicate","Duplicate invoice; ","")</x:f>
      </x:c>
      <x:c r="L11" t="str">
        <x:f>IF(K11="","Ready","Review")</x:f>
        <x:v>Ready</x:v>
      </x:c>
      <x:c r="M11" s="26" t="n">
        <x:f>IF(AND(L11="Ready",I11="Include"),G11,0)</x:f>
        <x:v>0</x:v>
      </x:c>
    </x:row>
    <x:row r="12">
      <x:c r="A12" t="str">
        <x:f>UPPER(TRIM('Raw Actuals'!A12))</x:f>
        <x:v>TXN-27-0007</x:v>
      </x:c>
      <x:c r="B12" t="str">
        <x:f>UPPER(TRIM('Raw Actuals'!B12))</x:f>
        <x:v>INV-27-0007</x:v>
      </x:c>
      <x:c r="C12" s="25" t="n">
        <x:f>IFERROR(IF(OR(MID(TRIM('Raw Actuals'!C12),5,1)="-",MID(TRIM('Raw Actuals'!C12),5,1)="/"),DATE(VALUE(LEFT(TRIM('Raw Actuals'!C12),4)),VALUE(MID(TRIM('Raw Actuals'!C12),6,2)),VALUE(RIGHT(TRIM('Raw Actuals'!C12),2))),IF(LEN(TRIM('Raw Actuals'!C12))=10,DATE(VALUE(RIGHT(TRIM('Raw Actuals'!C12),4)),VALUE(MID(TRIM('Raw Actuals'!C12),4,2)),VALUE(LEFT(TRIM('Raw Actuals'!C12),2))),IF(LEN(TRIM('Raw Actuals'!C12))=8,DATE(2000+VALUE(RIGHT(TRIM('Raw Actuals'!C12),2)),VALUE(MID(TRIM('Raw Actuals'!C12),4,2)),VALUE(LEFT(TRIM('Raw Actuals'!C12),2))),""))),"")</x:f>
        <x:v>46562</x:v>
      </x:c>
      <x:c r="D12" t="str">
        <x:f>IF(OR(UPPER(TRIM('Raw Actuals'!D12))="CATERING",UPPER(TRIM('Raw Actuals'!D12))="WORKSHOP CATERING",UPPER(TRIM('Raw Actuals'!D12))="MEALS",UPPER(TRIM('Raw Actuals'!D12))="CATERNG"),"Catering",IF(OR(UPPER(TRIM('Raw Actuals'!D12))="TRANSPORT",UPPER(TRIM('Raw Actuals'!D12))="LEARNER TRANSPORT",UPPER(TRIM('Raw Actuals'!D12))="TAXIS",UPPER(TRIM('Raw Actuals'!D12))="LEARNER TAXI"),"Transport",IF(OR(UPPER(TRIM('Raw Actuals'!D12))="FACILITATION",UPPER(TRIM('Raw Actuals'!D12))="CHAMPION PAYMENTS",UPPER(TRIM('Raw Actuals'!D12))="STIPENDS",UPPER(TRIM('Raw Actuals'!D12))="FACILITATOR FEE"),"Facilitation",IF(OR(UPPER(TRIM('Raw Actuals'!D12))="MATERIALS",UPPER(TRIM('Raw Actuals'!D12))="WORKSHOP MATERIALS",UPPER(TRIM('Raw Actuals'!D12))="MATERIALS / SUPPLIES"),"Materials",IF(OR(UPPER(TRIM('Raw Actuals'!D12))="PRINTING",UPPER(TRIM('Raw Actuals'!D12))="PRINT &amp; CONSENT",UPPER(TRIM('Raw Actuals'!D12))="PRINTING AND CONSENT"),"Printing",IF(OR(UPPER(TRIM('Raw Actuals'!D12))="TRAINING",UPPER(TRIM('Raw Actuals'!D12))="CHAMPION TRAINING",UPPER(TRIM('Raw Actuals'!D12))="FACILITATOR TRAINING"),"Training",IF(OR(UPPER(TRIM('Raw Actuals'!D12))="SITE VISITS",UPPER(TRIM('Raw Actuals'!D12))="SITE VISIT",UPPER(TRIM('Raw Actuals'!D12))="TRAVEL AND SITE VISITS"),"Site visits",IF(OR(UPPER(TRIM('Raw Actuals'!D12))="EVENTS",UPPER(TRIM('Raw Actuals'!D12))="RECOGNITION EVENT",UPPER(TRIM('Raw Actuals'!D12))="BADGE CEREMONY"),"Events",IF(OR(UPPER(TRIM('Raw Actuals'!D12))="VENUE",UPPER(TRIM('Raw Actuals'!D12))="VENUE HIRE",UPPER(TRIM('Raw Actuals'!D12))="TRAINING VENUE"),"Venue",IF(OR(UPPER(TRIM('Raw Actuals'!D12))="ADMINISTRATION",UPPER(TRIM('Raw Actuals'!D12))="ADMIN",UPPER(TRIM('Raw Actuals'!D12))="OPERATIONAL SUPPORT"),"Administration","Review"))))))))))</x:f>
        <x:v>Administration</x:v>
      </x:c>
      <x:c r="E12" t="str">
        <x:f>IF(TRIM('Raw Actuals'!E12)="","Missing",PROPER(TRIM('Raw Actuals'!E12)))</x:f>
        <x:v>Northline Transport</x:v>
      </x:c>
      <x:c r="F12" t="str">
        <x:f>TRIM('Raw Actuals'!F12)</x:f>
        <x:v>Administration expense 7</x:v>
      </x:c>
      <x:c r="G12" s="26" t="n">
        <x:v>4665</x:v>
      </x:c>
      <x:c r="H12" t="str">
        <x:f>IF(OR(UPPER(TRIM('Raw Actuals'!H12))="PAID",UPPER(TRIM('Raw Actuals'!H12))="PAID "),"Paid",IF(UPPER(TRIM('Raw Actuals'!H12))="APPROVED","Approved",IF(OR(UPPER(TRIM('Raw Actuals'!H12))="SUBMITTED",UPPER(TRIM('Raw Actuals'!H12))="PENDING"),"Submitted",IF(UPPER(TRIM('Raw Actuals'!H12))="REJECTED","Rejected","Review"))))</x:f>
        <x:v>Rejected</x:v>
      </x:c>
      <x:c r="I12" t="str">
        <x:f>IF(OR(H12="Paid",H12="Approved"),"Include","Exclude")</x:f>
        <x:v>Exclude</x:v>
      </x:c>
      <x:c r="J12" t="str">
        <x:f>IF(B12="","Missing invoice",IF(COUNTIF($B$6:B12,B12)&gt;1,"Duplicate","Unique"))</x:f>
        <x:v>Unique</x:v>
      </x:c>
      <x:c r="K12" s="17" t="str">
        <x:f>IF(A12="","Missing ID; ","")&amp;IF(B12="","Missing invoice; ","")&amp;IF(C12="","Invalid date; ","")&amp;IF(D12="Review","Unmapped category; ","")&amp;IF(E12="Missing","Missing supplier; ","")&amp;IF(OR(G12="",G12&lt;=0),"Invalid amount; ","")&amp;IF(H12="Review","Invalid payment state; ","")&amp;IF(J12="Duplicate","Duplicate invoice; ","")</x:f>
      </x:c>
      <x:c r="L12" t="str">
        <x:f>IF(K12="","Ready","Review")</x:f>
        <x:v>Ready</x:v>
      </x:c>
      <x:c r="M12" s="26" t="n">
        <x:f>IF(AND(L12="Ready",I12="Include"),G12,0)</x:f>
        <x:v>0</x:v>
      </x:c>
    </x:row>
    <x:row r="13">
      <x:c r="A13" t="str">
        <x:f>UPPER(TRIM('Raw Actuals'!A13))</x:f>
        <x:v>TXN-27-0008</x:v>
      </x:c>
      <x:c r="B13" t="str">
        <x:f>UPPER(TRIM('Raw Actuals'!B13))</x:f>
        <x:v>INV-27-0008</x:v>
      </x:c>
      <x:c r="C13" s="25" t="n">
        <x:f>IFERROR(IF(OR(MID(TRIM('Raw Actuals'!C13),5,1)="-",MID(TRIM('Raw Actuals'!C13),5,1)="/"),DATE(VALUE(LEFT(TRIM('Raw Actuals'!C13),4)),VALUE(MID(TRIM('Raw Actuals'!C13),6,2)),VALUE(RIGHT(TRIM('Raw Actuals'!C13),2))),IF(LEN(TRIM('Raw Actuals'!C13))=10,DATE(VALUE(RIGHT(TRIM('Raw Actuals'!C13),4)),VALUE(MID(TRIM('Raw Actuals'!C13),4,2)),VALUE(LEFT(TRIM('Raw Actuals'!C13),2))),IF(LEN(TRIM('Raw Actuals'!C13))=8,DATE(2000+VALUE(RIGHT(TRIM('Raw Actuals'!C13),2)),VALUE(MID(TRIM('Raw Actuals'!C13),4,2)),VALUE(LEFT(TRIM('Raw Actuals'!C13),2))),""))),"")</x:f>
        <x:v>46515</x:v>
      </x:c>
      <x:c r="D13" t="str">
        <x:f>IF(OR(UPPER(TRIM('Raw Actuals'!D13))="CATERING",UPPER(TRIM('Raw Actuals'!D13))="WORKSHOP CATERING",UPPER(TRIM('Raw Actuals'!D13))="MEALS",UPPER(TRIM('Raw Actuals'!D13))="CATERNG"),"Catering",IF(OR(UPPER(TRIM('Raw Actuals'!D13))="TRANSPORT",UPPER(TRIM('Raw Actuals'!D13))="LEARNER TRANSPORT",UPPER(TRIM('Raw Actuals'!D13))="TAXIS",UPPER(TRIM('Raw Actuals'!D13))="LEARNER TAXI"),"Transport",IF(OR(UPPER(TRIM('Raw Actuals'!D13))="FACILITATION",UPPER(TRIM('Raw Actuals'!D13))="CHAMPION PAYMENTS",UPPER(TRIM('Raw Actuals'!D13))="STIPENDS",UPPER(TRIM('Raw Actuals'!D13))="FACILITATOR FEE"),"Facilitation",IF(OR(UPPER(TRIM('Raw Actuals'!D13))="MATERIALS",UPPER(TRIM('Raw Actuals'!D13))="WORKSHOP MATERIALS",UPPER(TRIM('Raw Actuals'!D13))="MATERIALS / SUPPLIES"),"Materials",IF(OR(UPPER(TRIM('Raw Actuals'!D13))="PRINTING",UPPER(TRIM('Raw Actuals'!D13))="PRINT &amp; CONSENT",UPPER(TRIM('Raw Actuals'!D13))="PRINTING AND CONSENT"),"Printing",IF(OR(UPPER(TRIM('Raw Actuals'!D13))="TRAINING",UPPER(TRIM('Raw Actuals'!D13))="CHAMPION TRAINING",UPPER(TRIM('Raw Actuals'!D13))="FACILITATOR TRAINING"),"Training",IF(OR(UPPER(TRIM('Raw Actuals'!D13))="SITE VISITS",UPPER(TRIM('Raw Actuals'!D13))="SITE VISIT",UPPER(TRIM('Raw Actuals'!D13))="TRAVEL AND SITE VISITS"),"Site visits",IF(OR(UPPER(TRIM('Raw Actuals'!D13))="EVENTS",UPPER(TRIM('Raw Actuals'!D13))="RECOGNITION EVENT",UPPER(TRIM('Raw Actuals'!D13))="BADGE CEREMONY"),"Events",IF(OR(UPPER(TRIM('Raw Actuals'!D13))="VENUE",UPPER(TRIM('Raw Actuals'!D13))="VENUE HIRE",UPPER(TRIM('Raw Actuals'!D13))="TRAINING VENUE"),"Venue",IF(OR(UPPER(TRIM('Raw Actuals'!D13))="ADMINISTRATION",UPPER(TRIM('Raw Actuals'!D13))="ADMIN",UPPER(TRIM('Raw Actuals'!D13))="OPERATIONAL SUPPORT"),"Administration","Review"))))))))))</x:f>
        <x:v>Site visits</x:v>
      </x:c>
      <x:c r="E13" t="str">
        <x:f>IF(TRIM('Raw Actuals'!E13)="","Missing",PROPER(TRIM('Raw Actuals'!E13)))</x:f>
        <x:v>Kopano Catering</x:v>
      </x:c>
      <x:c r="F13" t="str">
        <x:f>TRIM('Raw Actuals'!F13)</x:f>
        <x:v>Site visits expense 8</x:v>
      </x:c>
      <x:c r="G13" s="26" t="n">
        <x:v>3965</x:v>
      </x:c>
      <x:c r="H13" t="str">
        <x:f>IF(OR(UPPER(TRIM('Raw Actuals'!H13))="PAID",UPPER(TRIM('Raw Actuals'!H13))="PAID "),"Paid",IF(UPPER(TRIM('Raw Actuals'!H13))="APPROVED","Approved",IF(OR(UPPER(TRIM('Raw Actuals'!H13))="SUBMITTED",UPPER(TRIM('Raw Actuals'!H13))="PENDING"),"Submitted",IF(UPPER(TRIM('Raw Actuals'!H13))="REJECTED","Rejected","Review"))))</x:f>
        <x:v>Paid</x:v>
      </x:c>
      <x:c r="I13" t="str">
        <x:f>IF(OR(H13="Paid",H13="Approved"),"Include","Exclude")</x:f>
        <x:v>Include</x:v>
      </x:c>
      <x:c r="J13" t="str">
        <x:f>IF(B13="","Missing invoice",IF(COUNTIF($B$6:B13,B13)&gt;1,"Duplicate","Unique"))</x:f>
        <x:v>Unique</x:v>
      </x:c>
      <x:c r="K13" s="17" t="str">
        <x:f>IF(A13="","Missing ID; ","")&amp;IF(B13="","Missing invoice; ","")&amp;IF(C13="","Invalid date; ","")&amp;IF(D13="Review","Unmapped category; ","")&amp;IF(E13="Missing","Missing supplier; ","")&amp;IF(OR(G13="",G13&lt;=0),"Invalid amount; ","")&amp;IF(H13="Review","Invalid payment state; ","")&amp;IF(J13="Duplicate","Duplicate invoice; ","")</x:f>
      </x:c>
      <x:c r="L13" t="str">
        <x:f>IF(K13="","Ready","Review")</x:f>
        <x:v>Ready</x:v>
      </x:c>
      <x:c r="M13" s="26" t="n">
        <x:f>IF(AND(L13="Ready",I13="Include"),G13,0)</x:f>
        <x:v>3965</x:v>
      </x:c>
    </x:row>
    <x:row r="14">
      <x:c r="A14" t="str">
        <x:f>UPPER(TRIM('Raw Actuals'!A14))</x:f>
        <x:v>TXN-27-0009</x:v>
      </x:c>
      <x:c r="B14" t="str">
        <x:f>UPPER(TRIM('Raw Actuals'!B14))</x:f>
        <x:v>INV-27-0009</x:v>
      </x:c>
      <x:c r="C14" s="25" t="n">
        <x:f>IFERROR(IF(OR(MID(TRIM('Raw Actuals'!C14),5,1)="-",MID(TRIM('Raw Actuals'!C14),5,1)="/"),DATE(VALUE(LEFT(TRIM('Raw Actuals'!C14),4)),VALUE(MID(TRIM('Raw Actuals'!C14),6,2)),VALUE(RIGHT(TRIM('Raw Actuals'!C14),2))),IF(LEN(TRIM('Raw Actuals'!C14))=10,DATE(VALUE(RIGHT(TRIM('Raw Actuals'!C14),4)),VALUE(MID(TRIM('Raw Actuals'!C14),4,2)),VALUE(LEFT(TRIM('Raw Actuals'!C14),2))),IF(LEN(TRIM('Raw Actuals'!C14))=8,DATE(2000+VALUE(RIGHT(TRIM('Raw Actuals'!C14),2)),VALUE(MID(TRIM('Raw Actuals'!C14),4,2)),VALUE(LEFT(TRIM('Raw Actuals'!C14),2))),""))),"")</x:f>
        <x:v>46496</x:v>
      </x:c>
      <x:c r="D14" t="str">
        <x:f>IF(OR(UPPER(TRIM('Raw Actuals'!D14))="CATERING",UPPER(TRIM('Raw Actuals'!D14))="WORKSHOP CATERING",UPPER(TRIM('Raw Actuals'!D14))="MEALS",UPPER(TRIM('Raw Actuals'!D14))="CATERNG"),"Catering",IF(OR(UPPER(TRIM('Raw Actuals'!D14))="TRANSPORT",UPPER(TRIM('Raw Actuals'!D14))="LEARNER TRANSPORT",UPPER(TRIM('Raw Actuals'!D14))="TAXIS",UPPER(TRIM('Raw Actuals'!D14))="LEARNER TAXI"),"Transport",IF(OR(UPPER(TRIM('Raw Actuals'!D14))="FACILITATION",UPPER(TRIM('Raw Actuals'!D14))="CHAMPION PAYMENTS",UPPER(TRIM('Raw Actuals'!D14))="STIPENDS",UPPER(TRIM('Raw Actuals'!D14))="FACILITATOR FEE"),"Facilitation",IF(OR(UPPER(TRIM('Raw Actuals'!D14))="MATERIALS",UPPER(TRIM('Raw Actuals'!D14))="WORKSHOP MATERIALS",UPPER(TRIM('Raw Actuals'!D14))="MATERIALS / SUPPLIES"),"Materials",IF(OR(UPPER(TRIM('Raw Actuals'!D14))="PRINTING",UPPER(TRIM('Raw Actuals'!D14))="PRINT &amp; CONSENT",UPPER(TRIM('Raw Actuals'!D14))="PRINTING AND CONSENT"),"Printing",IF(OR(UPPER(TRIM('Raw Actuals'!D14))="TRAINING",UPPER(TRIM('Raw Actuals'!D14))="CHAMPION TRAINING",UPPER(TRIM('Raw Actuals'!D14))="FACILITATOR TRAINING"),"Training",IF(OR(UPPER(TRIM('Raw Actuals'!D14))="SITE VISITS",UPPER(TRIM('Raw Actuals'!D14))="SITE VISIT",UPPER(TRIM('Raw Actuals'!D14))="TRAVEL AND SITE VISITS"),"Site visits",IF(OR(UPPER(TRIM('Raw Actuals'!D14))="EVENTS",UPPER(TRIM('Raw Actuals'!D14))="RECOGNITION EVENT",UPPER(TRIM('Raw Actuals'!D14))="BADGE CEREMONY"),"Events",IF(OR(UPPER(TRIM('Raw Actuals'!D14))="VENUE",UPPER(TRIM('Raw Actuals'!D14))="VENUE HIRE",UPPER(TRIM('Raw Actuals'!D14))="TRAINING VENUE"),"Venue",IF(OR(UPPER(TRIM('Raw Actuals'!D14))="ADMINISTRATION",UPPER(TRIM('Raw Actuals'!D14))="ADMIN",UPPER(TRIM('Raw Actuals'!D14))="OPERATIONAL SUPPORT"),"Administration","Review"))))))))))</x:f>
        <x:v>Materials</x:v>
      </x:c>
      <x:c r="E14" t="str">
        <x:f>IF(TRIM('Raw Actuals'!E14)="","Missing",PROPER(TRIM('Raw Actuals'!E14)))</x:f>
        <x:v>Riverside Venue Hire</x:v>
      </x:c>
      <x:c r="F14" t="str">
        <x:f>TRIM('Raw Actuals'!F14)</x:f>
        <x:v>Materials expense 9</x:v>
      </x:c>
      <x:c r="G14" s="26" t="n">
        <x:v>3504</x:v>
      </x:c>
      <x:c r="H14" t="str">
        <x:f>IF(OR(UPPER(TRIM('Raw Actuals'!H14))="PAID",UPPER(TRIM('Raw Actuals'!H14))="PAID "),"Paid",IF(UPPER(TRIM('Raw Actuals'!H14))="APPROVED","Approved",IF(OR(UPPER(TRIM('Raw Actuals'!H14))="SUBMITTED",UPPER(TRIM('Raw Actuals'!H14))="PENDING"),"Submitted",IF(UPPER(TRIM('Raw Actuals'!H14))="REJECTED","Rejected","Review"))))</x:f>
        <x:v>Approved</x:v>
      </x:c>
      <x:c r="I14" t="str">
        <x:f>IF(OR(H14="Paid",H14="Approved"),"Include","Exclude")</x:f>
        <x:v>Include</x:v>
      </x:c>
      <x:c r="J14" t="str">
        <x:f>IF(B14="","Missing invoice",IF(COUNTIF($B$6:B14,B14)&gt;1,"Duplicate","Unique"))</x:f>
        <x:v>Unique</x:v>
      </x:c>
      <x:c r="K14" s="17" t="str">
        <x:f>IF(A14="","Missing ID; ","")&amp;IF(B14="","Missing invoice; ","")&amp;IF(C14="","Invalid date; ","")&amp;IF(D14="Review","Unmapped category; ","")&amp;IF(E14="Missing","Missing supplier; ","")&amp;IF(OR(G14="",G14&lt;=0),"Invalid amount; ","")&amp;IF(H14="Review","Invalid payment state; ","")&amp;IF(J14="Duplicate","Duplicate invoice; ","")</x:f>
      </x:c>
      <x:c r="L14" t="str">
        <x:f>IF(K14="","Ready","Review")</x:f>
        <x:v>Ready</x:v>
      </x:c>
      <x:c r="M14" s="26" t="n">
        <x:f>IF(AND(L14="Ready",I14="Include"),G14,0)</x:f>
        <x:v>3504</x:v>
      </x:c>
    </x:row>
    <x:row r="15">
      <x:c r="A15" t="str">
        <x:f>UPPER(TRIM('Raw Actuals'!A15))</x:f>
        <x:v>TXN-27-0010</x:v>
      </x:c>
      <x:c r="B15" t="str">
        <x:f>UPPER(TRIM('Raw Actuals'!B15))</x:f>
        <x:v>INV-27-0010</x:v>
      </x:c>
      <x:c r="C15" s="25" t="n">
        <x:f>IFERROR(IF(OR(MID(TRIM('Raw Actuals'!C15),5,1)="-",MID(TRIM('Raw Actuals'!C15),5,1)="/"),DATE(VALUE(LEFT(TRIM('Raw Actuals'!C15),4)),VALUE(MID(TRIM('Raw Actuals'!C15),6,2)),VALUE(RIGHT(TRIM('Raw Actuals'!C15),2))),IF(LEN(TRIM('Raw Actuals'!C15))=10,DATE(VALUE(RIGHT(TRIM('Raw Actuals'!C15),4)),VALUE(MID(TRIM('Raw Actuals'!C15),4,2)),VALUE(LEFT(TRIM('Raw Actuals'!C15),2))),IF(LEN(TRIM('Raw Actuals'!C15))=8,DATE(2000+VALUE(RIGHT(TRIM('Raw Actuals'!C15),2)),VALUE(MID(TRIM('Raw Actuals'!C15),4,2)),VALUE(LEFT(TRIM('Raw Actuals'!C15),2))),""))),"")</x:f>
        <x:v>46449</x:v>
      </x:c>
      <x:c r="D15" t="str">
        <x:f>IF(OR(UPPER(TRIM('Raw Actuals'!D15))="CATERING",UPPER(TRIM('Raw Actuals'!D15))="WORKSHOP CATERING",UPPER(TRIM('Raw Actuals'!D15))="MEALS",UPPER(TRIM('Raw Actuals'!D15))="CATERNG"),"Catering",IF(OR(UPPER(TRIM('Raw Actuals'!D15))="TRANSPORT",UPPER(TRIM('Raw Actuals'!D15))="LEARNER TRANSPORT",UPPER(TRIM('Raw Actuals'!D15))="TAXIS",UPPER(TRIM('Raw Actuals'!D15))="LEARNER TAXI"),"Transport",IF(OR(UPPER(TRIM('Raw Actuals'!D15))="FACILITATION",UPPER(TRIM('Raw Actuals'!D15))="CHAMPION PAYMENTS",UPPER(TRIM('Raw Actuals'!D15))="STIPENDS",UPPER(TRIM('Raw Actuals'!D15))="FACILITATOR FEE"),"Facilitation",IF(OR(UPPER(TRIM('Raw Actuals'!D15))="MATERIALS",UPPER(TRIM('Raw Actuals'!D15))="WORKSHOP MATERIALS",UPPER(TRIM('Raw Actuals'!D15))="MATERIALS / SUPPLIES"),"Materials",IF(OR(UPPER(TRIM('Raw Actuals'!D15))="PRINTING",UPPER(TRIM('Raw Actuals'!D15))="PRINT &amp; CONSENT",UPPER(TRIM('Raw Actuals'!D15))="PRINTING AND CONSENT"),"Printing",IF(OR(UPPER(TRIM('Raw Actuals'!D15))="TRAINING",UPPER(TRIM('Raw Actuals'!D15))="CHAMPION TRAINING",UPPER(TRIM('Raw Actuals'!D15))="FACILITATOR TRAINING"),"Training",IF(OR(UPPER(TRIM('Raw Actuals'!D15))="SITE VISITS",UPPER(TRIM('Raw Actuals'!D15))="SITE VISIT",UPPER(TRIM('Raw Actuals'!D15))="TRAVEL AND SITE VISITS"),"Site visits",IF(OR(UPPER(TRIM('Raw Actuals'!D15))="EVENTS",UPPER(TRIM('Raw Actuals'!D15))="RECOGNITION EVENT",UPPER(TRIM('Raw Actuals'!D15))="BADGE CEREMONY"),"Events",IF(OR(UPPER(TRIM('Raw Actuals'!D15))="VENUE",UPPER(TRIM('Raw Actuals'!D15))="VENUE HIRE",UPPER(TRIM('Raw Actuals'!D15))="TRAINING VENUE"),"Venue",IF(OR(UPPER(TRIM('Raw Actuals'!D15))="ADMINISTRATION",UPPER(TRIM('Raw Actuals'!D15))="ADMIN",UPPER(TRIM('Raw Actuals'!D15))="OPERATIONAL SUPPORT"),"Administration","Review"))))))))))</x:f>
        <x:v>Catering</x:v>
      </x:c>
      <x:c r="E15" t="str">
        <x:f>IF(TRIM('Raw Actuals'!E15)="","Missing",PROPER(TRIM('Raw Actuals'!E15)))</x:f>
        <x:v>Bright Print Studio</x:v>
      </x:c>
      <x:c r="F15" t="str">
        <x:f>TRIM('Raw Actuals'!F15)</x:f>
        <x:v>Catering expense 10</x:v>
      </x:c>
      <x:c r="G15" s="26" t="n">
        <x:v>3582</x:v>
      </x:c>
      <x:c r="H15" t="str">
        <x:f>IF(OR(UPPER(TRIM('Raw Actuals'!H15))="PAID",UPPER(TRIM('Raw Actuals'!H15))="PAID "),"Paid",IF(UPPER(TRIM('Raw Actuals'!H15))="APPROVED","Approved",IF(OR(UPPER(TRIM('Raw Actuals'!H15))="SUBMITTED",UPPER(TRIM('Raw Actuals'!H15))="PENDING"),"Submitted",IF(UPPER(TRIM('Raw Actuals'!H15))="REJECTED","Rejected","Review"))))</x:f>
        <x:v>Submitted</x:v>
      </x:c>
      <x:c r="I15" t="str">
        <x:f>IF(OR(H15="Paid",H15="Approved"),"Include","Exclude")</x:f>
        <x:v>Exclude</x:v>
      </x:c>
      <x:c r="J15" t="str">
        <x:f>IF(B15="","Missing invoice",IF(COUNTIF($B$6:B15,B15)&gt;1,"Duplicate","Unique"))</x:f>
        <x:v>Unique</x:v>
      </x:c>
      <x:c r="K15" s="17" t="str">
        <x:f>IF(A15="","Missing ID; ","")&amp;IF(B15="","Missing invoice; ","")&amp;IF(C15="","Invalid date; ","")&amp;IF(D15="Review","Unmapped category; ","")&amp;IF(E15="Missing","Missing supplier; ","")&amp;IF(OR(G15="",G15&lt;=0),"Invalid amount; ","")&amp;IF(H15="Review","Invalid payment state; ","")&amp;IF(J15="Duplicate","Duplicate invoice; ","")</x:f>
      </x:c>
      <x:c r="L15" t="str">
        <x:f>IF(K15="","Ready","Review")</x:f>
        <x:v>Ready</x:v>
      </x:c>
      <x:c r="M15" s="26" t="n">
        <x:f>IF(AND(L15="Ready",I15="Include"),G15,0)</x:f>
        <x:v>0</x:v>
      </x:c>
    </x:row>
    <x:row r="16">
      <x:c r="A16" t="str">
        <x:f>UPPER(TRIM('Raw Actuals'!A16))</x:f>
        <x:v>TXN-27-0011</x:v>
      </x:c>
      <x:c r="B16" t="str">
        <x:f>UPPER(TRIM('Raw Actuals'!B16))</x:f>
        <x:v>INV-27-0011</x:v>
      </x:c>
      <x:c r="C16" s="25" t="n">
        <x:f>IFERROR(IF(OR(MID(TRIM('Raw Actuals'!C16),5,1)="-",MID(TRIM('Raw Actuals'!C16),5,1)="/"),DATE(VALUE(LEFT(TRIM('Raw Actuals'!C16),4)),VALUE(MID(TRIM('Raw Actuals'!C16),6,2)),VALUE(RIGHT(TRIM('Raw Actuals'!C16),2))),IF(LEN(TRIM('Raw Actuals'!C16))=10,DATE(VALUE(RIGHT(TRIM('Raw Actuals'!C16),4)),VALUE(MID(TRIM('Raw Actuals'!C16),4,2)),VALUE(LEFT(TRIM('Raw Actuals'!C16),2))),IF(LEN(TRIM('Raw Actuals'!C16))=8,DATE(2000+VALUE(RIGHT(TRIM('Raw Actuals'!C16),2)),VALUE(MID(TRIM('Raw Actuals'!C16),4,2)),VALUE(LEFT(TRIM('Raw Actuals'!C16),2))),""))),"")</x:f>
        <x:v>46432</x:v>
      </x:c>
      <x:c r="D16" t="str">
        <x:f>IF(OR(UPPER(TRIM('Raw Actuals'!D16))="CATERING",UPPER(TRIM('Raw Actuals'!D16))="WORKSHOP CATERING",UPPER(TRIM('Raw Actuals'!D16))="MEALS",UPPER(TRIM('Raw Actuals'!D16))="CATERNG"),"Catering",IF(OR(UPPER(TRIM('Raw Actuals'!D16))="TRANSPORT",UPPER(TRIM('Raw Actuals'!D16))="LEARNER TRANSPORT",UPPER(TRIM('Raw Actuals'!D16))="TAXIS",UPPER(TRIM('Raw Actuals'!D16))="LEARNER TAXI"),"Transport",IF(OR(UPPER(TRIM('Raw Actuals'!D16))="FACILITATION",UPPER(TRIM('Raw Actuals'!D16))="CHAMPION PAYMENTS",UPPER(TRIM('Raw Actuals'!D16))="STIPENDS",UPPER(TRIM('Raw Actuals'!D16))="FACILITATOR FEE"),"Facilitation",IF(OR(UPPER(TRIM('Raw Actuals'!D16))="MATERIALS",UPPER(TRIM('Raw Actuals'!D16))="WORKSHOP MATERIALS",UPPER(TRIM('Raw Actuals'!D16))="MATERIALS / SUPPLIES"),"Materials",IF(OR(UPPER(TRIM('Raw Actuals'!D16))="PRINTING",UPPER(TRIM('Raw Actuals'!D16))="PRINT &amp; CONSENT",UPPER(TRIM('Raw Actuals'!D16))="PRINTING AND CONSENT"),"Printing",IF(OR(UPPER(TRIM('Raw Actuals'!D16))="TRAINING",UPPER(TRIM('Raw Actuals'!D16))="CHAMPION TRAINING",UPPER(TRIM('Raw Actuals'!D16))="FACILITATOR TRAINING"),"Training",IF(OR(UPPER(TRIM('Raw Actuals'!D16))="SITE VISITS",UPPER(TRIM('Raw Actuals'!D16))="SITE VISIT",UPPER(TRIM('Raw Actuals'!D16))="TRAVEL AND SITE VISITS"),"Site visits",IF(OR(UPPER(TRIM('Raw Actuals'!D16))="EVENTS",UPPER(TRIM('Raw Actuals'!D16))="RECOGNITION EVENT",UPPER(TRIM('Raw Actuals'!D16))="BADGE CEREMONY"),"Events",IF(OR(UPPER(TRIM('Raw Actuals'!D16))="VENUE",UPPER(TRIM('Raw Actuals'!D16))="VENUE HIRE",UPPER(TRIM('Raw Actuals'!D16))="TRAINING VENUE"),"Venue",IF(OR(UPPER(TRIM('Raw Actuals'!D16))="ADMINISTRATION",UPPER(TRIM('Raw Actuals'!D16))="ADMIN",UPPER(TRIM('Raw Actuals'!D16))="OPERATIONAL SUPPORT"),"Administration","Review"))))))))))</x:f>
        <x:v>Events</x:v>
      </x:c>
      <x:c r="E16" t="str">
        <x:f>IF(TRIM('Raw Actuals'!E16)="","Missing",PROPER(TRIM('Raw Actuals'!E16)))</x:f>
        <x:v>Thuto Facilitation</x:v>
      </x:c>
      <x:c r="F16" t="str">
        <x:f>TRIM('Raw Actuals'!F16)</x:f>
        <x:v>Events expense 11</x:v>
      </x:c>
      <x:c r="G16" s="26" t="n">
        <x:v>3721</x:v>
      </x:c>
      <x:c r="H16" t="str">
        <x:f>IF(OR(UPPER(TRIM('Raw Actuals'!H16))="PAID",UPPER(TRIM('Raw Actuals'!H16))="PAID "),"Paid",IF(UPPER(TRIM('Raw Actuals'!H16))="APPROVED","Approved",IF(OR(UPPER(TRIM('Raw Actuals'!H16))="SUBMITTED",UPPER(TRIM('Raw Actuals'!H16))="PENDING"),"Submitted",IF(UPPER(TRIM('Raw Actuals'!H16))="REJECTED","Rejected","Review"))))</x:f>
        <x:v>Rejected</x:v>
      </x:c>
      <x:c r="I16" t="str">
        <x:f>IF(OR(H16="Paid",H16="Approved"),"Include","Exclude")</x:f>
        <x:v>Exclude</x:v>
      </x:c>
      <x:c r="J16" t="str">
        <x:f>IF(B16="","Missing invoice",IF(COUNTIF($B$6:B16,B16)&gt;1,"Duplicate","Unique"))</x:f>
        <x:v>Unique</x:v>
      </x:c>
      <x:c r="K16" s="17" t="str">
        <x:f>IF(A16="","Missing ID; ","")&amp;IF(B16="","Missing invoice; ","")&amp;IF(C16="","Invalid date; ","")&amp;IF(D16="Review","Unmapped category; ","")&amp;IF(E16="Missing","Missing supplier; ","")&amp;IF(OR(G16="",G16&lt;=0),"Invalid amount; ","")&amp;IF(H16="Review","Invalid payment state; ","")&amp;IF(J16="Duplicate","Duplicate invoice; ","")</x:f>
      </x:c>
      <x:c r="L16" t="str">
        <x:f>IF(K16="","Ready","Review")</x:f>
        <x:v>Ready</x:v>
      </x:c>
      <x:c r="M16" s="26" t="n">
        <x:f>IF(AND(L16="Ready",I16="Include"),G16,0)</x:f>
        <x:v>0</x:v>
      </x:c>
    </x:row>
    <x:row r="17">
      <x:c r="A17" t="str">
        <x:f>UPPER(TRIM('Raw Actuals'!A17))</x:f>
        <x:v>TXN-27-0012</x:v>
      </x:c>
      <x:c r="B17" t="str">
        <x:f>UPPER(TRIM('Raw Actuals'!B17))</x:f>
        <x:v>INV-27-0012</x:v>
      </x:c>
      <x:c r="C17" s="25" t="n">
        <x:f>IFERROR(IF(OR(MID(TRIM('Raw Actuals'!C17),5,1)="-",MID(TRIM('Raw Actuals'!C17),5,1)="/"),DATE(VALUE(LEFT(TRIM('Raw Actuals'!C17),4)),VALUE(MID(TRIM('Raw Actuals'!C17),6,2)),VALUE(RIGHT(TRIM('Raw Actuals'!C17),2))),IF(LEN(TRIM('Raw Actuals'!C17))=10,DATE(VALUE(RIGHT(TRIM('Raw Actuals'!C17),4)),VALUE(MID(TRIM('Raw Actuals'!C17),4,2)),VALUE(LEFT(TRIM('Raw Actuals'!C17),2))),IF(LEN(TRIM('Raw Actuals'!C17))=8,DATE(2000+VALUE(RIGHT(TRIM('Raw Actuals'!C17),2)),VALUE(MID(TRIM('Raw Actuals'!C17),4,2)),VALUE(LEFT(TRIM('Raw Actuals'!C17),2))),""))),"")</x:f>
        <x:v>46412</x:v>
      </x:c>
      <x:c r="D17" t="str">
        <x:f>IF(OR(UPPER(TRIM('Raw Actuals'!D17))="CATERING",UPPER(TRIM('Raw Actuals'!D17))="WORKSHOP CATERING",UPPER(TRIM('Raw Actuals'!D17))="MEALS",UPPER(TRIM('Raw Actuals'!D17))="CATERNG"),"Catering",IF(OR(UPPER(TRIM('Raw Actuals'!D17))="TRANSPORT",UPPER(TRIM('Raw Actuals'!D17))="LEARNER TRANSPORT",UPPER(TRIM('Raw Actuals'!D17))="TAXIS",UPPER(TRIM('Raw Actuals'!D17))="LEARNER TAXI"),"Transport",IF(OR(UPPER(TRIM('Raw Actuals'!D17))="FACILITATION",UPPER(TRIM('Raw Actuals'!D17))="CHAMPION PAYMENTS",UPPER(TRIM('Raw Actuals'!D17))="STIPENDS",UPPER(TRIM('Raw Actuals'!D17))="FACILITATOR FEE"),"Facilitation",IF(OR(UPPER(TRIM('Raw Actuals'!D17))="MATERIALS",UPPER(TRIM('Raw Actuals'!D17))="WORKSHOP MATERIALS",UPPER(TRIM('Raw Actuals'!D17))="MATERIALS / SUPPLIES"),"Materials",IF(OR(UPPER(TRIM('Raw Actuals'!D17))="PRINTING",UPPER(TRIM('Raw Actuals'!D17))="PRINT &amp; CONSENT",UPPER(TRIM('Raw Actuals'!D17))="PRINTING AND CONSENT"),"Printing",IF(OR(UPPER(TRIM('Raw Actuals'!D17))="TRAINING",UPPER(TRIM('Raw Actuals'!D17))="CHAMPION TRAINING",UPPER(TRIM('Raw Actuals'!D17))="FACILITATOR TRAINING"),"Training",IF(OR(UPPER(TRIM('Raw Actuals'!D17))="SITE VISITS",UPPER(TRIM('Raw Actuals'!D17))="SITE VISIT",UPPER(TRIM('Raw Actuals'!D17))="TRAVEL AND SITE VISITS"),"Site visits",IF(OR(UPPER(TRIM('Raw Actuals'!D17))="EVENTS",UPPER(TRIM('Raw Actuals'!D17))="RECOGNITION EVENT",UPPER(TRIM('Raw Actuals'!D17))="BADGE CEREMONY"),"Events",IF(OR(UPPER(TRIM('Raw Actuals'!D17))="VENUE",UPPER(TRIM('Raw Actuals'!D17))="VENUE HIRE",UPPER(TRIM('Raw Actuals'!D17))="TRAINING VENUE"),"Venue",IF(OR(UPPER(TRIM('Raw Actuals'!D17))="ADMINISTRATION",UPPER(TRIM('Raw Actuals'!D17))="ADMIN",UPPER(TRIM('Raw Actuals'!D17))="OPERATIONAL SUPPORT"),"Administration","Review"))))))))))</x:f>
        <x:v>Printing</x:v>
      </x:c>
      <x:c r="E17" t="str">
        <x:f>IF(TRIM('Raw Actuals'!E17)="","Missing",PROPER(TRIM('Raw Actuals'!E17)))</x:f>
        <x:v>Moya Supplies</x:v>
      </x:c>
      <x:c r="F17" t="str">
        <x:f>TRIM('Raw Actuals'!F17)</x:f>
        <x:v>Printing expense 12</x:v>
      </x:c>
      <x:c r="G17" s="26" t="n">
        <x:v>3566</x:v>
      </x:c>
      <x:c r="H17" t="str">
        <x:f>IF(OR(UPPER(TRIM('Raw Actuals'!H17))="PAID",UPPER(TRIM('Raw Actuals'!H17))="PAID "),"Paid",IF(UPPER(TRIM('Raw Actuals'!H17))="APPROVED","Approved",IF(OR(UPPER(TRIM('Raw Actuals'!H17))="SUBMITTED",UPPER(TRIM('Raw Actuals'!H17))="PENDING"),"Submitted",IF(UPPER(TRIM('Raw Actuals'!H17))="REJECTED","Rejected","Review"))))</x:f>
        <x:v>Paid</x:v>
      </x:c>
      <x:c r="I17" t="str">
        <x:f>IF(OR(H17="Paid",H17="Approved"),"Include","Exclude")</x:f>
        <x:v>Include</x:v>
      </x:c>
      <x:c r="J17" t="str">
        <x:f>IF(B17="","Missing invoice",IF(COUNTIF($B$6:B17,B17)&gt;1,"Duplicate","Unique"))</x:f>
        <x:v>Unique</x:v>
      </x:c>
      <x:c r="K17" s="17" t="str">
        <x:f>IF(A17="","Missing ID; ","")&amp;IF(B17="","Missing invoice; ","")&amp;IF(C17="","Invalid date; ","")&amp;IF(D17="Review","Unmapped category; ","")&amp;IF(E17="Missing","Missing supplier; ","")&amp;IF(OR(G17="",G17&lt;=0),"Invalid amount; ","")&amp;IF(H17="Review","Invalid payment state; ","")&amp;IF(J17="Duplicate","Duplicate invoice; ","")</x:f>
      </x:c>
      <x:c r="L17" t="str">
        <x:f>IF(K17="","Ready","Review")</x:f>
        <x:v>Ready</x:v>
      </x:c>
      <x:c r="M17" s="26" t="n">
        <x:f>IF(AND(L17="Ready",I17="Include"),G17,0)</x:f>
        <x:v>3566</x:v>
      </x:c>
    </x:row>
    <x:row r="18">
      <x:c r="A18" t="str">
        <x:f>UPPER(TRIM('Raw Actuals'!A18))</x:f>
        <x:v>TXN-27-0013</x:v>
      </x:c>
      <x:c r="B18" t="str">
        <x:f>UPPER(TRIM('Raw Actuals'!B18))</x:f>
        <x:v>INV-27-0013</x:v>
      </x:c>
      <x:c r="C18" s="25" t="n">
        <x:f>IFERROR(IF(OR(MID(TRIM('Raw Actuals'!C18),5,1)="-",MID(TRIM('Raw Actuals'!C18),5,1)="/"),DATE(VALUE(LEFT(TRIM('Raw Actuals'!C18),4)),VALUE(MID(TRIM('Raw Actuals'!C18),6,2)),VALUE(RIGHT(TRIM('Raw Actuals'!C18),2))),IF(LEN(TRIM('Raw Actuals'!C18))=10,DATE(VALUE(RIGHT(TRIM('Raw Actuals'!C18),4)),VALUE(MID(TRIM('Raw Actuals'!C18),4,2)),VALUE(LEFT(TRIM('Raw Actuals'!C18),2))),IF(LEN(TRIM('Raw Actuals'!C18))=8,DATE(2000+VALUE(RIGHT(TRIM('Raw Actuals'!C18),2)),VALUE(MID(TRIM('Raw Actuals'!C18),4,2)),VALUE(LEFT(TRIM('Raw Actuals'!C18),2))),""))),"")</x:f>
        <x:v>46547</x:v>
      </x:c>
      <x:c r="D18" t="str">
        <x:f>IF(OR(UPPER(TRIM('Raw Actuals'!D18))="CATERING",UPPER(TRIM('Raw Actuals'!D18))="WORKSHOP CATERING",UPPER(TRIM('Raw Actuals'!D18))="MEALS",UPPER(TRIM('Raw Actuals'!D18))="CATERNG"),"Catering",IF(OR(UPPER(TRIM('Raw Actuals'!D18))="TRANSPORT",UPPER(TRIM('Raw Actuals'!D18))="LEARNER TRANSPORT",UPPER(TRIM('Raw Actuals'!D18))="TAXIS",UPPER(TRIM('Raw Actuals'!D18))="LEARNER TAXI"),"Transport",IF(OR(UPPER(TRIM('Raw Actuals'!D18))="FACILITATION",UPPER(TRIM('Raw Actuals'!D18))="CHAMPION PAYMENTS",UPPER(TRIM('Raw Actuals'!D18))="STIPENDS",UPPER(TRIM('Raw Actuals'!D18))="FACILITATOR FEE"),"Facilitation",IF(OR(UPPER(TRIM('Raw Actuals'!D18))="MATERIALS",UPPER(TRIM('Raw Actuals'!D18))="WORKSHOP MATERIALS",UPPER(TRIM('Raw Actuals'!D18))="MATERIALS / SUPPLIES"),"Materials",IF(OR(UPPER(TRIM('Raw Actuals'!D18))="PRINTING",UPPER(TRIM('Raw Actuals'!D18))="PRINT &amp; CONSENT",UPPER(TRIM('Raw Actuals'!D18))="PRINTING AND CONSENT"),"Printing",IF(OR(UPPER(TRIM('Raw Actuals'!D18))="TRAINING",UPPER(TRIM('Raw Actuals'!D18))="CHAMPION TRAINING",UPPER(TRIM('Raw Actuals'!D18))="FACILITATOR TRAINING"),"Training",IF(OR(UPPER(TRIM('Raw Actuals'!D18))="SITE VISITS",UPPER(TRIM('Raw Actuals'!D18))="SITE VISIT",UPPER(TRIM('Raw Actuals'!D18))="TRAVEL AND SITE VISITS"),"Site visits",IF(OR(UPPER(TRIM('Raw Actuals'!D18))="EVENTS",UPPER(TRIM('Raw Actuals'!D18))="RECOGNITION EVENT",UPPER(TRIM('Raw Actuals'!D18))="BADGE CEREMONY"),"Events",IF(OR(UPPER(TRIM('Raw Actuals'!D18))="VENUE",UPPER(TRIM('Raw Actuals'!D18))="VENUE HIRE",UPPER(TRIM('Raw Actuals'!D18))="TRAINING VENUE"),"Venue",IF(OR(UPPER(TRIM('Raw Actuals'!D18))="ADMINISTRATION",UPPER(TRIM('Raw Actuals'!D18))="ADMIN",UPPER(TRIM('Raw Actuals'!D18))="OPERATIONAL SUPPORT"),"Administration","Review"))))))))))</x:f>
        <x:v>Transport</x:v>
      </x:c>
      <x:c r="E18" t="str">
        <x:f>IF(TRIM('Raw Actuals'!E18)="","Missing",PROPER(TRIM('Raw Actuals'!E18)))</x:f>
        <x:v>Northline Transport</x:v>
      </x:c>
      <x:c r="F18" t="str">
        <x:f>TRIM('Raw Actuals'!F18)</x:f>
        <x:v>Transport expense 13</x:v>
      </x:c>
      <x:c r="G18" s="26" t="n">
        <x:v>4572</x:v>
      </x:c>
      <x:c r="H18" t="str">
        <x:f>IF(OR(UPPER(TRIM('Raw Actuals'!H18))="PAID",UPPER(TRIM('Raw Actuals'!H18))="PAID "),"Paid",IF(UPPER(TRIM('Raw Actuals'!H18))="APPROVED","Approved",IF(OR(UPPER(TRIM('Raw Actuals'!H18))="SUBMITTED",UPPER(TRIM('Raw Actuals'!H18))="PENDING"),"Submitted",IF(UPPER(TRIM('Raw Actuals'!H18))="REJECTED","Rejected","Review"))))</x:f>
        <x:v>Approved</x:v>
      </x:c>
      <x:c r="I18" t="str">
        <x:f>IF(OR(H18="Paid",H18="Approved"),"Include","Exclude")</x:f>
        <x:v>Include</x:v>
      </x:c>
      <x:c r="J18" t="str">
        <x:f>IF(B18="","Missing invoice",IF(COUNTIF($B$6:B18,B18)&gt;1,"Duplicate","Unique"))</x:f>
        <x:v>Unique</x:v>
      </x:c>
      <x:c r="K18" s="17" t="str">
        <x:f>IF(A18="","Missing ID; ","")&amp;IF(B18="","Missing invoice; ","")&amp;IF(C18="","Invalid date; ","")&amp;IF(D18="Review","Unmapped category; ","")&amp;IF(E18="Missing","Missing supplier; ","")&amp;IF(OR(G18="",G18&lt;=0),"Invalid amount; ","")&amp;IF(H18="Review","Invalid payment state; ","")&amp;IF(J18="Duplicate","Duplicate invoice; ","")</x:f>
      </x:c>
      <x:c r="L18" t="str">
        <x:f>IF(K18="","Ready","Review")</x:f>
        <x:v>Ready</x:v>
      </x:c>
      <x:c r="M18" s="26" t="n">
        <x:f>IF(AND(L18="Ready",I18="Include"),G18,0)</x:f>
        <x:v>4572</x:v>
      </x:c>
    </x:row>
    <x:row r="19">
      <x:c r="A19" t="str">
        <x:f>UPPER(TRIM('Raw Actuals'!A19))</x:f>
        <x:v>TXN-27-0014</x:v>
      </x:c>
      <x:c r="B19" t="str">
        <x:f>UPPER(TRIM('Raw Actuals'!B19))</x:f>
        <x:v>INV-27-0014</x:v>
      </x:c>
      <x:c r="C19" s="25" t="n">
        <x:f>IFERROR(IF(OR(MID(TRIM('Raw Actuals'!C19),5,1)="-",MID(TRIM('Raw Actuals'!C19),5,1)="/"),DATE(VALUE(LEFT(TRIM('Raw Actuals'!C19),4)),VALUE(MID(TRIM('Raw Actuals'!C19),6,2)),VALUE(RIGHT(TRIM('Raw Actuals'!C19),2))),IF(LEN(TRIM('Raw Actuals'!C19))=10,DATE(VALUE(RIGHT(TRIM('Raw Actuals'!C19),4)),VALUE(MID(TRIM('Raw Actuals'!C19),4,2)),VALUE(LEFT(TRIM('Raw Actuals'!C19),2))),IF(LEN(TRIM('Raw Actuals'!C19))=8,DATE(2000+VALUE(RIGHT(TRIM('Raw Actuals'!C19),2)),VALUE(MID(TRIM('Raw Actuals'!C19),4,2)),VALUE(LEFT(TRIM('Raw Actuals'!C19),2))),""))),"")</x:f>
        <x:v>46527</x:v>
      </x:c>
      <x:c r="D19" t="str">
        <x:f>IF(OR(UPPER(TRIM('Raw Actuals'!D19))="CATERING",UPPER(TRIM('Raw Actuals'!D19))="WORKSHOP CATERING",UPPER(TRIM('Raw Actuals'!D19))="MEALS",UPPER(TRIM('Raw Actuals'!D19))="CATERNG"),"Catering",IF(OR(UPPER(TRIM('Raw Actuals'!D19))="TRANSPORT",UPPER(TRIM('Raw Actuals'!D19))="LEARNER TRANSPORT",UPPER(TRIM('Raw Actuals'!D19))="TAXIS",UPPER(TRIM('Raw Actuals'!D19))="LEARNER TAXI"),"Transport",IF(OR(UPPER(TRIM('Raw Actuals'!D19))="FACILITATION",UPPER(TRIM('Raw Actuals'!D19))="CHAMPION PAYMENTS",UPPER(TRIM('Raw Actuals'!D19))="STIPENDS",UPPER(TRIM('Raw Actuals'!D19))="FACILITATOR FEE"),"Facilitation",IF(OR(UPPER(TRIM('Raw Actuals'!D19))="MATERIALS",UPPER(TRIM('Raw Actuals'!D19))="WORKSHOP MATERIALS",UPPER(TRIM('Raw Actuals'!D19))="MATERIALS / SUPPLIES"),"Materials",IF(OR(UPPER(TRIM('Raw Actuals'!D19))="PRINTING",UPPER(TRIM('Raw Actuals'!D19))="PRINT &amp; CONSENT",UPPER(TRIM('Raw Actuals'!D19))="PRINTING AND CONSENT"),"Printing",IF(OR(UPPER(TRIM('Raw Actuals'!D19))="TRAINING",UPPER(TRIM('Raw Actuals'!D19))="CHAMPION TRAINING",UPPER(TRIM('Raw Actuals'!D19))="FACILITATOR TRAINING"),"Training",IF(OR(UPPER(TRIM('Raw Actuals'!D19))="SITE VISITS",UPPER(TRIM('Raw Actuals'!D19))="SITE VISIT",UPPER(TRIM('Raw Actuals'!D19))="TRAVEL AND SITE VISITS"),"Site visits",IF(OR(UPPER(TRIM('Raw Actuals'!D19))="EVENTS",UPPER(TRIM('Raw Actuals'!D19))="RECOGNITION EVENT",UPPER(TRIM('Raw Actuals'!D19))="BADGE CEREMONY"),"Events",IF(OR(UPPER(TRIM('Raw Actuals'!D19))="VENUE",UPPER(TRIM('Raw Actuals'!D19))="VENUE HIRE",UPPER(TRIM('Raw Actuals'!D19))="TRAINING VENUE"),"Venue",IF(OR(UPPER(TRIM('Raw Actuals'!D19))="ADMINISTRATION",UPPER(TRIM('Raw Actuals'!D19))="ADMIN",UPPER(TRIM('Raw Actuals'!D19))="OPERATIONAL SUPPORT"),"Administration","Review"))))))))))</x:f>
        <x:v>Venue</x:v>
      </x:c>
      <x:c r="E19" t="str">
        <x:f>IF(TRIM('Raw Actuals'!E19)="","Missing",PROPER(TRIM('Raw Actuals'!E19)))</x:f>
        <x:v>Kopano Catering</x:v>
      </x:c>
      <x:c r="F19" t="str">
        <x:f>TRIM('Raw Actuals'!F19)</x:f>
        <x:v>Venue expense 14</x:v>
      </x:c>
      <x:c r="G19" s="26" t="n">
        <x:v>3533</x:v>
      </x:c>
      <x:c r="H19" t="str">
        <x:f>IF(OR(UPPER(TRIM('Raw Actuals'!H19))="PAID",UPPER(TRIM('Raw Actuals'!H19))="PAID "),"Paid",IF(UPPER(TRIM('Raw Actuals'!H19))="APPROVED","Approved",IF(OR(UPPER(TRIM('Raw Actuals'!H19))="SUBMITTED",UPPER(TRIM('Raw Actuals'!H19))="PENDING"),"Submitted",IF(UPPER(TRIM('Raw Actuals'!H19))="REJECTED","Rejected","Review"))))</x:f>
        <x:v>Submitted</x:v>
      </x:c>
      <x:c r="I19" t="str">
        <x:f>IF(OR(H19="Paid",H19="Approved"),"Include","Exclude")</x:f>
        <x:v>Exclude</x:v>
      </x:c>
      <x:c r="J19" t="str">
        <x:f>IF(B19="","Missing invoice",IF(COUNTIF($B$6:B19,B19)&gt;1,"Duplicate","Unique"))</x:f>
        <x:v>Unique</x:v>
      </x:c>
      <x:c r="K19" s="17" t="str">
        <x:f>IF(A19="","Missing ID; ","")&amp;IF(B19="","Missing invoice; ","")&amp;IF(C19="","Invalid date; ","")&amp;IF(D19="Review","Unmapped category; ","")&amp;IF(E19="Missing","Missing supplier; ","")&amp;IF(OR(G19="",G19&lt;=0),"Invalid amount; ","")&amp;IF(H19="Review","Invalid payment state; ","")&amp;IF(J19="Duplicate","Duplicate invoice; ","")</x:f>
      </x:c>
      <x:c r="L19" t="str">
        <x:f>IF(K19="","Ready","Review")</x:f>
        <x:v>Ready</x:v>
      </x:c>
      <x:c r="M19" s="26" t="n">
        <x:f>IF(AND(L19="Ready",I19="Include"),G19,0)</x:f>
        <x:v>0</x:v>
      </x:c>
    </x:row>
    <x:row r="20">
      <x:c r="A20" t="str">
        <x:f>UPPER(TRIM('Raw Actuals'!A20))</x:f>
        <x:v>TXN-27-0015</x:v>
      </x:c>
      <x:c r="B20" t="str">
        <x:f>UPPER(TRIM('Raw Actuals'!B20))</x:f>
        <x:v>INV-27-0015</x:v>
      </x:c>
      <x:c r="C20" s="25" t="n">
        <x:f>IFERROR(IF(OR(MID(TRIM('Raw Actuals'!C20),5,1)="-",MID(TRIM('Raw Actuals'!C20),5,1)="/"),DATE(VALUE(LEFT(TRIM('Raw Actuals'!C20),4)),VALUE(MID(TRIM('Raw Actuals'!C20),6,2)),VALUE(RIGHT(TRIM('Raw Actuals'!C20),2))),IF(LEN(TRIM('Raw Actuals'!C20))=10,DATE(VALUE(RIGHT(TRIM('Raw Actuals'!C20),4)),VALUE(MID(TRIM('Raw Actuals'!C20),4,2)),VALUE(LEFT(TRIM('Raw Actuals'!C20),2))),IF(LEN(TRIM('Raw Actuals'!C20))=8,DATE(2000+VALUE(RIGHT(TRIM('Raw Actuals'!C20),2)),VALUE(MID(TRIM('Raw Actuals'!C20),4,2)),VALUE(LEFT(TRIM('Raw Actuals'!C20),2))),""))),"")</x:f>
        <x:v>46481</x:v>
      </x:c>
      <x:c r="D20" t="str">
        <x:f>IF(OR(UPPER(TRIM('Raw Actuals'!D20))="CATERING",UPPER(TRIM('Raw Actuals'!D20))="WORKSHOP CATERING",UPPER(TRIM('Raw Actuals'!D20))="MEALS",UPPER(TRIM('Raw Actuals'!D20))="CATERNG"),"Catering",IF(OR(UPPER(TRIM('Raw Actuals'!D20))="TRANSPORT",UPPER(TRIM('Raw Actuals'!D20))="LEARNER TRANSPORT",UPPER(TRIM('Raw Actuals'!D20))="TAXIS",UPPER(TRIM('Raw Actuals'!D20))="LEARNER TAXI"),"Transport",IF(OR(UPPER(TRIM('Raw Actuals'!D20))="FACILITATION",UPPER(TRIM('Raw Actuals'!D20))="CHAMPION PAYMENTS",UPPER(TRIM('Raw Actuals'!D20))="STIPENDS",UPPER(TRIM('Raw Actuals'!D20))="FACILITATOR FEE"),"Facilitation",IF(OR(UPPER(TRIM('Raw Actuals'!D20))="MATERIALS",UPPER(TRIM('Raw Actuals'!D20))="WORKSHOP MATERIALS",UPPER(TRIM('Raw Actuals'!D20))="MATERIALS / SUPPLIES"),"Materials",IF(OR(UPPER(TRIM('Raw Actuals'!D20))="PRINTING",UPPER(TRIM('Raw Actuals'!D20))="PRINT &amp; CONSENT",UPPER(TRIM('Raw Actuals'!D20))="PRINTING AND CONSENT"),"Printing",IF(OR(UPPER(TRIM('Raw Actuals'!D20))="TRAINING",UPPER(TRIM('Raw Actuals'!D20))="CHAMPION TRAINING",UPPER(TRIM('Raw Actuals'!D20))="FACILITATOR TRAINING"),"Training",IF(OR(UPPER(TRIM('Raw Actuals'!D20))="SITE VISITS",UPPER(TRIM('Raw Actuals'!D20))="SITE VISIT",UPPER(TRIM('Raw Actuals'!D20))="TRAVEL AND SITE VISITS"),"Site visits",IF(OR(UPPER(TRIM('Raw Actuals'!D20))="EVENTS",UPPER(TRIM('Raw Actuals'!D20))="RECOGNITION EVENT",UPPER(TRIM('Raw Actuals'!D20))="BADGE CEREMONY"),"Events",IF(OR(UPPER(TRIM('Raw Actuals'!D20))="VENUE",UPPER(TRIM('Raw Actuals'!D20))="VENUE HIRE",UPPER(TRIM('Raw Actuals'!D20))="TRAINING VENUE"),"Venue",IF(OR(UPPER(TRIM('Raw Actuals'!D20))="ADMINISTRATION",UPPER(TRIM('Raw Actuals'!D20))="ADMIN",UPPER(TRIM('Raw Actuals'!D20))="OPERATIONAL SUPPORT"),"Administration","Review"))))))))))</x:f>
        <x:v>Training</x:v>
      </x:c>
      <x:c r="E20" t="str">
        <x:f>IF(TRIM('Raw Actuals'!E20)="","Missing",PROPER(TRIM('Raw Actuals'!E20)))</x:f>
        <x:v>Riverside Venue Hire</x:v>
      </x:c>
      <x:c r="F20" t="str">
        <x:f>TRIM('Raw Actuals'!F20)</x:f>
        <x:v>Training expense 15</x:v>
      </x:c>
      <x:c r="G20" s="26" t="n">
        <x:v>4267</x:v>
      </x:c>
      <x:c r="H20" t="str">
        <x:f>IF(OR(UPPER(TRIM('Raw Actuals'!H20))="PAID",UPPER(TRIM('Raw Actuals'!H20))="PAID "),"Paid",IF(UPPER(TRIM('Raw Actuals'!H20))="APPROVED","Approved",IF(OR(UPPER(TRIM('Raw Actuals'!H20))="SUBMITTED",UPPER(TRIM('Raw Actuals'!H20))="PENDING"),"Submitted",IF(UPPER(TRIM('Raw Actuals'!H20))="REJECTED","Rejected","Review"))))</x:f>
        <x:v>Rejected</x:v>
      </x:c>
      <x:c r="I20" t="str">
        <x:f>IF(OR(H20="Paid",H20="Approved"),"Include","Exclude")</x:f>
        <x:v>Exclude</x:v>
      </x:c>
      <x:c r="J20" t="str">
        <x:f>IF(B20="","Missing invoice",IF(COUNTIF($B$6:B20,B20)&gt;1,"Duplicate","Unique"))</x:f>
        <x:v>Unique</x:v>
      </x:c>
      <x:c r="K20" s="17" t="str">
        <x:f>IF(A20="","Missing ID; ","")&amp;IF(B20="","Missing invoice; ","")&amp;IF(C20="","Invalid date; ","")&amp;IF(D20="Review","Unmapped category; ","")&amp;IF(E20="Missing","Missing supplier; ","")&amp;IF(OR(G20="",G20&lt;=0),"Invalid amount; ","")&amp;IF(H20="Review","Invalid payment state; ","")&amp;IF(J20="Duplicate","Duplicate invoice; ","")</x:f>
      </x:c>
      <x:c r="L20" t="str">
        <x:f>IF(K20="","Ready","Review")</x:f>
        <x:v>Ready</x:v>
      </x:c>
      <x:c r="M20" s="26" t="n">
        <x:f>IF(AND(L20="Ready",I20="Include"),G20,0)</x:f>
        <x:v>0</x:v>
      </x:c>
    </x:row>
    <x:row r="21">
      <x:c r="A21" t="str">
        <x:f>UPPER(TRIM('Raw Actuals'!A21))</x:f>
        <x:v>TXN-27-0016</x:v>
      </x:c>
      <x:c r="B21" t="str">
        <x:f>UPPER(TRIM('Raw Actuals'!B21))</x:f>
        <x:v>INV-27-0016</x:v>
      </x:c>
      <x:c r="C21" s="25" t="n">
        <x:f>IFERROR(IF(OR(MID(TRIM('Raw Actuals'!C21),5,1)="-",MID(TRIM('Raw Actuals'!C21),5,1)="/"),DATE(VALUE(LEFT(TRIM('Raw Actuals'!C21),4)),VALUE(MID(TRIM('Raw Actuals'!C21),6,2)),VALUE(RIGHT(TRIM('Raw Actuals'!C21),2))),IF(LEN(TRIM('Raw Actuals'!C21))=10,DATE(VALUE(RIGHT(TRIM('Raw Actuals'!C21),4)),VALUE(MID(TRIM('Raw Actuals'!C21),4,2)),VALUE(LEFT(TRIM('Raw Actuals'!C21),2))),IF(LEN(TRIM('Raw Actuals'!C21))=8,DATE(2000+VALUE(RIGHT(TRIM('Raw Actuals'!C21),2)),VALUE(MID(TRIM('Raw Actuals'!C21),4,2)),VALUE(LEFT(TRIM('Raw Actuals'!C21),2))),""))),"")</x:f>
        <x:v>46461</x:v>
      </x:c>
      <x:c r="D21" t="str">
        <x:f>IF(OR(UPPER(TRIM('Raw Actuals'!D21))="CATERING",UPPER(TRIM('Raw Actuals'!D21))="WORKSHOP CATERING",UPPER(TRIM('Raw Actuals'!D21))="MEALS",UPPER(TRIM('Raw Actuals'!D21))="CATERNG"),"Catering",IF(OR(UPPER(TRIM('Raw Actuals'!D21))="TRANSPORT",UPPER(TRIM('Raw Actuals'!D21))="LEARNER TRANSPORT",UPPER(TRIM('Raw Actuals'!D21))="TAXIS",UPPER(TRIM('Raw Actuals'!D21))="LEARNER TAXI"),"Transport",IF(OR(UPPER(TRIM('Raw Actuals'!D21))="FACILITATION",UPPER(TRIM('Raw Actuals'!D21))="CHAMPION PAYMENTS",UPPER(TRIM('Raw Actuals'!D21))="STIPENDS",UPPER(TRIM('Raw Actuals'!D21))="FACILITATOR FEE"),"Facilitation",IF(OR(UPPER(TRIM('Raw Actuals'!D21))="MATERIALS",UPPER(TRIM('Raw Actuals'!D21))="WORKSHOP MATERIALS",UPPER(TRIM('Raw Actuals'!D21))="MATERIALS / SUPPLIES"),"Materials",IF(OR(UPPER(TRIM('Raw Actuals'!D21))="PRINTING",UPPER(TRIM('Raw Actuals'!D21))="PRINT &amp; CONSENT",UPPER(TRIM('Raw Actuals'!D21))="PRINTING AND CONSENT"),"Printing",IF(OR(UPPER(TRIM('Raw Actuals'!D21))="TRAINING",UPPER(TRIM('Raw Actuals'!D21))="CHAMPION TRAINING",UPPER(TRIM('Raw Actuals'!D21))="FACILITATOR TRAINING"),"Training",IF(OR(UPPER(TRIM('Raw Actuals'!D21))="SITE VISITS",UPPER(TRIM('Raw Actuals'!D21))="SITE VISIT",UPPER(TRIM('Raw Actuals'!D21))="TRAVEL AND SITE VISITS"),"Site visits",IF(OR(UPPER(TRIM('Raw Actuals'!D21))="EVENTS",UPPER(TRIM('Raw Actuals'!D21))="RECOGNITION EVENT",UPPER(TRIM('Raw Actuals'!D21))="BADGE CEREMONY"),"Events",IF(OR(UPPER(TRIM('Raw Actuals'!D21))="VENUE",UPPER(TRIM('Raw Actuals'!D21))="VENUE HIRE",UPPER(TRIM('Raw Actuals'!D21))="TRAINING VENUE"),"Venue",IF(OR(UPPER(TRIM('Raw Actuals'!D21))="ADMINISTRATION",UPPER(TRIM('Raw Actuals'!D21))="ADMIN",UPPER(TRIM('Raw Actuals'!D21))="OPERATIONAL SUPPORT"),"Administration","Review"))))))))))</x:f>
        <x:v>Facilitation</x:v>
      </x:c>
      <x:c r="E21" t="str">
        <x:f>IF(TRIM('Raw Actuals'!E21)="","Missing",PROPER(TRIM('Raw Actuals'!E21)))</x:f>
        <x:v>Bright Print Studio</x:v>
      </x:c>
      <x:c r="F21" t="str">
        <x:f>TRIM('Raw Actuals'!F21)</x:f>
        <x:v>Facilitation expense 16</x:v>
      </x:c>
      <x:c r="G21" s="26" t="n">
        <x:v>5140</x:v>
      </x:c>
      <x:c r="H21" t="str">
        <x:f>IF(OR(UPPER(TRIM('Raw Actuals'!H21))="PAID",UPPER(TRIM('Raw Actuals'!H21))="PAID "),"Paid",IF(UPPER(TRIM('Raw Actuals'!H21))="APPROVED","Approved",IF(OR(UPPER(TRIM('Raw Actuals'!H21))="SUBMITTED",UPPER(TRIM('Raw Actuals'!H21))="PENDING"),"Submitted",IF(UPPER(TRIM('Raw Actuals'!H21))="REJECTED","Rejected","Review"))))</x:f>
        <x:v>Paid</x:v>
      </x:c>
      <x:c r="I21" t="str">
        <x:f>IF(OR(H21="Paid",H21="Approved"),"Include","Exclude")</x:f>
        <x:v>Include</x:v>
      </x:c>
      <x:c r="J21" t="str">
        <x:f>IF(B21="","Missing invoice",IF(COUNTIF($B$6:B21,B21)&gt;1,"Duplicate","Unique"))</x:f>
        <x:v>Unique</x:v>
      </x:c>
      <x:c r="K21" s="17" t="str">
        <x:f>IF(A21="","Missing ID; ","")&amp;IF(B21="","Missing invoice; ","")&amp;IF(C21="","Invalid date; ","")&amp;IF(D21="Review","Unmapped category; ","")&amp;IF(E21="Missing","Missing supplier; ","")&amp;IF(OR(G21="",G21&lt;=0),"Invalid amount; ","")&amp;IF(H21="Review","Invalid payment state; ","")&amp;IF(J21="Duplicate","Duplicate invoice; ","")</x:f>
      </x:c>
      <x:c r="L21" t="str">
        <x:f>IF(K21="","Ready","Review")</x:f>
        <x:v>Ready</x:v>
      </x:c>
      <x:c r="M21" s="26" t="n">
        <x:f>IF(AND(L21="Ready",I21="Include"),G21,0)</x:f>
        <x:v>5140</x:v>
      </x:c>
    </x:row>
    <x:row r="22">
      <x:c r="A22" t="str">
        <x:f>UPPER(TRIM('Raw Actuals'!A22))</x:f>
        <x:v>TXN-27-0017</x:v>
      </x:c>
      <x:c r="B22" t="str">
        <x:f>UPPER(TRIM('Raw Actuals'!B22))</x:f>
        <x:v>INV-27-0017</x:v>
      </x:c>
      <x:c r="C22" s="25" t="n">
        <x:f>IFERROR(IF(OR(MID(TRIM('Raw Actuals'!C22),5,1)="-",MID(TRIM('Raw Actuals'!C22),5,1)="/"),DATE(VALUE(LEFT(TRIM('Raw Actuals'!C22),4)),VALUE(MID(TRIM('Raw Actuals'!C22),6,2)),VALUE(RIGHT(TRIM('Raw Actuals'!C22),2))),IF(LEN(TRIM('Raw Actuals'!C22))=10,DATE(VALUE(RIGHT(TRIM('Raw Actuals'!C22),4)),VALUE(MID(TRIM('Raw Actuals'!C22),4,2)),VALUE(LEFT(TRIM('Raw Actuals'!C22),2))),IF(LEN(TRIM('Raw Actuals'!C22))=8,DATE(2000+VALUE(RIGHT(TRIM('Raw Actuals'!C22),2)),VALUE(MID(TRIM('Raw Actuals'!C22),4,2)),VALUE(LEFT(TRIM('Raw Actuals'!C22),2))),""))),"")</x:f>
        <x:v>46444</x:v>
      </x:c>
      <x:c r="D22" t="str">
        <x:f>IF(OR(UPPER(TRIM('Raw Actuals'!D22))="CATERING",UPPER(TRIM('Raw Actuals'!D22))="WORKSHOP CATERING",UPPER(TRIM('Raw Actuals'!D22))="MEALS",UPPER(TRIM('Raw Actuals'!D22))="CATERNG"),"Catering",IF(OR(UPPER(TRIM('Raw Actuals'!D22))="TRANSPORT",UPPER(TRIM('Raw Actuals'!D22))="LEARNER TRANSPORT",UPPER(TRIM('Raw Actuals'!D22))="TAXIS",UPPER(TRIM('Raw Actuals'!D22))="LEARNER TAXI"),"Transport",IF(OR(UPPER(TRIM('Raw Actuals'!D22))="FACILITATION",UPPER(TRIM('Raw Actuals'!D22))="CHAMPION PAYMENTS",UPPER(TRIM('Raw Actuals'!D22))="STIPENDS",UPPER(TRIM('Raw Actuals'!D22))="FACILITATOR FEE"),"Facilitation",IF(OR(UPPER(TRIM('Raw Actuals'!D22))="MATERIALS",UPPER(TRIM('Raw Actuals'!D22))="WORKSHOP MATERIALS",UPPER(TRIM('Raw Actuals'!D22))="MATERIALS / SUPPLIES"),"Materials",IF(OR(UPPER(TRIM('Raw Actuals'!D22))="PRINTING",UPPER(TRIM('Raw Actuals'!D22))="PRINT &amp; CONSENT",UPPER(TRIM('Raw Actuals'!D22))="PRINTING AND CONSENT"),"Printing",IF(OR(UPPER(TRIM('Raw Actuals'!D22))="TRAINING",UPPER(TRIM('Raw Actuals'!D22))="CHAMPION TRAINING",UPPER(TRIM('Raw Actuals'!D22))="FACILITATOR TRAINING"),"Training",IF(OR(UPPER(TRIM('Raw Actuals'!D22))="SITE VISITS",UPPER(TRIM('Raw Actuals'!D22))="SITE VISIT",UPPER(TRIM('Raw Actuals'!D22))="TRAVEL AND SITE VISITS"),"Site visits",IF(OR(UPPER(TRIM('Raw Actuals'!D22))="EVENTS",UPPER(TRIM('Raw Actuals'!D22))="RECOGNITION EVENT",UPPER(TRIM('Raw Actuals'!D22))="BADGE CEREMONY"),"Events",IF(OR(UPPER(TRIM('Raw Actuals'!D22))="VENUE",UPPER(TRIM('Raw Actuals'!D22))="VENUE HIRE",UPPER(TRIM('Raw Actuals'!D22))="TRAINING VENUE"),"Venue",IF(OR(UPPER(TRIM('Raw Actuals'!D22))="ADMINISTRATION",UPPER(TRIM('Raw Actuals'!D22))="ADMIN",UPPER(TRIM('Raw Actuals'!D22))="OPERATIONAL SUPPORT"),"Administration","Review"))))))))))</x:f>
        <x:v>Administration</x:v>
      </x:c>
      <x:c r="E22" t="str">
        <x:f>IF(TRIM('Raw Actuals'!E22)="","Missing",PROPER(TRIM('Raw Actuals'!E22)))</x:f>
        <x:v>Thuto Facilitation</x:v>
      </x:c>
      <x:c r="F22" t="str">
        <x:f>TRIM('Raw Actuals'!F22)</x:f>
        <x:v>Administration expense 17</x:v>
      </x:c>
      <x:c r="G22" s="26" t="n">
        <x:v>5835</x:v>
      </x:c>
      <x:c r="H22" t="str">
        <x:f>IF(OR(UPPER(TRIM('Raw Actuals'!H22))="PAID",UPPER(TRIM('Raw Actuals'!H22))="PAID "),"Paid",IF(UPPER(TRIM('Raw Actuals'!H22))="APPROVED","Approved",IF(OR(UPPER(TRIM('Raw Actuals'!H22))="SUBMITTED",UPPER(TRIM('Raw Actuals'!H22))="PENDING"),"Submitted",IF(UPPER(TRIM('Raw Actuals'!H22))="REJECTED","Rejected","Review"))))</x:f>
        <x:v>Paid</x:v>
      </x:c>
      <x:c r="I22" t="str">
        <x:f>IF(OR(H22="Paid",H22="Approved"),"Include","Exclude")</x:f>
        <x:v>Include</x:v>
      </x:c>
      <x:c r="J22" t="str">
        <x:f>IF(B22="","Missing invoice",IF(COUNTIF($B$6:B22,B22)&gt;1,"Duplicate","Unique"))</x:f>
        <x:v>Unique</x:v>
      </x:c>
      <x:c r="K22" s="17" t="str">
        <x:f>IF(A22="","Missing ID; ","")&amp;IF(B22="","Missing invoice; ","")&amp;IF(C22="","Invalid date; ","")&amp;IF(D22="Review","Unmapped category; ","")&amp;IF(E22="Missing","Missing supplier; ","")&amp;IF(OR(G22="",G22&lt;=0),"Invalid amount; ","")&amp;IF(H22="Review","Invalid payment state; ","")&amp;IF(J22="Duplicate","Duplicate invoice; ","")</x:f>
      </x:c>
      <x:c r="L22" t="str">
        <x:f>IF(K22="","Ready","Review")</x:f>
        <x:v>Ready</x:v>
      </x:c>
      <x:c r="M22" s="26" t="n">
        <x:f>IF(AND(L22="Ready",I22="Include"),G22,0)</x:f>
        <x:v>5835</x:v>
      </x:c>
    </x:row>
    <x:row r="23">
      <x:c r="A23" t="str">
        <x:f>UPPER(TRIM('Raw Actuals'!A23))</x:f>
        <x:v>TXN-27-0018</x:v>
      </x:c>
      <x:c r="B23" t="str">
        <x:f>UPPER(TRIM('Raw Actuals'!B23))</x:f>
        <x:v>INV-27-0018</x:v>
      </x:c>
      <x:c r="C23" s="25" t="n">
        <x:f>IFERROR(IF(OR(MID(TRIM('Raw Actuals'!C23),5,1)="-",MID(TRIM('Raw Actuals'!C23),5,1)="/"),DATE(VALUE(LEFT(TRIM('Raw Actuals'!C23),4)),VALUE(MID(TRIM('Raw Actuals'!C23),6,2)),VALUE(RIGHT(TRIM('Raw Actuals'!C23),2))),IF(LEN(TRIM('Raw Actuals'!C23))=10,DATE(VALUE(RIGHT(TRIM('Raw Actuals'!C23),4)),VALUE(MID(TRIM('Raw Actuals'!C23),4,2)),VALUE(LEFT(TRIM('Raw Actuals'!C23),2))),IF(LEN(TRIM('Raw Actuals'!C23))=8,DATE(2000+VALUE(RIGHT(TRIM('Raw Actuals'!C23),2)),VALUE(MID(TRIM('Raw Actuals'!C23),4,2)),VALUE(LEFT(TRIM('Raw Actuals'!C23),2))),""))),"")</x:f>
        <x:v>46397</x:v>
      </x:c>
      <x:c r="D23" t="str">
        <x:f>IF(OR(UPPER(TRIM('Raw Actuals'!D23))="CATERING",UPPER(TRIM('Raw Actuals'!D23))="WORKSHOP CATERING",UPPER(TRIM('Raw Actuals'!D23))="MEALS",UPPER(TRIM('Raw Actuals'!D23))="CATERNG"),"Catering",IF(OR(UPPER(TRIM('Raw Actuals'!D23))="TRANSPORT",UPPER(TRIM('Raw Actuals'!D23))="LEARNER TRANSPORT",UPPER(TRIM('Raw Actuals'!D23))="TAXIS",UPPER(TRIM('Raw Actuals'!D23))="LEARNER TAXI"),"Transport",IF(OR(UPPER(TRIM('Raw Actuals'!D23))="FACILITATION",UPPER(TRIM('Raw Actuals'!D23))="CHAMPION PAYMENTS",UPPER(TRIM('Raw Actuals'!D23))="STIPENDS",UPPER(TRIM('Raw Actuals'!D23))="FACILITATOR FEE"),"Facilitation",IF(OR(UPPER(TRIM('Raw Actuals'!D23))="MATERIALS",UPPER(TRIM('Raw Actuals'!D23))="WORKSHOP MATERIALS",UPPER(TRIM('Raw Actuals'!D23))="MATERIALS / SUPPLIES"),"Materials",IF(OR(UPPER(TRIM('Raw Actuals'!D23))="PRINTING",UPPER(TRIM('Raw Actuals'!D23))="PRINT &amp; CONSENT",UPPER(TRIM('Raw Actuals'!D23))="PRINTING AND CONSENT"),"Printing",IF(OR(UPPER(TRIM('Raw Actuals'!D23))="TRAINING",UPPER(TRIM('Raw Actuals'!D23))="CHAMPION TRAINING",UPPER(TRIM('Raw Actuals'!D23))="FACILITATOR TRAINING"),"Training",IF(OR(UPPER(TRIM('Raw Actuals'!D23))="SITE VISITS",UPPER(TRIM('Raw Actuals'!D23))="SITE VISIT",UPPER(TRIM('Raw Actuals'!D23))="TRAVEL AND SITE VISITS"),"Site visits",IF(OR(UPPER(TRIM('Raw Actuals'!D23))="EVENTS",UPPER(TRIM('Raw Actuals'!D23))="RECOGNITION EVENT",UPPER(TRIM('Raw Actuals'!D23))="BADGE CEREMONY"),"Events",IF(OR(UPPER(TRIM('Raw Actuals'!D23))="VENUE",UPPER(TRIM('Raw Actuals'!D23))="VENUE HIRE",UPPER(TRIM('Raw Actuals'!D23))="TRAINING VENUE"),"Venue",IF(OR(UPPER(TRIM('Raw Actuals'!D23))="ADMINISTRATION",UPPER(TRIM('Raw Actuals'!D23))="ADMIN",UPPER(TRIM('Raw Actuals'!D23))="OPERATIONAL SUPPORT"),"Administration","Review"))))))))))</x:f>
        <x:v>Site visits</x:v>
      </x:c>
      <x:c r="E23" t="str">
        <x:f>IF(TRIM('Raw Actuals'!E23)="","Missing",PROPER(TRIM('Raw Actuals'!E23)))</x:f>
        <x:v>Moya Supplies</x:v>
      </x:c>
      <x:c r="F23" t="str">
        <x:f>TRIM('Raw Actuals'!F23)</x:f>
        <x:v>Site visits expense 18</x:v>
      </x:c>
      <x:c r="G23" s="26" t="n">
        <x:v>5135</x:v>
      </x:c>
      <x:c r="H23" t="str">
        <x:f>IF(OR(UPPER(TRIM('Raw Actuals'!H23))="PAID",UPPER(TRIM('Raw Actuals'!H23))="PAID "),"Paid",IF(UPPER(TRIM('Raw Actuals'!H23))="APPROVED","Approved",IF(OR(UPPER(TRIM('Raw Actuals'!H23))="SUBMITTED",UPPER(TRIM('Raw Actuals'!H23))="PENDING"),"Submitted",IF(UPPER(TRIM('Raw Actuals'!H23))="REJECTED","Rejected","Review"))))</x:f>
        <x:v>Submitted</x:v>
      </x:c>
      <x:c r="I23" t="str">
        <x:f>IF(OR(H23="Paid",H23="Approved"),"Include","Exclude")</x:f>
        <x:v>Exclude</x:v>
      </x:c>
      <x:c r="J23" t="str">
        <x:f>IF(B23="","Missing invoice",IF(COUNTIF($B$6:B23,B23)&gt;1,"Duplicate","Unique"))</x:f>
        <x:v>Unique</x:v>
      </x:c>
      <x:c r="K23" s="17" t="str">
        <x:f>IF(A23="","Missing ID; ","")&amp;IF(B23="","Missing invoice; ","")&amp;IF(C23="","Invalid date; ","")&amp;IF(D23="Review","Unmapped category; ","")&amp;IF(E23="Missing","Missing supplier; ","")&amp;IF(OR(G23="",G23&lt;=0),"Invalid amount; ","")&amp;IF(H23="Review","Invalid payment state; ","")&amp;IF(J23="Duplicate","Duplicate invoice; ","")</x:f>
      </x:c>
      <x:c r="L23" t="str">
        <x:f>IF(K23="","Ready","Review")</x:f>
        <x:v>Ready</x:v>
      </x:c>
      <x:c r="M23" s="26" t="n">
        <x:f>IF(AND(L23="Ready",I23="Include"),G23,0)</x:f>
        <x:v>0</x:v>
      </x:c>
    </x:row>
    <x:row r="24">
      <x:c r="A24" t="str">
        <x:f>UPPER(TRIM('Raw Actuals'!A24))</x:f>
        <x:v>TXN-27-0019</x:v>
      </x:c>
      <x:c r="B24" t="str">
        <x:f>UPPER(TRIM('Raw Actuals'!B24))</x:f>
        <x:v>INV-27-0019</x:v>
      </x:c>
      <x:c r="C24" s="25" t="n">
        <x:f>IFERROR(IF(OR(MID(TRIM('Raw Actuals'!C24),5,1)="-",MID(TRIM('Raw Actuals'!C24),5,1)="/"),DATE(VALUE(LEFT(TRIM('Raw Actuals'!C24),4)),VALUE(MID(TRIM('Raw Actuals'!C24),6,2)),VALUE(RIGHT(TRIM('Raw Actuals'!C24),2))),IF(LEN(TRIM('Raw Actuals'!C24))=10,DATE(VALUE(RIGHT(TRIM('Raw Actuals'!C24),4)),VALUE(MID(TRIM('Raw Actuals'!C24),4,2)),VALUE(LEFT(TRIM('Raw Actuals'!C24),2))),IF(LEN(TRIM('Raw Actuals'!C24))=8,DATE(2000+VALUE(RIGHT(TRIM('Raw Actuals'!C24),2)),VALUE(MID(TRIM('Raw Actuals'!C24),4,2)),VALUE(LEFT(TRIM('Raw Actuals'!C24),2))),""))),"")</x:f>
        <x:v>46559</x:v>
      </x:c>
      <x:c r="D24" t="str">
        <x:f>IF(OR(UPPER(TRIM('Raw Actuals'!D24))="CATERING",UPPER(TRIM('Raw Actuals'!D24))="WORKSHOP CATERING",UPPER(TRIM('Raw Actuals'!D24))="MEALS",UPPER(TRIM('Raw Actuals'!D24))="CATERNG"),"Catering",IF(OR(UPPER(TRIM('Raw Actuals'!D24))="TRANSPORT",UPPER(TRIM('Raw Actuals'!D24))="LEARNER TRANSPORT",UPPER(TRIM('Raw Actuals'!D24))="TAXIS",UPPER(TRIM('Raw Actuals'!D24))="LEARNER TAXI"),"Transport",IF(OR(UPPER(TRIM('Raw Actuals'!D24))="FACILITATION",UPPER(TRIM('Raw Actuals'!D24))="CHAMPION PAYMENTS",UPPER(TRIM('Raw Actuals'!D24))="STIPENDS",UPPER(TRIM('Raw Actuals'!D24))="FACILITATOR FEE"),"Facilitation",IF(OR(UPPER(TRIM('Raw Actuals'!D24))="MATERIALS",UPPER(TRIM('Raw Actuals'!D24))="WORKSHOP MATERIALS",UPPER(TRIM('Raw Actuals'!D24))="MATERIALS / SUPPLIES"),"Materials",IF(OR(UPPER(TRIM('Raw Actuals'!D24))="PRINTING",UPPER(TRIM('Raw Actuals'!D24))="PRINT &amp; CONSENT",UPPER(TRIM('Raw Actuals'!D24))="PRINTING AND CONSENT"),"Printing",IF(OR(UPPER(TRIM('Raw Actuals'!D24))="TRAINING",UPPER(TRIM('Raw Actuals'!D24))="CHAMPION TRAINING",UPPER(TRIM('Raw Actuals'!D24))="FACILITATOR TRAINING"),"Training",IF(OR(UPPER(TRIM('Raw Actuals'!D24))="SITE VISITS",UPPER(TRIM('Raw Actuals'!D24))="SITE VISIT",UPPER(TRIM('Raw Actuals'!D24))="TRAVEL AND SITE VISITS"),"Site visits",IF(OR(UPPER(TRIM('Raw Actuals'!D24))="EVENTS",UPPER(TRIM('Raw Actuals'!D24))="RECOGNITION EVENT",UPPER(TRIM('Raw Actuals'!D24))="BADGE CEREMONY"),"Events",IF(OR(UPPER(TRIM('Raw Actuals'!D24))="VENUE",UPPER(TRIM('Raw Actuals'!D24))="VENUE HIRE",UPPER(TRIM('Raw Actuals'!D24))="TRAINING VENUE"),"Venue",IF(OR(UPPER(TRIM('Raw Actuals'!D24))="ADMINISTRATION",UPPER(TRIM('Raw Actuals'!D24))="ADMIN",UPPER(TRIM('Raw Actuals'!D24))="OPERATIONAL SUPPORT"),"Administration","Review"))))))))))</x:f>
        <x:v>Materials</x:v>
      </x:c>
      <x:c r="E24" t="str">
        <x:f>IF(TRIM('Raw Actuals'!E24)="","Missing",PROPER(TRIM('Raw Actuals'!E24)))</x:f>
        <x:v>Northline Transport</x:v>
      </x:c>
      <x:c r="F24" t="str">
        <x:f>TRIM('Raw Actuals'!F24)</x:f>
        <x:v>Materials expense 19</x:v>
      </x:c>
      <x:c r="G24" s="26"/>
      <x:c r="H24" t="str">
        <x:f>IF(OR(UPPER(TRIM('Raw Actuals'!H24))="PAID",UPPER(TRIM('Raw Actuals'!H24))="PAID "),"Paid",IF(UPPER(TRIM('Raw Actuals'!H24))="APPROVED","Approved",IF(OR(UPPER(TRIM('Raw Actuals'!H24))="SUBMITTED",UPPER(TRIM('Raw Actuals'!H24))="PENDING"),"Submitted",IF(UPPER(TRIM('Raw Actuals'!H24))="REJECTED","Rejected","Review"))))</x:f>
        <x:v>Rejected</x:v>
      </x:c>
      <x:c r="I24" t="str">
        <x:f>IF(OR(H24="Paid",H24="Approved"),"Include","Exclude")</x:f>
        <x:v>Exclude</x:v>
      </x:c>
      <x:c r="J24" t="str">
        <x:f>IF(B24="","Missing invoice",IF(COUNTIF($B$6:B24,B24)&gt;1,"Duplicate","Unique"))</x:f>
        <x:v>Unique</x:v>
      </x:c>
      <x:c r="K24" s="17" t="str">
        <x:f>IF(A24="","Missing ID; ","")&amp;IF(B24="","Missing invoice; ","")&amp;IF(C24="","Invalid date; ","")&amp;IF(D24="Review","Unmapped category; ","")&amp;IF(E24="Missing","Missing supplier; ","")&amp;IF(OR(G24="",G24&lt;=0),"Invalid amount; ","")&amp;IF(H24="Review","Invalid payment state; ","")&amp;IF(J24="Duplicate","Duplicate invoice; ","")</x:f>
        <x:v>Invalid amount; </x:v>
      </x:c>
      <x:c r="L24" t="str">
        <x:f>IF(K24="","Ready","Review")</x:f>
        <x:v>Review</x:v>
      </x:c>
      <x:c r="M24" s="26" t="n">
        <x:f>IF(AND(L24="Ready",I24="Include"),G24,0)</x:f>
        <x:v>0</x:v>
      </x:c>
    </x:row>
    <x:row r="25">
      <x:c r="A25" t="str">
        <x:f>UPPER(TRIM('Raw Actuals'!A25))</x:f>
        <x:v>TXN-27-0020</x:v>
      </x:c>
      <x:c r="B25" t="str">
        <x:f>UPPER(TRIM('Raw Actuals'!B25))</x:f>
        <x:v>INV-27-0020</x:v>
      </x:c>
      <x:c r="C25" s="25" t="n">
        <x:f>IFERROR(IF(OR(MID(TRIM('Raw Actuals'!C25),5,1)="-",MID(TRIM('Raw Actuals'!C25),5,1)="/"),DATE(VALUE(LEFT(TRIM('Raw Actuals'!C25),4)),VALUE(MID(TRIM('Raw Actuals'!C25),6,2)),VALUE(RIGHT(TRIM('Raw Actuals'!C25),2))),IF(LEN(TRIM('Raw Actuals'!C25))=10,DATE(VALUE(RIGHT(TRIM('Raw Actuals'!C25),4)),VALUE(MID(TRIM('Raw Actuals'!C25),4,2)),VALUE(LEFT(TRIM('Raw Actuals'!C25),2))),IF(LEN(TRIM('Raw Actuals'!C25))=8,DATE(2000+VALUE(RIGHT(TRIM('Raw Actuals'!C25),2)),VALUE(MID(TRIM('Raw Actuals'!C25),4,2)),VALUE(LEFT(TRIM('Raw Actuals'!C25),2))),""))),"")</x:f>
        <x:v>46512</x:v>
      </x:c>
      <x:c r="D25" t="str">
        <x:f>IF(OR(UPPER(TRIM('Raw Actuals'!D25))="CATERING",UPPER(TRIM('Raw Actuals'!D25))="WORKSHOP CATERING",UPPER(TRIM('Raw Actuals'!D25))="MEALS",UPPER(TRIM('Raw Actuals'!D25))="CATERNG"),"Catering",IF(OR(UPPER(TRIM('Raw Actuals'!D25))="TRANSPORT",UPPER(TRIM('Raw Actuals'!D25))="LEARNER TRANSPORT",UPPER(TRIM('Raw Actuals'!D25))="TAXIS",UPPER(TRIM('Raw Actuals'!D25))="LEARNER TAXI"),"Transport",IF(OR(UPPER(TRIM('Raw Actuals'!D25))="FACILITATION",UPPER(TRIM('Raw Actuals'!D25))="CHAMPION PAYMENTS",UPPER(TRIM('Raw Actuals'!D25))="STIPENDS",UPPER(TRIM('Raw Actuals'!D25))="FACILITATOR FEE"),"Facilitation",IF(OR(UPPER(TRIM('Raw Actuals'!D25))="MATERIALS",UPPER(TRIM('Raw Actuals'!D25))="WORKSHOP MATERIALS",UPPER(TRIM('Raw Actuals'!D25))="MATERIALS / SUPPLIES"),"Materials",IF(OR(UPPER(TRIM('Raw Actuals'!D25))="PRINTING",UPPER(TRIM('Raw Actuals'!D25))="PRINT &amp; CONSENT",UPPER(TRIM('Raw Actuals'!D25))="PRINTING AND CONSENT"),"Printing",IF(OR(UPPER(TRIM('Raw Actuals'!D25))="TRAINING",UPPER(TRIM('Raw Actuals'!D25))="CHAMPION TRAINING",UPPER(TRIM('Raw Actuals'!D25))="FACILITATOR TRAINING"),"Training",IF(OR(UPPER(TRIM('Raw Actuals'!D25))="SITE VISITS",UPPER(TRIM('Raw Actuals'!D25))="SITE VISIT",UPPER(TRIM('Raw Actuals'!D25))="TRAVEL AND SITE VISITS"),"Site visits",IF(OR(UPPER(TRIM('Raw Actuals'!D25))="EVENTS",UPPER(TRIM('Raw Actuals'!D25))="RECOGNITION EVENT",UPPER(TRIM('Raw Actuals'!D25))="BADGE CEREMONY"),"Events",IF(OR(UPPER(TRIM('Raw Actuals'!D25))="VENUE",UPPER(TRIM('Raw Actuals'!D25))="VENUE HIRE",UPPER(TRIM('Raw Actuals'!D25))="TRAINING VENUE"),"Venue",IF(OR(UPPER(TRIM('Raw Actuals'!D25))="ADMINISTRATION",UPPER(TRIM('Raw Actuals'!D25))="ADMIN",UPPER(TRIM('Raw Actuals'!D25))="OPERATIONAL SUPPORT"),"Administration","Review"))))))))))</x:f>
        <x:v>Catering</x:v>
      </x:c>
      <x:c r="E25" t="str">
        <x:f>IF(TRIM('Raw Actuals'!E25)="","Missing",PROPER(TRIM('Raw Actuals'!E25)))</x:f>
        <x:v>Kopano Catering</x:v>
      </x:c>
      <x:c r="F25" t="str">
        <x:f>TRIM('Raw Actuals'!F25)</x:f>
        <x:v>Catering expense 20</x:v>
      </x:c>
      <x:c r="G25" s="26" t="n">
        <x:v>4752</x:v>
      </x:c>
      <x:c r="H25" t="str">
        <x:f>IF(OR(UPPER(TRIM('Raw Actuals'!H25))="PAID",UPPER(TRIM('Raw Actuals'!H25))="PAID "),"Paid",IF(UPPER(TRIM('Raw Actuals'!H25))="APPROVED","Approved",IF(OR(UPPER(TRIM('Raw Actuals'!H25))="SUBMITTED",UPPER(TRIM('Raw Actuals'!H25))="PENDING"),"Submitted",IF(UPPER(TRIM('Raw Actuals'!H25))="REJECTED","Rejected","Review"))))</x:f>
        <x:v>Paid</x:v>
      </x:c>
      <x:c r="I25" t="str">
        <x:f>IF(OR(H25="Paid",H25="Approved"),"Include","Exclude")</x:f>
        <x:v>Include</x:v>
      </x:c>
      <x:c r="J25" t="str">
        <x:f>IF(B25="","Missing invoice",IF(COUNTIF($B$6:B25,B25)&gt;1,"Duplicate","Unique"))</x:f>
        <x:v>Unique</x:v>
      </x:c>
      <x:c r="K25" s="17" t="str">
        <x:f>IF(A25="","Missing ID; ","")&amp;IF(B25="","Missing invoice; ","")&amp;IF(C25="","Invalid date; ","")&amp;IF(D25="Review","Unmapped category; ","")&amp;IF(E25="Missing","Missing supplier; ","")&amp;IF(OR(G25="",G25&lt;=0),"Invalid amount; ","")&amp;IF(H25="Review","Invalid payment state; ","")&amp;IF(J25="Duplicate","Duplicate invoice; ","")</x:f>
      </x:c>
      <x:c r="L25" t="str">
        <x:f>IF(K25="","Ready","Review")</x:f>
        <x:v>Ready</x:v>
      </x:c>
      <x:c r="M25" s="26" t="n">
        <x:f>IF(AND(L25="Ready",I25="Include"),G25,0)</x:f>
        <x:v>4752</x:v>
      </x:c>
    </x:row>
    <x:row r="26">
      <x:c r="A26" t="str">
        <x:f>UPPER(TRIM('Raw Actuals'!A26))</x:f>
        <x:v>TXN-27-0021</x:v>
      </x:c>
      <x:c r="B26" t="str">
        <x:f>UPPER(TRIM('Raw Actuals'!B26))</x:f>
        <x:v>INV-27-0021</x:v>
      </x:c>
      <x:c r="C26" s="25" t="n">
        <x:f>IFERROR(IF(OR(MID(TRIM('Raw Actuals'!C26),5,1)="-",MID(TRIM('Raw Actuals'!C26),5,1)="/"),DATE(VALUE(LEFT(TRIM('Raw Actuals'!C26),4)),VALUE(MID(TRIM('Raw Actuals'!C26),6,2)),VALUE(RIGHT(TRIM('Raw Actuals'!C26),2))),IF(LEN(TRIM('Raw Actuals'!C26))=10,DATE(VALUE(RIGHT(TRIM('Raw Actuals'!C26),4)),VALUE(MID(TRIM('Raw Actuals'!C26),4,2)),VALUE(LEFT(TRIM('Raw Actuals'!C26),2))),IF(LEN(TRIM('Raw Actuals'!C26))=8,DATE(2000+VALUE(RIGHT(TRIM('Raw Actuals'!C26),2)),VALUE(MID(TRIM('Raw Actuals'!C26),4,2)),VALUE(LEFT(TRIM('Raw Actuals'!C26),2))),""))),"")</x:f>
        <x:v>46493</x:v>
      </x:c>
      <x:c r="D26" t="str">
        <x:f>IF(OR(UPPER(TRIM('Raw Actuals'!D26))="CATERING",UPPER(TRIM('Raw Actuals'!D26))="WORKSHOP CATERING",UPPER(TRIM('Raw Actuals'!D26))="MEALS",UPPER(TRIM('Raw Actuals'!D26))="CATERNG"),"Catering",IF(OR(UPPER(TRIM('Raw Actuals'!D26))="TRANSPORT",UPPER(TRIM('Raw Actuals'!D26))="LEARNER TRANSPORT",UPPER(TRIM('Raw Actuals'!D26))="TAXIS",UPPER(TRIM('Raw Actuals'!D26))="LEARNER TAXI"),"Transport",IF(OR(UPPER(TRIM('Raw Actuals'!D26))="FACILITATION",UPPER(TRIM('Raw Actuals'!D26))="CHAMPION PAYMENTS",UPPER(TRIM('Raw Actuals'!D26))="STIPENDS",UPPER(TRIM('Raw Actuals'!D26))="FACILITATOR FEE"),"Facilitation",IF(OR(UPPER(TRIM('Raw Actuals'!D26))="MATERIALS",UPPER(TRIM('Raw Actuals'!D26))="WORKSHOP MATERIALS",UPPER(TRIM('Raw Actuals'!D26))="MATERIALS / SUPPLIES"),"Materials",IF(OR(UPPER(TRIM('Raw Actuals'!D26))="PRINTING",UPPER(TRIM('Raw Actuals'!D26))="PRINT &amp; CONSENT",UPPER(TRIM('Raw Actuals'!D26))="PRINTING AND CONSENT"),"Printing",IF(OR(UPPER(TRIM('Raw Actuals'!D26))="TRAINING",UPPER(TRIM('Raw Actuals'!D26))="CHAMPION TRAINING",UPPER(TRIM('Raw Actuals'!D26))="FACILITATOR TRAINING"),"Training",IF(OR(UPPER(TRIM('Raw Actuals'!D26))="SITE VISITS",UPPER(TRIM('Raw Actuals'!D26))="SITE VISIT",UPPER(TRIM('Raw Actuals'!D26))="TRAVEL AND SITE VISITS"),"Site visits",IF(OR(UPPER(TRIM('Raw Actuals'!D26))="EVENTS",UPPER(TRIM('Raw Actuals'!D26))="RECOGNITION EVENT",UPPER(TRIM('Raw Actuals'!D26))="BADGE CEREMONY"),"Events",IF(OR(UPPER(TRIM('Raw Actuals'!D26))="VENUE",UPPER(TRIM('Raw Actuals'!D26))="VENUE HIRE",UPPER(TRIM('Raw Actuals'!D26))="TRAINING VENUE"),"Venue",IF(OR(UPPER(TRIM('Raw Actuals'!D26))="ADMINISTRATION",UPPER(TRIM('Raw Actuals'!D26))="ADMIN",UPPER(TRIM('Raw Actuals'!D26))="OPERATIONAL SUPPORT"),"Administration","Review"))))))))))</x:f>
        <x:v>Events</x:v>
      </x:c>
      <x:c r="E26" t="str">
        <x:f>IF(TRIM('Raw Actuals'!E26)="","Missing",PROPER(TRIM('Raw Actuals'!E26)))</x:f>
        <x:v>Riverside Venue Hire</x:v>
      </x:c>
      <x:c r="F26" t="str">
        <x:f>TRIM('Raw Actuals'!F26)</x:f>
        <x:v>Events expense 21</x:v>
      </x:c>
      <x:c r="G26" s="26" t="n">
        <x:v>4891</x:v>
      </x:c>
      <x:c r="H26" t="str">
        <x:f>IF(OR(UPPER(TRIM('Raw Actuals'!H26))="PAID",UPPER(TRIM('Raw Actuals'!H26))="PAID "),"Paid",IF(UPPER(TRIM('Raw Actuals'!H26))="APPROVED","Approved",IF(OR(UPPER(TRIM('Raw Actuals'!H26))="SUBMITTED",UPPER(TRIM('Raw Actuals'!H26))="PENDING"),"Submitted",IF(UPPER(TRIM('Raw Actuals'!H26))="REJECTED","Rejected","Review"))))</x:f>
        <x:v>Approved</x:v>
      </x:c>
      <x:c r="I26" t="str">
        <x:f>IF(OR(H26="Paid",H26="Approved"),"Include","Exclude")</x:f>
        <x:v>Include</x:v>
      </x:c>
      <x:c r="J26" t="str">
        <x:f>IF(B26="","Missing invoice",IF(COUNTIF($B$6:B26,B26)&gt;1,"Duplicate","Unique"))</x:f>
        <x:v>Unique</x:v>
      </x:c>
      <x:c r="K26" s="17" t="str">
        <x:f>IF(A26="","Missing ID; ","")&amp;IF(B26="","Missing invoice; ","")&amp;IF(C26="","Invalid date; ","")&amp;IF(D26="Review","Unmapped category; ","")&amp;IF(E26="Missing","Missing supplier; ","")&amp;IF(OR(G26="",G26&lt;=0),"Invalid amount; ","")&amp;IF(H26="Review","Invalid payment state; ","")&amp;IF(J26="Duplicate","Duplicate invoice; ","")</x:f>
      </x:c>
      <x:c r="L26" t="str">
        <x:f>IF(K26="","Ready","Review")</x:f>
        <x:v>Ready</x:v>
      </x:c>
      <x:c r="M26" s="26" t="n">
        <x:f>IF(AND(L26="Ready",I26="Include"),G26,0)</x:f>
        <x:v>4891</x:v>
      </x:c>
    </x:row>
    <x:row r="27">
      <x:c r="A27" t="str">
        <x:f>UPPER(TRIM('Raw Actuals'!A27))</x:f>
        <x:v>TXN-27-0022</x:v>
      </x:c>
      <x:c r="B27" t="str">
        <x:f>UPPER(TRIM('Raw Actuals'!B27))</x:f>
        <x:v>INV-27-0022</x:v>
      </x:c>
      <x:c r="C27" s="25" t="n">
        <x:f>IFERROR(IF(OR(MID(TRIM('Raw Actuals'!C27),5,1)="-",MID(TRIM('Raw Actuals'!C27),5,1)="/"),DATE(VALUE(LEFT(TRIM('Raw Actuals'!C27),4)),VALUE(MID(TRIM('Raw Actuals'!C27),6,2)),VALUE(RIGHT(TRIM('Raw Actuals'!C27),2))),IF(LEN(TRIM('Raw Actuals'!C27))=10,DATE(VALUE(RIGHT(TRIM('Raw Actuals'!C27),4)),VALUE(MID(TRIM('Raw Actuals'!C27),4,2)),VALUE(LEFT(TRIM('Raw Actuals'!C27),2))),IF(LEN(TRIM('Raw Actuals'!C27))=8,DATE(2000+VALUE(RIGHT(TRIM('Raw Actuals'!C27),2)),VALUE(MID(TRIM('Raw Actuals'!C27),4,2)),VALUE(LEFT(TRIM('Raw Actuals'!C27),2))),""))),"")</x:f>
        <x:v>46473</x:v>
      </x:c>
      <x:c r="D27" t="str">
        <x:f>IF(OR(UPPER(TRIM('Raw Actuals'!D27))="CATERING",UPPER(TRIM('Raw Actuals'!D27))="WORKSHOP CATERING",UPPER(TRIM('Raw Actuals'!D27))="MEALS",UPPER(TRIM('Raw Actuals'!D27))="CATERNG"),"Catering",IF(OR(UPPER(TRIM('Raw Actuals'!D27))="TRANSPORT",UPPER(TRIM('Raw Actuals'!D27))="LEARNER TRANSPORT",UPPER(TRIM('Raw Actuals'!D27))="TAXIS",UPPER(TRIM('Raw Actuals'!D27))="LEARNER TAXI"),"Transport",IF(OR(UPPER(TRIM('Raw Actuals'!D27))="FACILITATION",UPPER(TRIM('Raw Actuals'!D27))="CHAMPION PAYMENTS",UPPER(TRIM('Raw Actuals'!D27))="STIPENDS",UPPER(TRIM('Raw Actuals'!D27))="FACILITATOR FEE"),"Facilitation",IF(OR(UPPER(TRIM('Raw Actuals'!D27))="MATERIALS",UPPER(TRIM('Raw Actuals'!D27))="WORKSHOP MATERIALS",UPPER(TRIM('Raw Actuals'!D27))="MATERIALS / SUPPLIES"),"Materials",IF(OR(UPPER(TRIM('Raw Actuals'!D27))="PRINTING",UPPER(TRIM('Raw Actuals'!D27))="PRINT &amp; CONSENT",UPPER(TRIM('Raw Actuals'!D27))="PRINTING AND CONSENT"),"Printing",IF(OR(UPPER(TRIM('Raw Actuals'!D27))="TRAINING",UPPER(TRIM('Raw Actuals'!D27))="CHAMPION TRAINING",UPPER(TRIM('Raw Actuals'!D27))="FACILITATOR TRAINING"),"Training",IF(OR(UPPER(TRIM('Raw Actuals'!D27))="SITE VISITS",UPPER(TRIM('Raw Actuals'!D27))="SITE VISIT",UPPER(TRIM('Raw Actuals'!D27))="TRAVEL AND SITE VISITS"),"Site visits",IF(OR(UPPER(TRIM('Raw Actuals'!D27))="EVENTS",UPPER(TRIM('Raw Actuals'!D27))="RECOGNITION EVENT",UPPER(TRIM('Raw Actuals'!D27))="BADGE CEREMONY"),"Events",IF(OR(UPPER(TRIM('Raw Actuals'!D27))="VENUE",UPPER(TRIM('Raw Actuals'!D27))="VENUE HIRE",UPPER(TRIM('Raw Actuals'!D27))="TRAINING VENUE"),"Venue",IF(OR(UPPER(TRIM('Raw Actuals'!D27))="ADMINISTRATION",UPPER(TRIM('Raw Actuals'!D27))="ADMIN",UPPER(TRIM('Raw Actuals'!D27))="OPERATIONAL SUPPORT"),"Administration","Review"))))))))))</x:f>
        <x:v>Printing</x:v>
      </x:c>
      <x:c r="E27" t="str">
        <x:f>IF(TRIM('Raw Actuals'!E27)="","Missing",PROPER(TRIM('Raw Actuals'!E27)))</x:f>
        <x:v>Bright Print Studio</x:v>
      </x:c>
      <x:c r="F27" t="str">
        <x:f>TRIM('Raw Actuals'!F27)</x:f>
        <x:v>Printing expense 22</x:v>
      </x:c>
      <x:c r="G27" s="26" t="n">
        <x:v>4736</x:v>
      </x:c>
      <x:c r="H27" t="str">
        <x:f>IF(OR(UPPER(TRIM('Raw Actuals'!H27))="PAID",UPPER(TRIM('Raw Actuals'!H27))="PAID "),"Paid",IF(UPPER(TRIM('Raw Actuals'!H27))="APPROVED","Approved",IF(OR(UPPER(TRIM('Raw Actuals'!H27))="SUBMITTED",UPPER(TRIM('Raw Actuals'!H27))="PENDING"),"Submitted",IF(UPPER(TRIM('Raw Actuals'!H27))="REJECTED","Rejected","Review"))))</x:f>
        <x:v>Submitted</x:v>
      </x:c>
      <x:c r="I27" t="str">
        <x:f>IF(OR(H27="Paid",H27="Approved"),"Include","Exclude")</x:f>
        <x:v>Exclude</x:v>
      </x:c>
      <x:c r="J27" t="str">
        <x:f>IF(B27="","Missing invoice",IF(COUNTIF($B$6:B27,B27)&gt;1,"Duplicate","Unique"))</x:f>
        <x:v>Unique</x:v>
      </x:c>
      <x:c r="K27" s="17" t="str">
        <x:f>IF(A27="","Missing ID; ","")&amp;IF(B27="","Missing invoice; ","")&amp;IF(C27="","Invalid date; ","")&amp;IF(D27="Review","Unmapped category; ","")&amp;IF(E27="Missing","Missing supplier; ","")&amp;IF(OR(G27="",G27&lt;=0),"Invalid amount; ","")&amp;IF(H27="Review","Invalid payment state; ","")&amp;IF(J27="Duplicate","Duplicate invoice; ","")</x:f>
      </x:c>
      <x:c r="L27" t="str">
        <x:f>IF(K27="","Ready","Review")</x:f>
        <x:v>Ready</x:v>
      </x:c>
      <x:c r="M27" s="26" t="n">
        <x:f>IF(AND(L27="Ready",I27="Include"),G27,0)</x:f>
        <x:v>0</x:v>
      </x:c>
    </x:row>
    <x:row r="28">
      <x:c r="A28" t="str">
        <x:f>UPPER(TRIM('Raw Actuals'!A28))</x:f>
        <x:v>TXN-27-0023</x:v>
      </x:c>
      <x:c r="B28" t="str">
        <x:f>UPPER(TRIM('Raw Actuals'!B28))</x:f>
        <x:v>INV-27-0022</x:v>
      </x:c>
      <x:c r="C28" s="25" t="n">
        <x:f>IFERROR(IF(OR(MID(TRIM('Raw Actuals'!C28),5,1)="-",MID(TRIM('Raw Actuals'!C28),5,1)="/"),DATE(VALUE(LEFT(TRIM('Raw Actuals'!C28),4)),VALUE(MID(TRIM('Raw Actuals'!C28),6,2)),VALUE(RIGHT(TRIM('Raw Actuals'!C28),2))),IF(LEN(TRIM('Raw Actuals'!C28))=10,DATE(VALUE(RIGHT(TRIM('Raw Actuals'!C28),4)),VALUE(MID(TRIM('Raw Actuals'!C28),4,2)),VALUE(LEFT(TRIM('Raw Actuals'!C28),2))),IF(LEN(TRIM('Raw Actuals'!C28))=8,DATE(2000+VALUE(RIGHT(TRIM('Raw Actuals'!C28),2)),VALUE(MID(TRIM('Raw Actuals'!C28),4,2)),VALUE(LEFT(TRIM('Raw Actuals'!C28),2))),""))),"")</x:f>
        <x:v>46429</x:v>
      </x:c>
      <x:c r="D28" t="str">
        <x:f>IF(OR(UPPER(TRIM('Raw Actuals'!D28))="CATERING",UPPER(TRIM('Raw Actuals'!D28))="WORKSHOP CATERING",UPPER(TRIM('Raw Actuals'!D28))="MEALS",UPPER(TRIM('Raw Actuals'!D28))="CATERNG"),"Catering",IF(OR(UPPER(TRIM('Raw Actuals'!D28))="TRANSPORT",UPPER(TRIM('Raw Actuals'!D28))="LEARNER TRANSPORT",UPPER(TRIM('Raw Actuals'!D28))="TAXIS",UPPER(TRIM('Raw Actuals'!D28))="LEARNER TAXI"),"Transport",IF(OR(UPPER(TRIM('Raw Actuals'!D28))="FACILITATION",UPPER(TRIM('Raw Actuals'!D28))="CHAMPION PAYMENTS",UPPER(TRIM('Raw Actuals'!D28))="STIPENDS",UPPER(TRIM('Raw Actuals'!D28))="FACILITATOR FEE"),"Facilitation",IF(OR(UPPER(TRIM('Raw Actuals'!D28))="MATERIALS",UPPER(TRIM('Raw Actuals'!D28))="WORKSHOP MATERIALS",UPPER(TRIM('Raw Actuals'!D28))="MATERIALS / SUPPLIES"),"Materials",IF(OR(UPPER(TRIM('Raw Actuals'!D28))="PRINTING",UPPER(TRIM('Raw Actuals'!D28))="PRINT &amp; CONSENT",UPPER(TRIM('Raw Actuals'!D28))="PRINTING AND CONSENT"),"Printing",IF(OR(UPPER(TRIM('Raw Actuals'!D28))="TRAINING",UPPER(TRIM('Raw Actuals'!D28))="CHAMPION TRAINING",UPPER(TRIM('Raw Actuals'!D28))="FACILITATOR TRAINING"),"Training",IF(OR(UPPER(TRIM('Raw Actuals'!D28))="SITE VISITS",UPPER(TRIM('Raw Actuals'!D28))="SITE VISIT",UPPER(TRIM('Raw Actuals'!D28))="TRAVEL AND SITE VISITS"),"Site visits",IF(OR(UPPER(TRIM('Raw Actuals'!D28))="EVENTS",UPPER(TRIM('Raw Actuals'!D28))="RECOGNITION EVENT",UPPER(TRIM('Raw Actuals'!D28))="BADGE CEREMONY"),"Events",IF(OR(UPPER(TRIM('Raw Actuals'!D28))="VENUE",UPPER(TRIM('Raw Actuals'!D28))="VENUE HIRE",UPPER(TRIM('Raw Actuals'!D28))="TRAINING VENUE"),"Venue",IF(OR(UPPER(TRIM('Raw Actuals'!D28))="ADMINISTRATION",UPPER(TRIM('Raw Actuals'!D28))="ADMIN",UPPER(TRIM('Raw Actuals'!D28))="OPERATIONAL SUPPORT"),"Administration","Review"))))))))))</x:f>
        <x:v>Transport</x:v>
      </x:c>
      <x:c r="E28" t="str">
        <x:f>IF(TRIM('Raw Actuals'!E28)="","Missing",PROPER(TRIM('Raw Actuals'!E28)))</x:f>
        <x:v>Thuto Facilitation</x:v>
      </x:c>
      <x:c r="F28" t="str">
        <x:f>TRIM('Raw Actuals'!F28)</x:f>
        <x:v>Transport expense 23</x:v>
      </x:c>
      <x:c r="G28" s="26" t="n">
        <x:v>5742</x:v>
      </x:c>
      <x:c r="H28" t="str">
        <x:f>IF(OR(UPPER(TRIM('Raw Actuals'!H28))="PAID",UPPER(TRIM('Raw Actuals'!H28))="PAID "),"Paid",IF(UPPER(TRIM('Raw Actuals'!H28))="APPROVED","Approved",IF(OR(UPPER(TRIM('Raw Actuals'!H28))="SUBMITTED",UPPER(TRIM('Raw Actuals'!H28))="PENDING"),"Submitted",IF(UPPER(TRIM('Raw Actuals'!H28))="REJECTED","Rejected","Review"))))</x:f>
        <x:v>Rejected</x:v>
      </x:c>
      <x:c r="I28" t="str">
        <x:f>IF(OR(H28="Paid",H28="Approved"),"Include","Exclude")</x:f>
        <x:v>Exclude</x:v>
      </x:c>
      <x:c r="J28" t="str">
        <x:f>IF(B28="","Missing invoice",IF(COUNTIF($B$6:B28,B28)&gt;1,"Duplicate","Unique"))</x:f>
        <x:v>Duplicate</x:v>
      </x:c>
      <x:c r="K28" s="17" t="str">
        <x:f>IF(A28="","Missing ID; ","")&amp;IF(B28="","Missing invoice; ","")&amp;IF(C28="","Invalid date; ","")&amp;IF(D28="Review","Unmapped category; ","")&amp;IF(E28="Missing","Missing supplier; ","")&amp;IF(OR(G28="",G28&lt;=0),"Invalid amount; ","")&amp;IF(H28="Review","Invalid payment state; ","")&amp;IF(J28="Duplicate","Duplicate invoice; ","")</x:f>
        <x:v>Duplicate invoice; </x:v>
      </x:c>
      <x:c r="L28" t="str">
        <x:f>IF(K28="","Ready","Review")</x:f>
        <x:v>Review</x:v>
      </x:c>
      <x:c r="M28" s="26" t="n">
        <x:f>IF(AND(L28="Ready",I28="Include"),G28,0)</x:f>
        <x:v>0</x:v>
      </x:c>
    </x:row>
    <x:row r="29">
      <x:c r="A29" t="str">
        <x:f>UPPER(TRIM('Raw Actuals'!A29))</x:f>
        <x:v>TXN-27-0024</x:v>
      </x:c>
      <x:c r="B29" t="str">
        <x:f>UPPER(TRIM('Raw Actuals'!B29))</x:f>
        <x:v>INV-27-0024</x:v>
      </x:c>
      <x:c r="C29" s="25" t="n">
        <x:f>IFERROR(IF(OR(MID(TRIM('Raw Actuals'!C29),5,1)="-",MID(TRIM('Raw Actuals'!C29),5,1)="/"),DATE(VALUE(LEFT(TRIM('Raw Actuals'!C29),4)),VALUE(MID(TRIM('Raw Actuals'!C29),6,2)),VALUE(RIGHT(TRIM('Raw Actuals'!C29),2))),IF(LEN(TRIM('Raw Actuals'!C29))=10,DATE(VALUE(RIGHT(TRIM('Raw Actuals'!C29),4)),VALUE(MID(TRIM('Raw Actuals'!C29),4,2)),VALUE(LEFT(TRIM('Raw Actuals'!C29),2))),IF(LEN(TRIM('Raw Actuals'!C29))=8,DATE(2000+VALUE(RIGHT(TRIM('Raw Actuals'!C29),2)),VALUE(MID(TRIM('Raw Actuals'!C29),4,2)),VALUE(LEFT(TRIM('Raw Actuals'!C29),2))),""))),"")</x:f>
        <x:v>46409</x:v>
      </x:c>
      <x:c r="D29" t="str">
        <x:f>IF(OR(UPPER(TRIM('Raw Actuals'!D29))="CATERING",UPPER(TRIM('Raw Actuals'!D29))="WORKSHOP CATERING",UPPER(TRIM('Raw Actuals'!D29))="MEALS",UPPER(TRIM('Raw Actuals'!D29))="CATERNG"),"Catering",IF(OR(UPPER(TRIM('Raw Actuals'!D29))="TRANSPORT",UPPER(TRIM('Raw Actuals'!D29))="LEARNER TRANSPORT",UPPER(TRIM('Raw Actuals'!D29))="TAXIS",UPPER(TRIM('Raw Actuals'!D29))="LEARNER TAXI"),"Transport",IF(OR(UPPER(TRIM('Raw Actuals'!D29))="FACILITATION",UPPER(TRIM('Raw Actuals'!D29))="CHAMPION PAYMENTS",UPPER(TRIM('Raw Actuals'!D29))="STIPENDS",UPPER(TRIM('Raw Actuals'!D29))="FACILITATOR FEE"),"Facilitation",IF(OR(UPPER(TRIM('Raw Actuals'!D29))="MATERIALS",UPPER(TRIM('Raw Actuals'!D29))="WORKSHOP MATERIALS",UPPER(TRIM('Raw Actuals'!D29))="MATERIALS / SUPPLIES"),"Materials",IF(OR(UPPER(TRIM('Raw Actuals'!D29))="PRINTING",UPPER(TRIM('Raw Actuals'!D29))="PRINT &amp; CONSENT",UPPER(TRIM('Raw Actuals'!D29))="PRINTING AND CONSENT"),"Printing",IF(OR(UPPER(TRIM('Raw Actuals'!D29))="TRAINING",UPPER(TRIM('Raw Actuals'!D29))="CHAMPION TRAINING",UPPER(TRIM('Raw Actuals'!D29))="FACILITATOR TRAINING"),"Training",IF(OR(UPPER(TRIM('Raw Actuals'!D29))="SITE VISITS",UPPER(TRIM('Raw Actuals'!D29))="SITE VISIT",UPPER(TRIM('Raw Actuals'!D29))="TRAVEL AND SITE VISITS"),"Site visits",IF(OR(UPPER(TRIM('Raw Actuals'!D29))="EVENTS",UPPER(TRIM('Raw Actuals'!D29))="RECOGNITION EVENT",UPPER(TRIM('Raw Actuals'!D29))="BADGE CEREMONY"),"Events",IF(OR(UPPER(TRIM('Raw Actuals'!D29))="VENUE",UPPER(TRIM('Raw Actuals'!D29))="VENUE HIRE",UPPER(TRIM('Raw Actuals'!D29))="TRAINING VENUE"),"Venue",IF(OR(UPPER(TRIM('Raw Actuals'!D29))="ADMINISTRATION",UPPER(TRIM('Raw Actuals'!D29))="ADMIN",UPPER(TRIM('Raw Actuals'!D29))="OPERATIONAL SUPPORT"),"Administration","Review"))))))))))</x:f>
        <x:v>Venue</x:v>
      </x:c>
      <x:c r="E29" t="str">
        <x:f>IF(TRIM('Raw Actuals'!E29)="","Missing",PROPER(TRIM('Raw Actuals'!E29)))</x:f>
        <x:v>Moya Supplies</x:v>
      </x:c>
      <x:c r="F29" t="str">
        <x:f>TRIM('Raw Actuals'!F29)</x:f>
        <x:v>Venue expense 24</x:v>
      </x:c>
      <x:c r="G29" s="26" t="n">
        <x:v>4703</x:v>
      </x:c>
      <x:c r="H29" t="str">
        <x:f>IF(OR(UPPER(TRIM('Raw Actuals'!H29))="PAID",UPPER(TRIM('Raw Actuals'!H29))="PAID "),"Paid",IF(UPPER(TRIM('Raw Actuals'!H29))="APPROVED","Approved",IF(OR(UPPER(TRIM('Raw Actuals'!H29))="SUBMITTED",UPPER(TRIM('Raw Actuals'!H29))="PENDING"),"Submitted",IF(UPPER(TRIM('Raw Actuals'!H29))="REJECTED","Rejected","Review"))))</x:f>
        <x:v>Paid</x:v>
      </x:c>
      <x:c r="I29" t="str">
        <x:f>IF(OR(H29="Paid",H29="Approved"),"Include","Exclude")</x:f>
        <x:v>Include</x:v>
      </x:c>
      <x:c r="J29" t="str">
        <x:f>IF(B29="","Missing invoice",IF(COUNTIF($B$6:B29,B29)&gt;1,"Duplicate","Unique"))</x:f>
        <x:v>Unique</x:v>
      </x:c>
      <x:c r="K29" s="17" t="str">
        <x:f>IF(A29="","Missing ID; ","")&amp;IF(B29="","Missing invoice; ","")&amp;IF(C29="","Invalid date; ","")&amp;IF(D29="Review","Unmapped category; ","")&amp;IF(E29="Missing","Missing supplier; ","")&amp;IF(OR(G29="",G29&lt;=0),"Invalid amount; ","")&amp;IF(H29="Review","Invalid payment state; ","")&amp;IF(J29="Duplicate","Duplicate invoice; ","")</x:f>
      </x:c>
      <x:c r="L29" t="str">
        <x:f>IF(K29="","Ready","Review")</x:f>
        <x:v>Ready</x:v>
      </x:c>
      <x:c r="M29" s="26" t="n">
        <x:f>IF(AND(L29="Ready",I29="Include"),G29,0)</x:f>
        <x:v>4703</x:v>
      </x:c>
    </x:row>
    <x:row r="30">
      <x:c r="A30" t="str">
        <x:f>UPPER(TRIM('Raw Actuals'!A30))</x:f>
        <x:v>TXN-27-0025</x:v>
      </x:c>
      <x:c r="B30" t="str">
        <x:f>UPPER(TRIM('Raw Actuals'!B30))</x:f>
        <x:v>INV-27-0025</x:v>
      </x:c>
      <x:c r="C30" s="25" t="n">
        <x:f>IFERROR(IF(OR(MID(TRIM('Raw Actuals'!C30),5,1)="-",MID(TRIM('Raw Actuals'!C30),5,1)="/"),DATE(VALUE(LEFT(TRIM('Raw Actuals'!C30),4)),VALUE(MID(TRIM('Raw Actuals'!C30),6,2)),VALUE(RIGHT(TRIM('Raw Actuals'!C30),2))),IF(LEN(TRIM('Raw Actuals'!C30))=10,DATE(VALUE(RIGHT(TRIM('Raw Actuals'!C30),4)),VALUE(MID(TRIM('Raw Actuals'!C30),4,2)),VALUE(LEFT(TRIM('Raw Actuals'!C30),2))),IF(LEN(TRIM('Raw Actuals'!C30))=8,DATE(2000+VALUE(RIGHT(TRIM('Raw Actuals'!C30),2)),VALUE(MID(TRIM('Raw Actuals'!C30),4,2)),VALUE(LEFT(TRIM('Raw Actuals'!C30),2))),""))),"")</x:f>
        <x:v>46544</x:v>
      </x:c>
      <x:c r="D30" t="str">
        <x:f>IF(OR(UPPER(TRIM('Raw Actuals'!D30))="CATERING",UPPER(TRIM('Raw Actuals'!D30))="WORKSHOP CATERING",UPPER(TRIM('Raw Actuals'!D30))="MEALS",UPPER(TRIM('Raw Actuals'!D30))="CATERNG"),"Catering",IF(OR(UPPER(TRIM('Raw Actuals'!D30))="TRANSPORT",UPPER(TRIM('Raw Actuals'!D30))="LEARNER TRANSPORT",UPPER(TRIM('Raw Actuals'!D30))="TAXIS",UPPER(TRIM('Raw Actuals'!D30))="LEARNER TAXI"),"Transport",IF(OR(UPPER(TRIM('Raw Actuals'!D30))="FACILITATION",UPPER(TRIM('Raw Actuals'!D30))="CHAMPION PAYMENTS",UPPER(TRIM('Raw Actuals'!D30))="STIPENDS",UPPER(TRIM('Raw Actuals'!D30))="FACILITATOR FEE"),"Facilitation",IF(OR(UPPER(TRIM('Raw Actuals'!D30))="MATERIALS",UPPER(TRIM('Raw Actuals'!D30))="WORKSHOP MATERIALS",UPPER(TRIM('Raw Actuals'!D30))="MATERIALS / SUPPLIES"),"Materials",IF(OR(UPPER(TRIM('Raw Actuals'!D30))="PRINTING",UPPER(TRIM('Raw Actuals'!D30))="PRINT &amp; CONSENT",UPPER(TRIM('Raw Actuals'!D30))="PRINTING AND CONSENT"),"Printing",IF(OR(UPPER(TRIM('Raw Actuals'!D30))="TRAINING",UPPER(TRIM('Raw Actuals'!D30))="CHAMPION TRAINING",UPPER(TRIM('Raw Actuals'!D30))="FACILITATOR TRAINING"),"Training",IF(OR(UPPER(TRIM('Raw Actuals'!D30))="SITE VISITS",UPPER(TRIM('Raw Actuals'!D30))="SITE VISIT",UPPER(TRIM('Raw Actuals'!D30))="TRAVEL AND SITE VISITS"),"Site visits",IF(OR(UPPER(TRIM('Raw Actuals'!D30))="EVENTS",UPPER(TRIM('Raw Actuals'!D30))="RECOGNITION EVENT",UPPER(TRIM('Raw Actuals'!D30))="BADGE CEREMONY"),"Events",IF(OR(UPPER(TRIM('Raw Actuals'!D30))="VENUE",UPPER(TRIM('Raw Actuals'!D30))="VENUE HIRE",UPPER(TRIM('Raw Actuals'!D30))="TRAINING VENUE"),"Venue",IF(OR(UPPER(TRIM('Raw Actuals'!D30))="ADMINISTRATION",UPPER(TRIM('Raw Actuals'!D30))="ADMIN",UPPER(TRIM('Raw Actuals'!D30))="OPERATIONAL SUPPORT"),"Administration","Review"))))))))))</x:f>
        <x:v>Training</x:v>
      </x:c>
      <x:c r="E30" t="str">
        <x:f>IF(TRIM('Raw Actuals'!E30)="","Missing",PROPER(TRIM('Raw Actuals'!E30)))</x:f>
        <x:v>Northline Transport</x:v>
      </x:c>
      <x:c r="F30" t="str">
        <x:f>TRIM('Raw Actuals'!F30)</x:f>
        <x:v>Training expense 25</x:v>
      </x:c>
      <x:c r="G30" s="26" t="n">
        <x:v>5437</x:v>
      </x:c>
      <x:c r="H30" t="str">
        <x:f>IF(OR(UPPER(TRIM('Raw Actuals'!H30))="PAID",UPPER(TRIM('Raw Actuals'!H30))="PAID "),"Paid",IF(UPPER(TRIM('Raw Actuals'!H30))="APPROVED","Approved",IF(OR(UPPER(TRIM('Raw Actuals'!H30))="SUBMITTED",UPPER(TRIM('Raw Actuals'!H30))="PENDING"),"Submitted",IF(UPPER(TRIM('Raw Actuals'!H30))="REJECTED","Rejected","Review"))))</x:f>
        <x:v>Approved</x:v>
      </x:c>
      <x:c r="I30" t="str">
        <x:f>IF(OR(H30="Paid",H30="Approved"),"Include","Exclude")</x:f>
        <x:v>Include</x:v>
      </x:c>
      <x:c r="J30" t="str">
        <x:f>IF(B30="","Missing invoice",IF(COUNTIF($B$6:B30,B30)&gt;1,"Duplicate","Unique"))</x:f>
        <x:v>Unique</x:v>
      </x:c>
      <x:c r="K30" s="17" t="str">
        <x:f>IF(A30="","Missing ID; ","")&amp;IF(B30="","Missing invoice; ","")&amp;IF(C30="","Invalid date; ","")&amp;IF(D30="Review","Unmapped category; ","")&amp;IF(E30="Missing","Missing supplier; ","")&amp;IF(OR(G30="",G30&lt;=0),"Invalid amount; ","")&amp;IF(H30="Review","Invalid payment state; ","")&amp;IF(J30="Duplicate","Duplicate invoice; ","")</x:f>
      </x:c>
      <x:c r="L30" t="str">
        <x:f>IF(K30="","Ready","Review")</x:f>
        <x:v>Ready</x:v>
      </x:c>
      <x:c r="M30" s="26" t="n">
        <x:f>IF(AND(L30="Ready",I30="Include"),G30,0)</x:f>
        <x:v>5437</x:v>
      </x:c>
    </x:row>
    <x:row r="31">
      <x:c r="A31" t="str">
        <x:f>UPPER(TRIM('Raw Actuals'!A31))</x:f>
        <x:v>TXN-27-0026</x:v>
      </x:c>
      <x:c r="B31" t="str">
        <x:f>UPPER(TRIM('Raw Actuals'!B31))</x:f>
        <x:v>INV-27-0026</x:v>
      </x:c>
      <x:c r="C31" s="25" t="n">
        <x:f>IFERROR(IF(OR(MID(TRIM('Raw Actuals'!C31),5,1)="-",MID(TRIM('Raw Actuals'!C31),5,1)="/"),DATE(VALUE(LEFT(TRIM('Raw Actuals'!C31),4)),VALUE(MID(TRIM('Raw Actuals'!C31),6,2)),VALUE(RIGHT(TRIM('Raw Actuals'!C31),2))),IF(LEN(TRIM('Raw Actuals'!C31))=10,DATE(VALUE(RIGHT(TRIM('Raw Actuals'!C31),4)),VALUE(MID(TRIM('Raw Actuals'!C31),4,2)),VALUE(LEFT(TRIM('Raw Actuals'!C31),2))),IF(LEN(TRIM('Raw Actuals'!C31))=8,DATE(2000+VALUE(RIGHT(TRIM('Raw Actuals'!C31),2)),VALUE(MID(TRIM('Raw Actuals'!C31),4,2)),VALUE(LEFT(TRIM('Raw Actuals'!C31),2))),""))),"")</x:f>
        <x:v>46524</x:v>
      </x:c>
      <x:c r="D31" t="str">
        <x:f>IF(OR(UPPER(TRIM('Raw Actuals'!D31))="CATERING",UPPER(TRIM('Raw Actuals'!D31))="WORKSHOP CATERING",UPPER(TRIM('Raw Actuals'!D31))="MEALS",UPPER(TRIM('Raw Actuals'!D31))="CATERNG"),"Catering",IF(OR(UPPER(TRIM('Raw Actuals'!D31))="TRANSPORT",UPPER(TRIM('Raw Actuals'!D31))="LEARNER TRANSPORT",UPPER(TRIM('Raw Actuals'!D31))="TAXIS",UPPER(TRIM('Raw Actuals'!D31))="LEARNER TAXI"),"Transport",IF(OR(UPPER(TRIM('Raw Actuals'!D31))="FACILITATION",UPPER(TRIM('Raw Actuals'!D31))="CHAMPION PAYMENTS",UPPER(TRIM('Raw Actuals'!D31))="STIPENDS",UPPER(TRIM('Raw Actuals'!D31))="FACILITATOR FEE"),"Facilitation",IF(OR(UPPER(TRIM('Raw Actuals'!D31))="MATERIALS",UPPER(TRIM('Raw Actuals'!D31))="WORKSHOP MATERIALS",UPPER(TRIM('Raw Actuals'!D31))="MATERIALS / SUPPLIES"),"Materials",IF(OR(UPPER(TRIM('Raw Actuals'!D31))="PRINTING",UPPER(TRIM('Raw Actuals'!D31))="PRINT &amp; CONSENT",UPPER(TRIM('Raw Actuals'!D31))="PRINTING AND CONSENT"),"Printing",IF(OR(UPPER(TRIM('Raw Actuals'!D31))="TRAINING",UPPER(TRIM('Raw Actuals'!D31))="CHAMPION TRAINING",UPPER(TRIM('Raw Actuals'!D31))="FACILITATOR TRAINING"),"Training",IF(OR(UPPER(TRIM('Raw Actuals'!D31))="SITE VISITS",UPPER(TRIM('Raw Actuals'!D31))="SITE VISIT",UPPER(TRIM('Raw Actuals'!D31))="TRAVEL AND SITE VISITS"),"Site visits",IF(OR(UPPER(TRIM('Raw Actuals'!D31))="EVENTS",UPPER(TRIM('Raw Actuals'!D31))="RECOGNITION EVENT",UPPER(TRIM('Raw Actuals'!D31))="BADGE CEREMONY"),"Events",IF(OR(UPPER(TRIM('Raw Actuals'!D31))="VENUE",UPPER(TRIM('Raw Actuals'!D31))="VENUE HIRE",UPPER(TRIM('Raw Actuals'!D31))="TRAINING VENUE"),"Venue",IF(OR(UPPER(TRIM('Raw Actuals'!D31))="ADMINISTRATION",UPPER(TRIM('Raw Actuals'!D31))="ADMIN",UPPER(TRIM('Raw Actuals'!D31))="OPERATIONAL SUPPORT"),"Administration","Review"))))))))))</x:f>
        <x:v>Facilitation</x:v>
      </x:c>
      <x:c r="E31" t="str">
        <x:f>IF(TRIM('Raw Actuals'!E31)="","Missing",PROPER(TRIM('Raw Actuals'!E31)))</x:f>
        <x:v>Kopano Catering</x:v>
      </x:c>
      <x:c r="F31" t="str">
        <x:f>TRIM('Raw Actuals'!F31)</x:f>
        <x:v>Facilitation expense 26</x:v>
      </x:c>
      <x:c r="G31" s="26" t="n">
        <x:v>6310</x:v>
      </x:c>
      <x:c r="H31" t="str">
        <x:f>IF(OR(UPPER(TRIM('Raw Actuals'!H31))="PAID",UPPER(TRIM('Raw Actuals'!H31))="PAID "),"Paid",IF(UPPER(TRIM('Raw Actuals'!H31))="APPROVED","Approved",IF(OR(UPPER(TRIM('Raw Actuals'!H31))="SUBMITTED",UPPER(TRIM('Raw Actuals'!H31))="PENDING"),"Submitted",IF(UPPER(TRIM('Raw Actuals'!H31))="REJECTED","Rejected","Review"))))</x:f>
        <x:v>Submitted</x:v>
      </x:c>
      <x:c r="I31" t="str">
        <x:f>IF(OR(H31="Paid",H31="Approved"),"Include","Exclude")</x:f>
        <x:v>Exclude</x:v>
      </x:c>
      <x:c r="J31" t="str">
        <x:f>IF(B31="","Missing invoice",IF(COUNTIF($B$6:B31,B31)&gt;1,"Duplicate","Unique"))</x:f>
        <x:v>Unique</x:v>
      </x:c>
      <x:c r="K31" s="17" t="str">
        <x:f>IF(A31="","Missing ID; ","")&amp;IF(B31="","Missing invoice; ","")&amp;IF(C31="","Invalid date; ","")&amp;IF(D31="Review","Unmapped category; ","")&amp;IF(E31="Missing","Missing supplier; ","")&amp;IF(OR(G31="",G31&lt;=0),"Invalid amount; ","")&amp;IF(H31="Review","Invalid payment state; ","")&amp;IF(J31="Duplicate","Duplicate invoice; ","")</x:f>
      </x:c>
      <x:c r="L31" t="str">
        <x:f>IF(K31="","Ready","Review")</x:f>
        <x:v>Ready</x:v>
      </x:c>
      <x:c r="M31" s="26" t="n">
        <x:f>IF(AND(L31="Ready",I31="Include"),G31,0)</x:f>
        <x:v>0</x:v>
      </x:c>
    </x:row>
    <x:row r="32">
      <x:c r="A32" t="str">
        <x:f>UPPER(TRIM('Raw Actuals'!A32))</x:f>
        <x:v>TXN-27-0027</x:v>
      </x:c>
      <x:c r="B32" t="str">
        <x:f>UPPER(TRIM('Raw Actuals'!B32))</x:f>
        <x:v>INV-27-0027</x:v>
      </x:c>
      <x:c r="C32" s="25" t="n">
        <x:f>IFERROR(IF(OR(MID(TRIM('Raw Actuals'!C32),5,1)="-",MID(TRIM('Raw Actuals'!C32),5,1)="/"),DATE(VALUE(LEFT(TRIM('Raw Actuals'!C32),4)),VALUE(MID(TRIM('Raw Actuals'!C32),6,2)),VALUE(RIGHT(TRIM('Raw Actuals'!C32),2))),IF(LEN(TRIM('Raw Actuals'!C32))=10,DATE(VALUE(RIGHT(TRIM('Raw Actuals'!C32),4)),VALUE(MID(TRIM('Raw Actuals'!C32),4,2)),VALUE(LEFT(TRIM('Raw Actuals'!C32),2))),IF(LEN(TRIM('Raw Actuals'!C32))=8,DATE(2000+VALUE(RIGHT(TRIM('Raw Actuals'!C32),2)),VALUE(MID(TRIM('Raw Actuals'!C32),4,2)),VALUE(LEFT(TRIM('Raw Actuals'!C32),2))),""))),"")</x:f>
        <x:v>46478</x:v>
      </x:c>
      <x:c r="D32" t="str">
        <x:f>IF(OR(UPPER(TRIM('Raw Actuals'!D32))="CATERING",UPPER(TRIM('Raw Actuals'!D32))="WORKSHOP CATERING",UPPER(TRIM('Raw Actuals'!D32))="MEALS",UPPER(TRIM('Raw Actuals'!D32))="CATERNG"),"Catering",IF(OR(UPPER(TRIM('Raw Actuals'!D32))="TRANSPORT",UPPER(TRIM('Raw Actuals'!D32))="LEARNER TRANSPORT",UPPER(TRIM('Raw Actuals'!D32))="TAXIS",UPPER(TRIM('Raw Actuals'!D32))="LEARNER TAXI"),"Transport",IF(OR(UPPER(TRIM('Raw Actuals'!D32))="FACILITATION",UPPER(TRIM('Raw Actuals'!D32))="CHAMPION PAYMENTS",UPPER(TRIM('Raw Actuals'!D32))="STIPENDS",UPPER(TRIM('Raw Actuals'!D32))="FACILITATOR FEE"),"Facilitation",IF(OR(UPPER(TRIM('Raw Actuals'!D32))="MATERIALS",UPPER(TRIM('Raw Actuals'!D32))="WORKSHOP MATERIALS",UPPER(TRIM('Raw Actuals'!D32))="MATERIALS / SUPPLIES"),"Materials",IF(OR(UPPER(TRIM('Raw Actuals'!D32))="PRINTING",UPPER(TRIM('Raw Actuals'!D32))="PRINT &amp; CONSENT",UPPER(TRIM('Raw Actuals'!D32))="PRINTING AND CONSENT"),"Printing",IF(OR(UPPER(TRIM('Raw Actuals'!D32))="TRAINING",UPPER(TRIM('Raw Actuals'!D32))="CHAMPION TRAINING",UPPER(TRIM('Raw Actuals'!D32))="FACILITATOR TRAINING"),"Training",IF(OR(UPPER(TRIM('Raw Actuals'!D32))="SITE VISITS",UPPER(TRIM('Raw Actuals'!D32))="SITE VISIT",UPPER(TRIM('Raw Actuals'!D32))="TRAVEL AND SITE VISITS"),"Site visits",IF(OR(UPPER(TRIM('Raw Actuals'!D32))="EVENTS",UPPER(TRIM('Raw Actuals'!D32))="RECOGNITION EVENT",UPPER(TRIM('Raw Actuals'!D32))="BADGE CEREMONY"),"Events",IF(OR(UPPER(TRIM('Raw Actuals'!D32))="VENUE",UPPER(TRIM('Raw Actuals'!D32))="VENUE HIRE",UPPER(TRIM('Raw Actuals'!D32))="TRAINING VENUE"),"Venue",IF(OR(UPPER(TRIM('Raw Actuals'!D32))="ADMINISTRATION",UPPER(TRIM('Raw Actuals'!D32))="ADMIN",UPPER(TRIM('Raw Actuals'!D32))="OPERATIONAL SUPPORT"),"Administration","Review"))))))))))</x:f>
        <x:v>Administration</x:v>
      </x:c>
      <x:c r="E32" t="str">
        <x:f>IF(TRIM('Raw Actuals'!E32)="","Missing",PROPER(TRIM('Raw Actuals'!E32)))</x:f>
        <x:v>Riverside Venue Hire</x:v>
      </x:c>
      <x:c r="F32" t="str">
        <x:f>TRIM('Raw Actuals'!F32)</x:f>
        <x:v>Administration expense 27</x:v>
      </x:c>
      <x:c r="G32" s="26" t="n">
        <x:v>7005</x:v>
      </x:c>
      <x:c r="H32" t="str">
        <x:f>IF(OR(UPPER(TRIM('Raw Actuals'!H32))="PAID",UPPER(TRIM('Raw Actuals'!H32))="PAID "),"Paid",IF(UPPER(TRIM('Raw Actuals'!H32))="APPROVED","Approved",IF(OR(UPPER(TRIM('Raw Actuals'!H32))="SUBMITTED",UPPER(TRIM('Raw Actuals'!H32))="PENDING"),"Submitted",IF(UPPER(TRIM('Raw Actuals'!H32))="REJECTED","Rejected","Review"))))</x:f>
        <x:v>Rejected</x:v>
      </x:c>
      <x:c r="I32" t="str">
        <x:f>IF(OR(H32="Paid",H32="Approved"),"Include","Exclude")</x:f>
        <x:v>Exclude</x:v>
      </x:c>
      <x:c r="J32" t="str">
        <x:f>IF(B32="","Missing invoice",IF(COUNTIF($B$6:B32,B32)&gt;1,"Duplicate","Unique"))</x:f>
        <x:v>Unique</x:v>
      </x:c>
      <x:c r="K32" s="17" t="str">
        <x:f>IF(A32="","Missing ID; ","")&amp;IF(B32="","Missing invoice; ","")&amp;IF(C32="","Invalid date; ","")&amp;IF(D32="Review","Unmapped category; ","")&amp;IF(E32="Missing","Missing supplier; ","")&amp;IF(OR(G32="",G32&lt;=0),"Invalid amount; ","")&amp;IF(H32="Review","Invalid payment state; ","")&amp;IF(J32="Duplicate","Duplicate invoice; ","")</x:f>
      </x:c>
      <x:c r="L32" t="str">
        <x:f>IF(K32="","Ready","Review")</x:f>
        <x:v>Ready</x:v>
      </x:c>
      <x:c r="M32" s="26" t="n">
        <x:f>IF(AND(L32="Ready",I32="Include"),G32,0)</x:f>
        <x:v>0</x:v>
      </x:c>
    </x:row>
    <x:row r="33">
      <x:c r="A33" t="str">
        <x:f>UPPER(TRIM('Raw Actuals'!A33))</x:f>
        <x:v>TXN-27-0028</x:v>
      </x:c>
      <x:c r="B33" t="str">
        <x:f>UPPER(TRIM('Raw Actuals'!B33))</x:f>
        <x:v>INV-27-0028</x:v>
      </x:c>
      <x:c r="C33" s="25" t="n">
        <x:f>IFERROR(IF(OR(MID(TRIM('Raw Actuals'!C33),5,1)="-",MID(TRIM('Raw Actuals'!C33),5,1)="/"),DATE(VALUE(LEFT(TRIM('Raw Actuals'!C33),4)),VALUE(MID(TRIM('Raw Actuals'!C33),6,2)),VALUE(RIGHT(TRIM('Raw Actuals'!C33),2))),IF(LEN(TRIM('Raw Actuals'!C33))=10,DATE(VALUE(RIGHT(TRIM('Raw Actuals'!C33),4)),VALUE(MID(TRIM('Raw Actuals'!C33),4,2)),VALUE(LEFT(TRIM('Raw Actuals'!C33),2))),IF(LEN(TRIM('Raw Actuals'!C33))=8,DATE(2000+VALUE(RIGHT(TRIM('Raw Actuals'!C33),2)),VALUE(MID(TRIM('Raw Actuals'!C33),4,2)),VALUE(LEFT(TRIM('Raw Actuals'!C33),2))),""))),"")</x:f>
        <x:v>46458</x:v>
      </x:c>
      <x:c r="D33" t="str">
        <x:f>IF(OR(UPPER(TRIM('Raw Actuals'!D33))="CATERING",UPPER(TRIM('Raw Actuals'!D33))="WORKSHOP CATERING",UPPER(TRIM('Raw Actuals'!D33))="MEALS",UPPER(TRIM('Raw Actuals'!D33))="CATERNG"),"Catering",IF(OR(UPPER(TRIM('Raw Actuals'!D33))="TRANSPORT",UPPER(TRIM('Raw Actuals'!D33))="LEARNER TRANSPORT",UPPER(TRIM('Raw Actuals'!D33))="TAXIS",UPPER(TRIM('Raw Actuals'!D33))="LEARNER TAXI"),"Transport",IF(OR(UPPER(TRIM('Raw Actuals'!D33))="FACILITATION",UPPER(TRIM('Raw Actuals'!D33))="CHAMPION PAYMENTS",UPPER(TRIM('Raw Actuals'!D33))="STIPENDS",UPPER(TRIM('Raw Actuals'!D33))="FACILITATOR FEE"),"Facilitation",IF(OR(UPPER(TRIM('Raw Actuals'!D33))="MATERIALS",UPPER(TRIM('Raw Actuals'!D33))="WORKSHOP MATERIALS",UPPER(TRIM('Raw Actuals'!D33))="MATERIALS / SUPPLIES"),"Materials",IF(OR(UPPER(TRIM('Raw Actuals'!D33))="PRINTING",UPPER(TRIM('Raw Actuals'!D33))="PRINT &amp; CONSENT",UPPER(TRIM('Raw Actuals'!D33))="PRINTING AND CONSENT"),"Printing",IF(OR(UPPER(TRIM('Raw Actuals'!D33))="TRAINING",UPPER(TRIM('Raw Actuals'!D33))="CHAMPION TRAINING",UPPER(TRIM('Raw Actuals'!D33))="FACILITATOR TRAINING"),"Training",IF(OR(UPPER(TRIM('Raw Actuals'!D33))="SITE VISITS",UPPER(TRIM('Raw Actuals'!D33))="SITE VISIT",UPPER(TRIM('Raw Actuals'!D33))="TRAVEL AND SITE VISITS"),"Site visits",IF(OR(UPPER(TRIM('Raw Actuals'!D33))="EVENTS",UPPER(TRIM('Raw Actuals'!D33))="RECOGNITION EVENT",UPPER(TRIM('Raw Actuals'!D33))="BADGE CEREMONY"),"Events",IF(OR(UPPER(TRIM('Raw Actuals'!D33))="VENUE",UPPER(TRIM('Raw Actuals'!D33))="VENUE HIRE",UPPER(TRIM('Raw Actuals'!D33))="TRAINING VENUE"),"Venue",IF(OR(UPPER(TRIM('Raw Actuals'!D33))="ADMINISTRATION",UPPER(TRIM('Raw Actuals'!D33))="ADMIN",UPPER(TRIM('Raw Actuals'!D33))="OPERATIONAL SUPPORT"),"Administration","Review"))))))))))</x:f>
        <x:v>Site visits</x:v>
      </x:c>
      <x:c r="E33" t="str">
        <x:f>IF(TRIM('Raw Actuals'!E33)="","Missing",PROPER(TRIM('Raw Actuals'!E33)))</x:f>
        <x:v>Bright Print Studio</x:v>
      </x:c>
      <x:c r="F33" t="str">
        <x:f>TRIM('Raw Actuals'!F33)</x:f>
        <x:v>Site visits expense 28</x:v>
      </x:c>
      <x:c r="G33" s="26" t="n">
        <x:v>6305</x:v>
      </x:c>
      <x:c r="H33" t="str">
        <x:f>IF(OR(UPPER(TRIM('Raw Actuals'!H33))="PAID",UPPER(TRIM('Raw Actuals'!H33))="PAID "),"Paid",IF(UPPER(TRIM('Raw Actuals'!H33))="APPROVED","Approved",IF(OR(UPPER(TRIM('Raw Actuals'!H33))="SUBMITTED",UPPER(TRIM('Raw Actuals'!H33))="PENDING"),"Submitted",IF(UPPER(TRIM('Raw Actuals'!H33))="REJECTED","Rejected","Review"))))</x:f>
        <x:v>Paid</x:v>
      </x:c>
      <x:c r="I33" t="str">
        <x:f>IF(OR(H33="Paid",H33="Approved"),"Include","Exclude")</x:f>
        <x:v>Include</x:v>
      </x:c>
      <x:c r="J33" t="str">
        <x:f>IF(B33="","Missing invoice",IF(COUNTIF($B$6:B33,B33)&gt;1,"Duplicate","Unique"))</x:f>
        <x:v>Unique</x:v>
      </x:c>
      <x:c r="K33" s="17" t="str">
        <x:f>IF(A33="","Missing ID; ","")&amp;IF(B33="","Missing invoice; ","")&amp;IF(C33="","Invalid date; ","")&amp;IF(D33="Review","Unmapped category; ","")&amp;IF(E33="Missing","Missing supplier; ","")&amp;IF(OR(G33="",G33&lt;=0),"Invalid amount; ","")&amp;IF(H33="Review","Invalid payment state; ","")&amp;IF(J33="Duplicate","Duplicate invoice; ","")</x:f>
      </x:c>
      <x:c r="L33" t="str">
        <x:f>IF(K33="","Ready","Review")</x:f>
        <x:v>Ready</x:v>
      </x:c>
      <x:c r="M33" s="26" t="n">
        <x:f>IF(AND(L33="Ready",I33="Include"),G33,0)</x:f>
        <x:v>6305</x:v>
      </x:c>
    </x:row>
    <x:row r="34">
      <x:c r="A34" t="str">
        <x:f>UPPER(TRIM('Raw Actuals'!A34))</x:f>
        <x:v>TXN-27-0029</x:v>
      </x:c>
      <x:c r="B34" t="str">
        <x:f>UPPER(TRIM('Raw Actuals'!B34))</x:f>
        <x:v>INV-27-0029</x:v>
      </x:c>
      <x:c r="C34" s="25" t="n">
        <x:f>IFERROR(IF(OR(MID(TRIM('Raw Actuals'!C34),5,1)="-",MID(TRIM('Raw Actuals'!C34),5,1)="/"),DATE(VALUE(LEFT(TRIM('Raw Actuals'!C34),4)),VALUE(MID(TRIM('Raw Actuals'!C34),6,2)),VALUE(RIGHT(TRIM('Raw Actuals'!C34),2))),IF(LEN(TRIM('Raw Actuals'!C34))=10,DATE(VALUE(RIGHT(TRIM('Raw Actuals'!C34),4)),VALUE(MID(TRIM('Raw Actuals'!C34),4,2)),VALUE(LEFT(TRIM('Raw Actuals'!C34),2))),IF(LEN(TRIM('Raw Actuals'!C34))=8,DATE(2000+VALUE(RIGHT(TRIM('Raw Actuals'!C34),2)),VALUE(MID(TRIM('Raw Actuals'!C34),4,2)),VALUE(LEFT(TRIM('Raw Actuals'!C34),2))),""))),"")</x:f>
        <x:v>46441</x:v>
      </x:c>
      <x:c r="D34" t="str">
        <x:f>IF(OR(UPPER(TRIM('Raw Actuals'!D34))="CATERING",UPPER(TRIM('Raw Actuals'!D34))="WORKSHOP CATERING",UPPER(TRIM('Raw Actuals'!D34))="MEALS",UPPER(TRIM('Raw Actuals'!D34))="CATERNG"),"Catering",IF(OR(UPPER(TRIM('Raw Actuals'!D34))="TRANSPORT",UPPER(TRIM('Raw Actuals'!D34))="LEARNER TRANSPORT",UPPER(TRIM('Raw Actuals'!D34))="TAXIS",UPPER(TRIM('Raw Actuals'!D34))="LEARNER TAXI"),"Transport",IF(OR(UPPER(TRIM('Raw Actuals'!D34))="FACILITATION",UPPER(TRIM('Raw Actuals'!D34))="CHAMPION PAYMENTS",UPPER(TRIM('Raw Actuals'!D34))="STIPENDS",UPPER(TRIM('Raw Actuals'!D34))="FACILITATOR FEE"),"Facilitation",IF(OR(UPPER(TRIM('Raw Actuals'!D34))="MATERIALS",UPPER(TRIM('Raw Actuals'!D34))="WORKSHOP MATERIALS",UPPER(TRIM('Raw Actuals'!D34))="MATERIALS / SUPPLIES"),"Materials",IF(OR(UPPER(TRIM('Raw Actuals'!D34))="PRINTING",UPPER(TRIM('Raw Actuals'!D34))="PRINT &amp; CONSENT",UPPER(TRIM('Raw Actuals'!D34))="PRINTING AND CONSENT"),"Printing",IF(OR(UPPER(TRIM('Raw Actuals'!D34))="TRAINING",UPPER(TRIM('Raw Actuals'!D34))="CHAMPION TRAINING",UPPER(TRIM('Raw Actuals'!D34))="FACILITATOR TRAINING"),"Training",IF(OR(UPPER(TRIM('Raw Actuals'!D34))="SITE VISITS",UPPER(TRIM('Raw Actuals'!D34))="SITE VISIT",UPPER(TRIM('Raw Actuals'!D34))="TRAVEL AND SITE VISITS"),"Site visits",IF(OR(UPPER(TRIM('Raw Actuals'!D34))="EVENTS",UPPER(TRIM('Raw Actuals'!D34))="RECOGNITION EVENT",UPPER(TRIM('Raw Actuals'!D34))="BADGE CEREMONY"),"Events",IF(OR(UPPER(TRIM('Raw Actuals'!D34))="VENUE",UPPER(TRIM('Raw Actuals'!D34))="VENUE HIRE",UPPER(TRIM('Raw Actuals'!D34))="TRAINING VENUE"),"Venue",IF(OR(UPPER(TRIM('Raw Actuals'!D34))="ADMINISTRATION",UPPER(TRIM('Raw Actuals'!D34))="ADMIN",UPPER(TRIM('Raw Actuals'!D34))="OPERATIONAL SUPPORT"),"Administration","Review"))))))))))</x:f>
        <x:v>Materials</x:v>
      </x:c>
      <x:c r="E34" t="str">
        <x:f>IF(TRIM('Raw Actuals'!E34)="","Missing",PROPER(TRIM('Raw Actuals'!E34)))</x:f>
        <x:v>Thuto Facilitation</x:v>
      </x:c>
      <x:c r="F34" t="str">
        <x:f>TRIM('Raw Actuals'!F34)</x:f>
        <x:v>Materials expense 29</x:v>
      </x:c>
      <x:c r="G34" s="26" t="n">
        <x:v>-5844</x:v>
      </x:c>
      <x:c r="H34" t="str">
        <x:f>IF(OR(UPPER(TRIM('Raw Actuals'!H34))="PAID",UPPER(TRIM('Raw Actuals'!H34))="PAID "),"Paid",IF(UPPER(TRIM('Raw Actuals'!H34))="APPROVED","Approved",IF(OR(UPPER(TRIM('Raw Actuals'!H34))="SUBMITTED",UPPER(TRIM('Raw Actuals'!H34))="PENDING"),"Submitted",IF(UPPER(TRIM('Raw Actuals'!H34))="REJECTED","Rejected","Review"))))</x:f>
        <x:v>Approved</x:v>
      </x:c>
      <x:c r="I34" t="str">
        <x:f>IF(OR(H34="Paid",H34="Approved"),"Include","Exclude")</x:f>
        <x:v>Include</x:v>
      </x:c>
      <x:c r="J34" t="str">
        <x:f>IF(B34="","Missing invoice",IF(COUNTIF($B$6:B34,B34)&gt;1,"Duplicate","Unique"))</x:f>
        <x:v>Unique</x:v>
      </x:c>
      <x:c r="K34" s="17" t="str">
        <x:f>IF(A34="","Missing ID; ","")&amp;IF(B34="","Missing invoice; ","")&amp;IF(C34="","Invalid date; ","")&amp;IF(D34="Review","Unmapped category; ","")&amp;IF(E34="Missing","Missing supplier; ","")&amp;IF(OR(G34="",G34&lt;=0),"Invalid amount; ","")&amp;IF(H34="Review","Invalid payment state; ","")&amp;IF(J34="Duplicate","Duplicate invoice; ","")</x:f>
        <x:v>Invalid amount; </x:v>
      </x:c>
      <x:c r="L34" t="str">
        <x:f>IF(K34="","Ready","Review")</x:f>
        <x:v>Review</x:v>
      </x:c>
      <x:c r="M34" s="26" t="n">
        <x:f>IF(AND(L34="Ready",I34="Include"),G34,0)</x:f>
        <x:v>0</x:v>
      </x:c>
    </x:row>
    <x:row r="35">
      <x:c r="A35" t="str">
        <x:f>UPPER(TRIM('Raw Actuals'!A35))</x:f>
        <x:v>TXN-27-0030</x:v>
      </x:c>
      <x:c r="B35" t="str">
        <x:f>UPPER(TRIM('Raw Actuals'!B35))</x:f>
        <x:v>INV-27-0030</x:v>
      </x:c>
      <x:c r="C35" s="25" t="n">
        <x:f>IFERROR(IF(OR(MID(TRIM('Raw Actuals'!C35),5,1)="-",MID(TRIM('Raw Actuals'!C35),5,1)="/"),DATE(VALUE(LEFT(TRIM('Raw Actuals'!C35),4)),VALUE(MID(TRIM('Raw Actuals'!C35),6,2)),VALUE(RIGHT(TRIM('Raw Actuals'!C35),2))),IF(LEN(TRIM('Raw Actuals'!C35))=10,DATE(VALUE(RIGHT(TRIM('Raw Actuals'!C35),4)),VALUE(MID(TRIM('Raw Actuals'!C35),4,2)),VALUE(LEFT(TRIM('Raw Actuals'!C35),2))),IF(LEN(TRIM('Raw Actuals'!C35))=8,DATE(2000+VALUE(RIGHT(TRIM('Raw Actuals'!C35),2)),VALUE(MID(TRIM('Raw Actuals'!C35),4,2)),VALUE(LEFT(TRIM('Raw Actuals'!C35),2))),""))),"")</x:f>
        <x:v>46394</x:v>
      </x:c>
      <x:c r="D35" t="str">
        <x:f>IF(OR(UPPER(TRIM('Raw Actuals'!D35))="CATERING",UPPER(TRIM('Raw Actuals'!D35))="WORKSHOP CATERING",UPPER(TRIM('Raw Actuals'!D35))="MEALS",UPPER(TRIM('Raw Actuals'!D35))="CATERNG"),"Catering",IF(OR(UPPER(TRIM('Raw Actuals'!D35))="TRANSPORT",UPPER(TRIM('Raw Actuals'!D35))="LEARNER TRANSPORT",UPPER(TRIM('Raw Actuals'!D35))="TAXIS",UPPER(TRIM('Raw Actuals'!D35))="LEARNER TAXI"),"Transport",IF(OR(UPPER(TRIM('Raw Actuals'!D35))="FACILITATION",UPPER(TRIM('Raw Actuals'!D35))="CHAMPION PAYMENTS",UPPER(TRIM('Raw Actuals'!D35))="STIPENDS",UPPER(TRIM('Raw Actuals'!D35))="FACILITATOR FEE"),"Facilitation",IF(OR(UPPER(TRIM('Raw Actuals'!D35))="MATERIALS",UPPER(TRIM('Raw Actuals'!D35))="WORKSHOP MATERIALS",UPPER(TRIM('Raw Actuals'!D35))="MATERIALS / SUPPLIES"),"Materials",IF(OR(UPPER(TRIM('Raw Actuals'!D35))="PRINTING",UPPER(TRIM('Raw Actuals'!D35))="PRINT &amp; CONSENT",UPPER(TRIM('Raw Actuals'!D35))="PRINTING AND CONSENT"),"Printing",IF(OR(UPPER(TRIM('Raw Actuals'!D35))="TRAINING",UPPER(TRIM('Raw Actuals'!D35))="CHAMPION TRAINING",UPPER(TRIM('Raw Actuals'!D35))="FACILITATOR TRAINING"),"Training",IF(OR(UPPER(TRIM('Raw Actuals'!D35))="SITE VISITS",UPPER(TRIM('Raw Actuals'!D35))="SITE VISIT",UPPER(TRIM('Raw Actuals'!D35))="TRAVEL AND SITE VISITS"),"Site visits",IF(OR(UPPER(TRIM('Raw Actuals'!D35))="EVENTS",UPPER(TRIM('Raw Actuals'!D35))="RECOGNITION EVENT",UPPER(TRIM('Raw Actuals'!D35))="BADGE CEREMONY"),"Events",IF(OR(UPPER(TRIM('Raw Actuals'!D35))="VENUE",UPPER(TRIM('Raw Actuals'!D35))="VENUE HIRE",UPPER(TRIM('Raw Actuals'!D35))="TRAINING VENUE"),"Venue",IF(OR(UPPER(TRIM('Raw Actuals'!D35))="ADMINISTRATION",UPPER(TRIM('Raw Actuals'!D35))="ADMIN",UPPER(TRIM('Raw Actuals'!D35))="OPERATIONAL SUPPORT"),"Administration","Review"))))))))))</x:f>
        <x:v>Catering</x:v>
      </x:c>
      <x:c r="E35" t="str">
        <x:f>IF(TRIM('Raw Actuals'!E35)="","Missing",PROPER(TRIM('Raw Actuals'!E35)))</x:f>
        <x:v>Moya Supplies</x:v>
      </x:c>
      <x:c r="F35" t="str">
        <x:f>TRIM('Raw Actuals'!F35)</x:f>
        <x:v>Catering expense 30</x:v>
      </x:c>
      <x:c r="G35" s="26" t="n">
        <x:v>5922</x:v>
      </x:c>
      <x:c r="H35" t="str">
        <x:f>IF(OR(UPPER(TRIM('Raw Actuals'!H35))="PAID",UPPER(TRIM('Raw Actuals'!H35))="PAID "),"Paid",IF(UPPER(TRIM('Raw Actuals'!H35))="APPROVED","Approved",IF(OR(UPPER(TRIM('Raw Actuals'!H35))="SUBMITTED",UPPER(TRIM('Raw Actuals'!H35))="PENDING"),"Submitted",IF(UPPER(TRIM('Raw Actuals'!H35))="REJECTED","Rejected","Review"))))</x:f>
        <x:v>Submitted</x:v>
      </x:c>
      <x:c r="I35" t="str">
        <x:f>IF(OR(H35="Paid",H35="Approved"),"Include","Exclude")</x:f>
        <x:v>Exclude</x:v>
      </x:c>
      <x:c r="J35" t="str">
        <x:f>IF(B35="","Missing invoice",IF(COUNTIF($B$6:B35,B35)&gt;1,"Duplicate","Unique"))</x:f>
        <x:v>Unique</x:v>
      </x:c>
      <x:c r="K35" s="17" t="str">
        <x:f>IF(A35="","Missing ID; ","")&amp;IF(B35="","Missing invoice; ","")&amp;IF(C35="","Invalid date; ","")&amp;IF(D35="Review","Unmapped category; ","")&amp;IF(E35="Missing","Missing supplier; ","")&amp;IF(OR(G35="",G35&lt;=0),"Invalid amount; ","")&amp;IF(H35="Review","Invalid payment state; ","")&amp;IF(J35="Duplicate","Duplicate invoice; ","")</x:f>
      </x:c>
      <x:c r="L35" t="str">
        <x:f>IF(K35="","Ready","Review")</x:f>
        <x:v>Ready</x:v>
      </x:c>
      <x:c r="M35" s="26" t="n">
        <x:f>IF(AND(L35="Ready",I35="Include"),G35,0)</x:f>
        <x:v>0</x:v>
      </x:c>
    </x:row>
    <x:row r="36">
      <x:c r="A36" t="str">
        <x:f>UPPER(TRIM('Raw Actuals'!A36))</x:f>
        <x:v>TXN-27-0031</x:v>
      </x:c>
      <x:c r="B36" t="str">
        <x:f>UPPER(TRIM('Raw Actuals'!B36))</x:f>
        <x:v>INV-27-0031</x:v>
      </x:c>
      <x:c r="C36" s="25" t="n">
        <x:f>IFERROR(IF(OR(MID(TRIM('Raw Actuals'!C36),5,1)="-",MID(TRIM('Raw Actuals'!C36),5,1)="/"),DATE(VALUE(LEFT(TRIM('Raw Actuals'!C36),4)),VALUE(MID(TRIM('Raw Actuals'!C36),6,2)),VALUE(RIGHT(TRIM('Raw Actuals'!C36),2))),IF(LEN(TRIM('Raw Actuals'!C36))=10,DATE(VALUE(RIGHT(TRIM('Raw Actuals'!C36),4)),VALUE(MID(TRIM('Raw Actuals'!C36),4,2)),VALUE(LEFT(TRIM('Raw Actuals'!C36),2))),IF(LEN(TRIM('Raw Actuals'!C36))=8,DATE(2000+VALUE(RIGHT(TRIM('Raw Actuals'!C36),2)),VALUE(MID(TRIM('Raw Actuals'!C36),4,2)),VALUE(LEFT(TRIM('Raw Actuals'!C36),2))),""))),"")</x:f>
        <x:v>46556</x:v>
      </x:c>
      <x:c r="D36" t="str">
        <x:f>IF(OR(UPPER(TRIM('Raw Actuals'!D36))="CATERING",UPPER(TRIM('Raw Actuals'!D36))="WORKSHOP CATERING",UPPER(TRIM('Raw Actuals'!D36))="MEALS",UPPER(TRIM('Raw Actuals'!D36))="CATERNG"),"Catering",IF(OR(UPPER(TRIM('Raw Actuals'!D36))="TRANSPORT",UPPER(TRIM('Raw Actuals'!D36))="LEARNER TRANSPORT",UPPER(TRIM('Raw Actuals'!D36))="TAXIS",UPPER(TRIM('Raw Actuals'!D36))="LEARNER TAXI"),"Transport",IF(OR(UPPER(TRIM('Raw Actuals'!D36))="FACILITATION",UPPER(TRIM('Raw Actuals'!D36))="CHAMPION PAYMENTS",UPPER(TRIM('Raw Actuals'!D36))="STIPENDS",UPPER(TRIM('Raw Actuals'!D36))="FACILITATOR FEE"),"Facilitation",IF(OR(UPPER(TRIM('Raw Actuals'!D36))="MATERIALS",UPPER(TRIM('Raw Actuals'!D36))="WORKSHOP MATERIALS",UPPER(TRIM('Raw Actuals'!D36))="MATERIALS / SUPPLIES"),"Materials",IF(OR(UPPER(TRIM('Raw Actuals'!D36))="PRINTING",UPPER(TRIM('Raw Actuals'!D36))="PRINT &amp; CONSENT",UPPER(TRIM('Raw Actuals'!D36))="PRINTING AND CONSENT"),"Printing",IF(OR(UPPER(TRIM('Raw Actuals'!D36))="TRAINING",UPPER(TRIM('Raw Actuals'!D36))="CHAMPION TRAINING",UPPER(TRIM('Raw Actuals'!D36))="FACILITATOR TRAINING"),"Training",IF(OR(UPPER(TRIM('Raw Actuals'!D36))="SITE VISITS",UPPER(TRIM('Raw Actuals'!D36))="SITE VISIT",UPPER(TRIM('Raw Actuals'!D36))="TRAVEL AND SITE VISITS"),"Site visits",IF(OR(UPPER(TRIM('Raw Actuals'!D36))="EVENTS",UPPER(TRIM('Raw Actuals'!D36))="RECOGNITION EVENT",UPPER(TRIM('Raw Actuals'!D36))="BADGE CEREMONY"),"Events",IF(OR(UPPER(TRIM('Raw Actuals'!D36))="VENUE",UPPER(TRIM('Raw Actuals'!D36))="VENUE HIRE",UPPER(TRIM('Raw Actuals'!D36))="TRAINING VENUE"),"Venue",IF(OR(UPPER(TRIM('Raw Actuals'!D36))="ADMINISTRATION",UPPER(TRIM('Raw Actuals'!D36))="ADMIN",UPPER(TRIM('Raw Actuals'!D36))="OPERATIONAL SUPPORT"),"Administration","Review"))))))))))</x:f>
        <x:v>Events</x:v>
      </x:c>
      <x:c r="E36" t="str">
        <x:f>IF(TRIM('Raw Actuals'!E36)="","Missing",PROPER(TRIM('Raw Actuals'!E36)))</x:f>
        <x:v>Northline Transport</x:v>
      </x:c>
      <x:c r="F36" t="str">
        <x:f>TRIM('Raw Actuals'!F36)</x:f>
        <x:v>Events expense 31</x:v>
      </x:c>
      <x:c r="G36" s="26" t="n">
        <x:v>6061</x:v>
      </x:c>
      <x:c r="H36" t="str">
        <x:f>IF(OR(UPPER(TRIM('Raw Actuals'!H36))="PAID",UPPER(TRIM('Raw Actuals'!H36))="PAID "),"Paid",IF(UPPER(TRIM('Raw Actuals'!H36))="APPROVED","Approved",IF(OR(UPPER(TRIM('Raw Actuals'!H36))="SUBMITTED",UPPER(TRIM('Raw Actuals'!H36))="PENDING"),"Submitted",IF(UPPER(TRIM('Raw Actuals'!H36))="REJECTED","Rejected","Review"))))</x:f>
        <x:v>Rejected</x:v>
      </x:c>
      <x:c r="I36" t="str">
        <x:f>IF(OR(H36="Paid",H36="Approved"),"Include","Exclude")</x:f>
        <x:v>Exclude</x:v>
      </x:c>
      <x:c r="J36" t="str">
        <x:f>IF(B36="","Missing invoice",IF(COUNTIF($B$6:B36,B36)&gt;1,"Duplicate","Unique"))</x:f>
        <x:v>Unique</x:v>
      </x:c>
      <x:c r="K36" s="17" t="str">
        <x:f>IF(A36="","Missing ID; ","")&amp;IF(B36="","Missing invoice; ","")&amp;IF(C36="","Invalid date; ","")&amp;IF(D36="Review","Unmapped category; ","")&amp;IF(E36="Missing","Missing supplier; ","")&amp;IF(OR(G36="",G36&lt;=0),"Invalid amount; ","")&amp;IF(H36="Review","Invalid payment state; ","")&amp;IF(J36="Duplicate","Duplicate invoice; ","")</x:f>
      </x:c>
      <x:c r="L36" t="str">
        <x:f>IF(K36="","Ready","Review")</x:f>
        <x:v>Ready</x:v>
      </x:c>
      <x:c r="M36" s="26" t="n">
        <x:f>IF(AND(L36="Ready",I36="Include"),G36,0)</x:f>
        <x:v>0</x:v>
      </x:c>
    </x:row>
    <x:row r="37">
      <x:c r="A37" t="str">
        <x:f>UPPER(TRIM('Raw Actuals'!A37))</x:f>
        <x:v>TXN-27-0032</x:v>
      </x:c>
      <x:c r="B37" t="str">
        <x:f>UPPER(TRIM('Raw Actuals'!B37))</x:f>
        <x:v>INV-27-0032</x:v>
      </x:c>
      <x:c r="C37" s="25" t="n">
        <x:f>IFERROR(IF(OR(MID(TRIM('Raw Actuals'!C37),5,1)="-",MID(TRIM('Raw Actuals'!C37),5,1)="/"),DATE(VALUE(LEFT(TRIM('Raw Actuals'!C37),4)),VALUE(MID(TRIM('Raw Actuals'!C37),6,2)),VALUE(RIGHT(TRIM('Raw Actuals'!C37),2))),IF(LEN(TRIM('Raw Actuals'!C37))=10,DATE(VALUE(RIGHT(TRIM('Raw Actuals'!C37),4)),VALUE(MID(TRIM('Raw Actuals'!C37),4,2)),VALUE(LEFT(TRIM('Raw Actuals'!C37),2))),IF(LEN(TRIM('Raw Actuals'!C37))=8,DATE(2000+VALUE(RIGHT(TRIM('Raw Actuals'!C37),2)),VALUE(MID(TRIM('Raw Actuals'!C37),4,2)),VALUE(LEFT(TRIM('Raw Actuals'!C37),2))),""))),"")</x:f>
        <x:v>46509</x:v>
      </x:c>
      <x:c r="D37" t="str">
        <x:f>IF(OR(UPPER(TRIM('Raw Actuals'!D37))="CATERING",UPPER(TRIM('Raw Actuals'!D37))="WORKSHOP CATERING",UPPER(TRIM('Raw Actuals'!D37))="MEALS",UPPER(TRIM('Raw Actuals'!D37))="CATERNG"),"Catering",IF(OR(UPPER(TRIM('Raw Actuals'!D37))="TRANSPORT",UPPER(TRIM('Raw Actuals'!D37))="LEARNER TRANSPORT",UPPER(TRIM('Raw Actuals'!D37))="TAXIS",UPPER(TRIM('Raw Actuals'!D37))="LEARNER TAXI"),"Transport",IF(OR(UPPER(TRIM('Raw Actuals'!D37))="FACILITATION",UPPER(TRIM('Raw Actuals'!D37))="CHAMPION PAYMENTS",UPPER(TRIM('Raw Actuals'!D37))="STIPENDS",UPPER(TRIM('Raw Actuals'!D37))="FACILITATOR FEE"),"Facilitation",IF(OR(UPPER(TRIM('Raw Actuals'!D37))="MATERIALS",UPPER(TRIM('Raw Actuals'!D37))="WORKSHOP MATERIALS",UPPER(TRIM('Raw Actuals'!D37))="MATERIALS / SUPPLIES"),"Materials",IF(OR(UPPER(TRIM('Raw Actuals'!D37))="PRINTING",UPPER(TRIM('Raw Actuals'!D37))="PRINT &amp; CONSENT",UPPER(TRIM('Raw Actuals'!D37))="PRINTING AND CONSENT"),"Printing",IF(OR(UPPER(TRIM('Raw Actuals'!D37))="TRAINING",UPPER(TRIM('Raw Actuals'!D37))="CHAMPION TRAINING",UPPER(TRIM('Raw Actuals'!D37))="FACILITATOR TRAINING"),"Training",IF(OR(UPPER(TRIM('Raw Actuals'!D37))="SITE VISITS",UPPER(TRIM('Raw Actuals'!D37))="SITE VISIT",UPPER(TRIM('Raw Actuals'!D37))="TRAVEL AND SITE VISITS"),"Site visits",IF(OR(UPPER(TRIM('Raw Actuals'!D37))="EVENTS",UPPER(TRIM('Raw Actuals'!D37))="RECOGNITION EVENT",UPPER(TRIM('Raw Actuals'!D37))="BADGE CEREMONY"),"Events",IF(OR(UPPER(TRIM('Raw Actuals'!D37))="VENUE",UPPER(TRIM('Raw Actuals'!D37))="VENUE HIRE",UPPER(TRIM('Raw Actuals'!D37))="TRAINING VENUE"),"Venue",IF(OR(UPPER(TRIM('Raw Actuals'!D37))="ADMINISTRATION",UPPER(TRIM('Raw Actuals'!D37))="ADMIN",UPPER(TRIM('Raw Actuals'!D37))="OPERATIONAL SUPPORT"),"Administration","Review"))))))))))</x:f>
        <x:v>Printing</x:v>
      </x:c>
      <x:c r="E37" t="str">
        <x:f>IF(TRIM('Raw Actuals'!E37)="","Missing",PROPER(TRIM('Raw Actuals'!E37)))</x:f>
        <x:v>Kopano Catering</x:v>
      </x:c>
      <x:c r="F37" t="str">
        <x:f>TRIM('Raw Actuals'!F37)</x:f>
        <x:v>Printing expense 32</x:v>
      </x:c>
      <x:c r="G37" s="26" t="n">
        <x:v>5906</x:v>
      </x:c>
      <x:c r="H37" t="str">
        <x:f>IF(OR(UPPER(TRIM('Raw Actuals'!H37))="PAID",UPPER(TRIM('Raw Actuals'!H37))="PAID "),"Paid",IF(UPPER(TRIM('Raw Actuals'!H37))="APPROVED","Approved",IF(OR(UPPER(TRIM('Raw Actuals'!H37))="SUBMITTED",UPPER(TRIM('Raw Actuals'!H37))="PENDING"),"Submitted",IF(UPPER(TRIM('Raw Actuals'!H37))="REJECTED","Rejected","Review"))))</x:f>
        <x:v>Paid</x:v>
      </x:c>
      <x:c r="I37" t="str">
        <x:f>IF(OR(H37="Paid",H37="Approved"),"Include","Exclude")</x:f>
        <x:v>Include</x:v>
      </x:c>
      <x:c r="J37" t="str">
        <x:f>IF(B37="","Missing invoice",IF(COUNTIF($B$6:B37,B37)&gt;1,"Duplicate","Unique"))</x:f>
        <x:v>Unique</x:v>
      </x:c>
      <x:c r="K37" s="17" t="str">
        <x:f>IF(A37="","Missing ID; ","")&amp;IF(B37="","Missing invoice; ","")&amp;IF(C37="","Invalid date; ","")&amp;IF(D37="Review","Unmapped category; ","")&amp;IF(E37="Missing","Missing supplier; ","")&amp;IF(OR(G37="",G37&lt;=0),"Invalid amount; ","")&amp;IF(H37="Review","Invalid payment state; ","")&amp;IF(J37="Duplicate","Duplicate invoice; ","")</x:f>
      </x:c>
      <x:c r="L37" t="str">
        <x:f>IF(K37="","Ready","Review")</x:f>
        <x:v>Ready</x:v>
      </x:c>
      <x:c r="M37" s="26" t="n">
        <x:f>IF(AND(L37="Ready",I37="Include"),G37,0)</x:f>
        <x:v>5906</x:v>
      </x:c>
    </x:row>
    <x:row r="38">
      <x:c r="A38" t="str">
        <x:f>UPPER(TRIM('Raw Actuals'!A38))</x:f>
        <x:v>TXN-27-0033</x:v>
      </x:c>
      <x:c r="B38" t="str">
        <x:f>UPPER(TRIM('Raw Actuals'!B38))</x:f>
        <x:v>INV-27-0033</x:v>
      </x:c>
      <x:c r="C38" s="25" t="n">
        <x:f>IFERROR(IF(OR(MID(TRIM('Raw Actuals'!C38),5,1)="-",MID(TRIM('Raw Actuals'!C38),5,1)="/"),DATE(VALUE(LEFT(TRIM('Raw Actuals'!C38),4)),VALUE(MID(TRIM('Raw Actuals'!C38),6,2)),VALUE(RIGHT(TRIM('Raw Actuals'!C38),2))),IF(LEN(TRIM('Raw Actuals'!C38))=10,DATE(VALUE(RIGHT(TRIM('Raw Actuals'!C38),4)),VALUE(MID(TRIM('Raw Actuals'!C38),4,2)),VALUE(LEFT(TRIM('Raw Actuals'!C38),2))),IF(LEN(TRIM('Raw Actuals'!C38))=8,DATE(2000+VALUE(RIGHT(TRIM('Raw Actuals'!C38),2)),VALUE(MID(TRIM('Raw Actuals'!C38),4,2)),VALUE(LEFT(TRIM('Raw Actuals'!C38),2))),""))),"")</x:f>
        <x:v>46490</x:v>
      </x:c>
      <x:c r="D38" t="str">
        <x:f>IF(OR(UPPER(TRIM('Raw Actuals'!D38))="CATERING",UPPER(TRIM('Raw Actuals'!D38))="WORKSHOP CATERING",UPPER(TRIM('Raw Actuals'!D38))="MEALS",UPPER(TRIM('Raw Actuals'!D38))="CATERNG"),"Catering",IF(OR(UPPER(TRIM('Raw Actuals'!D38))="TRANSPORT",UPPER(TRIM('Raw Actuals'!D38))="LEARNER TRANSPORT",UPPER(TRIM('Raw Actuals'!D38))="TAXIS",UPPER(TRIM('Raw Actuals'!D38))="LEARNER TAXI"),"Transport",IF(OR(UPPER(TRIM('Raw Actuals'!D38))="FACILITATION",UPPER(TRIM('Raw Actuals'!D38))="CHAMPION PAYMENTS",UPPER(TRIM('Raw Actuals'!D38))="STIPENDS",UPPER(TRIM('Raw Actuals'!D38))="FACILITATOR FEE"),"Facilitation",IF(OR(UPPER(TRIM('Raw Actuals'!D38))="MATERIALS",UPPER(TRIM('Raw Actuals'!D38))="WORKSHOP MATERIALS",UPPER(TRIM('Raw Actuals'!D38))="MATERIALS / SUPPLIES"),"Materials",IF(OR(UPPER(TRIM('Raw Actuals'!D38))="PRINTING",UPPER(TRIM('Raw Actuals'!D38))="PRINT &amp; CONSENT",UPPER(TRIM('Raw Actuals'!D38))="PRINTING AND CONSENT"),"Printing",IF(OR(UPPER(TRIM('Raw Actuals'!D38))="TRAINING",UPPER(TRIM('Raw Actuals'!D38))="CHAMPION TRAINING",UPPER(TRIM('Raw Actuals'!D38))="FACILITATOR TRAINING"),"Training",IF(OR(UPPER(TRIM('Raw Actuals'!D38))="SITE VISITS",UPPER(TRIM('Raw Actuals'!D38))="SITE VISIT",UPPER(TRIM('Raw Actuals'!D38))="TRAVEL AND SITE VISITS"),"Site visits",IF(OR(UPPER(TRIM('Raw Actuals'!D38))="EVENTS",UPPER(TRIM('Raw Actuals'!D38))="RECOGNITION EVENT",UPPER(TRIM('Raw Actuals'!D38))="BADGE CEREMONY"),"Events",IF(OR(UPPER(TRIM('Raw Actuals'!D38))="VENUE",UPPER(TRIM('Raw Actuals'!D38))="VENUE HIRE",UPPER(TRIM('Raw Actuals'!D38))="TRAINING VENUE"),"Venue",IF(OR(UPPER(TRIM('Raw Actuals'!D38))="ADMINISTRATION",UPPER(TRIM('Raw Actuals'!D38))="ADMIN",UPPER(TRIM('Raw Actuals'!D38))="OPERATIONAL SUPPORT"),"Administration","Review"))))))))))</x:f>
        <x:v>Transport</x:v>
      </x:c>
      <x:c r="E38" t="str">
        <x:f>IF(TRIM('Raw Actuals'!E38)="","Missing",PROPER(TRIM('Raw Actuals'!E38)))</x:f>
        <x:v>Riverside Venue Hire</x:v>
      </x:c>
      <x:c r="F38" t="str">
        <x:f>TRIM('Raw Actuals'!F38)</x:f>
        <x:v>Transport expense 33</x:v>
      </x:c>
      <x:c r="G38" s="26" t="n">
        <x:v>6912</x:v>
      </x:c>
      <x:c r="H38" t="str">
        <x:f>IF(OR(UPPER(TRIM('Raw Actuals'!H38))="PAID",UPPER(TRIM('Raw Actuals'!H38))="PAID "),"Paid",IF(UPPER(TRIM('Raw Actuals'!H38))="APPROVED","Approved",IF(OR(UPPER(TRIM('Raw Actuals'!H38))="SUBMITTED",UPPER(TRIM('Raw Actuals'!H38))="PENDING"),"Submitted",IF(UPPER(TRIM('Raw Actuals'!H38))="REJECTED","Rejected","Review"))))</x:f>
        <x:v>Approved</x:v>
      </x:c>
      <x:c r="I38" t="str">
        <x:f>IF(OR(H38="Paid",H38="Approved"),"Include","Exclude")</x:f>
        <x:v>Include</x:v>
      </x:c>
      <x:c r="J38" t="str">
        <x:f>IF(B38="","Missing invoice",IF(COUNTIF($B$6:B38,B38)&gt;1,"Duplicate","Unique"))</x:f>
        <x:v>Unique</x:v>
      </x:c>
      <x:c r="K38" s="17" t="str">
        <x:f>IF(A38="","Missing ID; ","")&amp;IF(B38="","Missing invoice; ","")&amp;IF(C38="","Invalid date; ","")&amp;IF(D38="Review","Unmapped category; ","")&amp;IF(E38="Missing","Missing supplier; ","")&amp;IF(OR(G38="",G38&lt;=0),"Invalid amount; ","")&amp;IF(H38="Review","Invalid payment state; ","")&amp;IF(J38="Duplicate","Duplicate invoice; ","")</x:f>
      </x:c>
      <x:c r="L38" t="str">
        <x:f>IF(K38="","Ready","Review")</x:f>
        <x:v>Ready</x:v>
      </x:c>
      <x:c r="M38" s="26" t="n">
        <x:f>IF(AND(L38="Ready",I38="Include"),G38,0)</x:f>
        <x:v>6912</x:v>
      </x:c>
    </x:row>
    <x:row r="39">
      <x:c r="A39" t="str">
        <x:f>UPPER(TRIM('Raw Actuals'!A39))</x:f>
        <x:v>TXN-27-0034</x:v>
      </x:c>
      <x:c r="B39" t="str">
        <x:f>UPPER(TRIM('Raw Actuals'!B39))</x:f>
        <x:v>INV-27-0034</x:v>
      </x:c>
      <x:c r="C39" s="25" t="n">
        <x:f>IFERROR(IF(OR(MID(TRIM('Raw Actuals'!C39),5,1)="-",MID(TRIM('Raw Actuals'!C39),5,1)="/"),DATE(VALUE(LEFT(TRIM('Raw Actuals'!C39),4)),VALUE(MID(TRIM('Raw Actuals'!C39),6,2)),VALUE(RIGHT(TRIM('Raw Actuals'!C39),2))),IF(LEN(TRIM('Raw Actuals'!C39))=10,DATE(VALUE(RIGHT(TRIM('Raw Actuals'!C39),4)),VALUE(MID(TRIM('Raw Actuals'!C39),4,2)),VALUE(LEFT(TRIM('Raw Actuals'!C39),2))),IF(LEN(TRIM('Raw Actuals'!C39))=8,DATE(2000+VALUE(RIGHT(TRIM('Raw Actuals'!C39),2)),VALUE(MID(TRIM('Raw Actuals'!C39),4,2)),VALUE(LEFT(TRIM('Raw Actuals'!C39),2))),""))),"")</x:f>
        <x:v>46470</x:v>
      </x:c>
      <x:c r="D39" t="str">
        <x:f>IF(OR(UPPER(TRIM('Raw Actuals'!D39))="CATERING",UPPER(TRIM('Raw Actuals'!D39))="WORKSHOP CATERING",UPPER(TRIM('Raw Actuals'!D39))="MEALS",UPPER(TRIM('Raw Actuals'!D39))="CATERNG"),"Catering",IF(OR(UPPER(TRIM('Raw Actuals'!D39))="TRANSPORT",UPPER(TRIM('Raw Actuals'!D39))="LEARNER TRANSPORT",UPPER(TRIM('Raw Actuals'!D39))="TAXIS",UPPER(TRIM('Raw Actuals'!D39))="LEARNER TAXI"),"Transport",IF(OR(UPPER(TRIM('Raw Actuals'!D39))="FACILITATION",UPPER(TRIM('Raw Actuals'!D39))="CHAMPION PAYMENTS",UPPER(TRIM('Raw Actuals'!D39))="STIPENDS",UPPER(TRIM('Raw Actuals'!D39))="FACILITATOR FEE"),"Facilitation",IF(OR(UPPER(TRIM('Raw Actuals'!D39))="MATERIALS",UPPER(TRIM('Raw Actuals'!D39))="WORKSHOP MATERIALS",UPPER(TRIM('Raw Actuals'!D39))="MATERIALS / SUPPLIES"),"Materials",IF(OR(UPPER(TRIM('Raw Actuals'!D39))="PRINTING",UPPER(TRIM('Raw Actuals'!D39))="PRINT &amp; CONSENT",UPPER(TRIM('Raw Actuals'!D39))="PRINTING AND CONSENT"),"Printing",IF(OR(UPPER(TRIM('Raw Actuals'!D39))="TRAINING",UPPER(TRIM('Raw Actuals'!D39))="CHAMPION TRAINING",UPPER(TRIM('Raw Actuals'!D39))="FACILITATOR TRAINING"),"Training",IF(OR(UPPER(TRIM('Raw Actuals'!D39))="SITE VISITS",UPPER(TRIM('Raw Actuals'!D39))="SITE VISIT",UPPER(TRIM('Raw Actuals'!D39))="TRAVEL AND SITE VISITS"),"Site visits",IF(OR(UPPER(TRIM('Raw Actuals'!D39))="EVENTS",UPPER(TRIM('Raw Actuals'!D39))="RECOGNITION EVENT",UPPER(TRIM('Raw Actuals'!D39))="BADGE CEREMONY"),"Events",IF(OR(UPPER(TRIM('Raw Actuals'!D39))="VENUE",UPPER(TRIM('Raw Actuals'!D39))="VENUE HIRE",UPPER(TRIM('Raw Actuals'!D39))="TRAINING VENUE"),"Venue",IF(OR(UPPER(TRIM('Raw Actuals'!D39))="ADMINISTRATION",UPPER(TRIM('Raw Actuals'!D39))="ADMIN",UPPER(TRIM('Raw Actuals'!D39))="OPERATIONAL SUPPORT"),"Administration","Review"))))))))))</x:f>
        <x:v>Venue</x:v>
      </x:c>
      <x:c r="E39" t="str">
        <x:f>IF(TRIM('Raw Actuals'!E39)="","Missing",PROPER(TRIM('Raw Actuals'!E39)))</x:f>
        <x:v>Bright Print Studio</x:v>
      </x:c>
      <x:c r="F39" t="str">
        <x:f>TRIM('Raw Actuals'!F39)</x:f>
        <x:v>Venue expense 34</x:v>
      </x:c>
      <x:c r="G39" s="26" t="n">
        <x:v>5873</x:v>
      </x:c>
      <x:c r="H39" t="str">
        <x:f>IF(OR(UPPER(TRIM('Raw Actuals'!H39))="PAID",UPPER(TRIM('Raw Actuals'!H39))="PAID "),"Paid",IF(UPPER(TRIM('Raw Actuals'!H39))="APPROVED","Approved",IF(OR(UPPER(TRIM('Raw Actuals'!H39))="SUBMITTED",UPPER(TRIM('Raw Actuals'!H39))="PENDING"),"Submitted",IF(UPPER(TRIM('Raw Actuals'!H39))="REJECTED","Rejected","Review"))))</x:f>
        <x:v>Paid</x:v>
      </x:c>
      <x:c r="I39" t="str">
        <x:f>IF(OR(H39="Paid",H39="Approved"),"Include","Exclude")</x:f>
        <x:v>Include</x:v>
      </x:c>
      <x:c r="J39" t="str">
        <x:f>IF(B39="","Missing invoice",IF(COUNTIF($B$6:B39,B39)&gt;1,"Duplicate","Unique"))</x:f>
        <x:v>Unique</x:v>
      </x:c>
      <x:c r="K39" s="17" t="str">
        <x:f>IF(A39="","Missing ID; ","")&amp;IF(B39="","Missing invoice; ","")&amp;IF(C39="","Invalid date; ","")&amp;IF(D39="Review","Unmapped category; ","")&amp;IF(E39="Missing","Missing supplier; ","")&amp;IF(OR(G39="",G39&lt;=0),"Invalid amount; ","")&amp;IF(H39="Review","Invalid payment state; ","")&amp;IF(J39="Duplicate","Duplicate invoice; ","")</x:f>
      </x:c>
      <x:c r="L39" t="str">
        <x:f>IF(K39="","Ready","Review")</x:f>
        <x:v>Ready</x:v>
      </x:c>
      <x:c r="M39" s="26" t="n">
        <x:f>IF(AND(L39="Ready",I39="Include"),G39,0)</x:f>
        <x:v>5873</x:v>
      </x:c>
    </x:row>
    <x:row r="40">
      <x:c r="A40" t="str">
        <x:f>UPPER(TRIM('Raw Actuals'!A40))</x:f>
        <x:v>TXN-27-0035</x:v>
      </x:c>
      <x:c r="B40" t="str">
        <x:f>UPPER(TRIM('Raw Actuals'!B40))</x:f>
        <x:v>INV-27-0035</x:v>
      </x:c>
      <x:c r="C40" s="25" t="n">
        <x:f>IFERROR(IF(OR(MID(TRIM('Raw Actuals'!C40),5,1)="-",MID(TRIM('Raw Actuals'!C40),5,1)="/"),DATE(VALUE(LEFT(TRIM('Raw Actuals'!C40),4)),VALUE(MID(TRIM('Raw Actuals'!C40),6,2)),VALUE(RIGHT(TRIM('Raw Actuals'!C40),2))),IF(LEN(TRIM('Raw Actuals'!C40))=10,DATE(VALUE(RIGHT(TRIM('Raw Actuals'!C40),4)),VALUE(MID(TRIM('Raw Actuals'!C40),4,2)),VALUE(LEFT(TRIM('Raw Actuals'!C40),2))),IF(LEN(TRIM('Raw Actuals'!C40))=8,DATE(2000+VALUE(RIGHT(TRIM('Raw Actuals'!C40),2)),VALUE(MID(TRIM('Raw Actuals'!C40),4,2)),VALUE(LEFT(TRIM('Raw Actuals'!C40),2))),""))),"")</x:f>
        <x:v>46426</x:v>
      </x:c>
      <x:c r="D40" t="str">
        <x:f>IF(OR(UPPER(TRIM('Raw Actuals'!D40))="CATERING",UPPER(TRIM('Raw Actuals'!D40))="WORKSHOP CATERING",UPPER(TRIM('Raw Actuals'!D40))="MEALS",UPPER(TRIM('Raw Actuals'!D40))="CATERNG"),"Catering",IF(OR(UPPER(TRIM('Raw Actuals'!D40))="TRANSPORT",UPPER(TRIM('Raw Actuals'!D40))="LEARNER TRANSPORT",UPPER(TRIM('Raw Actuals'!D40))="TAXIS",UPPER(TRIM('Raw Actuals'!D40))="LEARNER TAXI"),"Transport",IF(OR(UPPER(TRIM('Raw Actuals'!D40))="FACILITATION",UPPER(TRIM('Raw Actuals'!D40))="CHAMPION PAYMENTS",UPPER(TRIM('Raw Actuals'!D40))="STIPENDS",UPPER(TRIM('Raw Actuals'!D40))="FACILITATOR FEE"),"Facilitation",IF(OR(UPPER(TRIM('Raw Actuals'!D40))="MATERIALS",UPPER(TRIM('Raw Actuals'!D40))="WORKSHOP MATERIALS",UPPER(TRIM('Raw Actuals'!D40))="MATERIALS / SUPPLIES"),"Materials",IF(OR(UPPER(TRIM('Raw Actuals'!D40))="PRINTING",UPPER(TRIM('Raw Actuals'!D40))="PRINT &amp; CONSENT",UPPER(TRIM('Raw Actuals'!D40))="PRINTING AND CONSENT"),"Printing",IF(OR(UPPER(TRIM('Raw Actuals'!D40))="TRAINING",UPPER(TRIM('Raw Actuals'!D40))="CHAMPION TRAINING",UPPER(TRIM('Raw Actuals'!D40))="FACILITATOR TRAINING"),"Training",IF(OR(UPPER(TRIM('Raw Actuals'!D40))="SITE VISITS",UPPER(TRIM('Raw Actuals'!D40))="SITE VISIT",UPPER(TRIM('Raw Actuals'!D40))="TRAVEL AND SITE VISITS"),"Site visits",IF(OR(UPPER(TRIM('Raw Actuals'!D40))="EVENTS",UPPER(TRIM('Raw Actuals'!D40))="RECOGNITION EVENT",UPPER(TRIM('Raw Actuals'!D40))="BADGE CEREMONY"),"Events",IF(OR(UPPER(TRIM('Raw Actuals'!D40))="VENUE",UPPER(TRIM('Raw Actuals'!D40))="VENUE HIRE",UPPER(TRIM('Raw Actuals'!D40))="TRAINING VENUE"),"Venue",IF(OR(UPPER(TRIM('Raw Actuals'!D40))="ADMINISTRATION",UPPER(TRIM('Raw Actuals'!D40))="ADMIN",UPPER(TRIM('Raw Actuals'!D40))="OPERATIONAL SUPPORT"),"Administration","Review"))))))))))</x:f>
        <x:v>Training</x:v>
      </x:c>
      <x:c r="E40" t="str">
        <x:f>IF(TRIM('Raw Actuals'!E40)="","Missing",PROPER(TRIM('Raw Actuals'!E40)))</x:f>
        <x:v>Thuto Facilitation</x:v>
      </x:c>
      <x:c r="F40" t="str">
        <x:f>TRIM('Raw Actuals'!F40)</x:f>
        <x:v>Training expense 35</x:v>
      </x:c>
      <x:c r="G40" s="26" t="n">
        <x:v>6607</x:v>
      </x:c>
      <x:c r="H40" t="str">
        <x:f>IF(OR(UPPER(TRIM('Raw Actuals'!H40))="PAID",UPPER(TRIM('Raw Actuals'!H40))="PAID "),"Paid",IF(UPPER(TRIM('Raw Actuals'!H40))="APPROVED","Approved",IF(OR(UPPER(TRIM('Raw Actuals'!H40))="SUBMITTED",UPPER(TRIM('Raw Actuals'!H40))="PENDING"),"Submitted",IF(UPPER(TRIM('Raw Actuals'!H40))="REJECTED","Rejected","Review"))))</x:f>
        <x:v>Rejected</x:v>
      </x:c>
      <x:c r="I40" t="str">
        <x:f>IF(OR(H40="Paid",H40="Approved"),"Include","Exclude")</x:f>
        <x:v>Exclude</x:v>
      </x:c>
      <x:c r="J40" t="str">
        <x:f>IF(B40="","Missing invoice",IF(COUNTIF($B$6:B40,B40)&gt;1,"Duplicate","Unique"))</x:f>
        <x:v>Unique</x:v>
      </x:c>
      <x:c r="K40" s="17" t="str">
        <x:f>IF(A40="","Missing ID; ","")&amp;IF(B40="","Missing invoice; ","")&amp;IF(C40="","Invalid date; ","")&amp;IF(D40="Review","Unmapped category; ","")&amp;IF(E40="Missing","Missing supplier; ","")&amp;IF(OR(G40="",G40&lt;=0),"Invalid amount; ","")&amp;IF(H40="Review","Invalid payment state; ","")&amp;IF(J40="Duplicate","Duplicate invoice; ","")</x:f>
      </x:c>
      <x:c r="L40" t="str">
        <x:f>IF(K40="","Ready","Review")</x:f>
        <x:v>Ready</x:v>
      </x:c>
      <x:c r="M40" s="26" t="n">
        <x:f>IF(AND(L40="Ready",I40="Include"),G40,0)</x:f>
        <x:v>0</x:v>
      </x:c>
    </x:row>
    <x:row r="41">
      <x:c r="A41" t="str">
        <x:f>UPPER(TRIM('Raw Actuals'!A41))</x:f>
        <x:v>TXN-27-0036</x:v>
      </x:c>
      <x:c r="B41" t="str">
        <x:f>UPPER(TRIM('Raw Actuals'!B41))</x:f>
        <x:v>INV-27-0036</x:v>
      </x:c>
      <x:c r="C41" s="25" t="n">
        <x:f>IFERROR(IF(OR(MID(TRIM('Raw Actuals'!C41),5,1)="-",MID(TRIM('Raw Actuals'!C41),5,1)="/"),DATE(VALUE(LEFT(TRIM('Raw Actuals'!C41),4)),VALUE(MID(TRIM('Raw Actuals'!C41),6,2)),VALUE(RIGHT(TRIM('Raw Actuals'!C41),2))),IF(LEN(TRIM('Raw Actuals'!C41))=10,DATE(VALUE(RIGHT(TRIM('Raw Actuals'!C41),4)),VALUE(MID(TRIM('Raw Actuals'!C41),4,2)),VALUE(LEFT(TRIM('Raw Actuals'!C41),2))),IF(LEN(TRIM('Raw Actuals'!C41))=8,DATE(2000+VALUE(RIGHT(TRIM('Raw Actuals'!C41),2)),VALUE(MID(TRIM('Raw Actuals'!C41),4,2)),VALUE(LEFT(TRIM('Raw Actuals'!C41),2))),""))),"")</x:f>
        <x:v>46406</x:v>
      </x:c>
      <x:c r="D41" t="str">
        <x:f>IF(OR(UPPER(TRIM('Raw Actuals'!D41))="CATERING",UPPER(TRIM('Raw Actuals'!D41))="WORKSHOP CATERING",UPPER(TRIM('Raw Actuals'!D41))="MEALS",UPPER(TRIM('Raw Actuals'!D41))="CATERNG"),"Catering",IF(OR(UPPER(TRIM('Raw Actuals'!D41))="TRANSPORT",UPPER(TRIM('Raw Actuals'!D41))="LEARNER TRANSPORT",UPPER(TRIM('Raw Actuals'!D41))="TAXIS",UPPER(TRIM('Raw Actuals'!D41))="LEARNER TAXI"),"Transport",IF(OR(UPPER(TRIM('Raw Actuals'!D41))="FACILITATION",UPPER(TRIM('Raw Actuals'!D41))="CHAMPION PAYMENTS",UPPER(TRIM('Raw Actuals'!D41))="STIPENDS",UPPER(TRIM('Raw Actuals'!D41))="FACILITATOR FEE"),"Facilitation",IF(OR(UPPER(TRIM('Raw Actuals'!D41))="MATERIALS",UPPER(TRIM('Raw Actuals'!D41))="WORKSHOP MATERIALS",UPPER(TRIM('Raw Actuals'!D41))="MATERIALS / SUPPLIES"),"Materials",IF(OR(UPPER(TRIM('Raw Actuals'!D41))="PRINTING",UPPER(TRIM('Raw Actuals'!D41))="PRINT &amp; CONSENT",UPPER(TRIM('Raw Actuals'!D41))="PRINTING AND CONSENT"),"Printing",IF(OR(UPPER(TRIM('Raw Actuals'!D41))="TRAINING",UPPER(TRIM('Raw Actuals'!D41))="CHAMPION TRAINING",UPPER(TRIM('Raw Actuals'!D41))="FACILITATOR TRAINING"),"Training",IF(OR(UPPER(TRIM('Raw Actuals'!D41))="SITE VISITS",UPPER(TRIM('Raw Actuals'!D41))="SITE VISIT",UPPER(TRIM('Raw Actuals'!D41))="TRAVEL AND SITE VISITS"),"Site visits",IF(OR(UPPER(TRIM('Raw Actuals'!D41))="EVENTS",UPPER(TRIM('Raw Actuals'!D41))="RECOGNITION EVENT",UPPER(TRIM('Raw Actuals'!D41))="BADGE CEREMONY"),"Events",IF(OR(UPPER(TRIM('Raw Actuals'!D41))="VENUE",UPPER(TRIM('Raw Actuals'!D41))="VENUE HIRE",UPPER(TRIM('Raw Actuals'!D41))="TRAINING VENUE"),"Venue",IF(OR(UPPER(TRIM('Raw Actuals'!D41))="ADMINISTRATION",UPPER(TRIM('Raw Actuals'!D41))="ADMIN",UPPER(TRIM('Raw Actuals'!D41))="OPERATIONAL SUPPORT"),"Administration","Review"))))))))))</x:f>
        <x:v>Facilitation</x:v>
      </x:c>
      <x:c r="E41" t="str">
        <x:f>IF(TRIM('Raw Actuals'!E41)="","Missing",PROPER(TRIM('Raw Actuals'!E41)))</x:f>
        <x:v>Moya Supplies</x:v>
      </x:c>
      <x:c r="F41" t="str">
        <x:f>TRIM('Raw Actuals'!F41)</x:f>
        <x:v>Facilitation expense 36</x:v>
      </x:c>
      <x:c r="G41" s="26" t="n">
        <x:v>7480</x:v>
      </x:c>
      <x:c r="H41" t="str">
        <x:f>IF(OR(UPPER(TRIM('Raw Actuals'!H41))="PAID",UPPER(TRIM('Raw Actuals'!H41))="PAID "),"Paid",IF(UPPER(TRIM('Raw Actuals'!H41))="APPROVED","Approved",IF(OR(UPPER(TRIM('Raw Actuals'!H41))="SUBMITTED",UPPER(TRIM('Raw Actuals'!H41))="PENDING"),"Submitted",IF(UPPER(TRIM('Raw Actuals'!H41))="REJECTED","Rejected","Review"))))</x:f>
        <x:v>Paid</x:v>
      </x:c>
      <x:c r="I41" t="str">
        <x:f>IF(OR(H41="Paid",H41="Approved"),"Include","Exclude")</x:f>
        <x:v>Include</x:v>
      </x:c>
      <x:c r="J41" t="str">
        <x:f>IF(B41="","Missing invoice",IF(COUNTIF($B$6:B41,B41)&gt;1,"Duplicate","Unique"))</x:f>
        <x:v>Unique</x:v>
      </x:c>
      <x:c r="K41" s="17" t="str">
        <x:f>IF(A41="","Missing ID; ","")&amp;IF(B41="","Missing invoice; ","")&amp;IF(C41="","Invalid date; ","")&amp;IF(D41="Review","Unmapped category; ","")&amp;IF(E41="Missing","Missing supplier; ","")&amp;IF(OR(G41="",G41&lt;=0),"Invalid amount; ","")&amp;IF(H41="Review","Invalid payment state; ","")&amp;IF(J41="Duplicate","Duplicate invoice; ","")</x:f>
      </x:c>
      <x:c r="L41" t="str">
        <x:f>IF(K41="","Ready","Review")</x:f>
        <x:v>Ready</x:v>
      </x:c>
      <x:c r="M41" s="26" t="n">
        <x:f>IF(AND(L41="Ready",I41="Include"),G41,0)</x:f>
        <x:v>7480</x:v>
      </x:c>
    </x:row>
    <x:row r="42">
      <x:c r="A42" t="str">
        <x:f>UPPER(TRIM('Raw Actuals'!A42))</x:f>
        <x:v>TXN-27-0037</x:v>
      </x:c>
      <x:c r="B42" t="str">
        <x:f>UPPER(TRIM('Raw Actuals'!B42))</x:f>
        <x:v>INV-27-0037</x:v>
      </x:c>
      <x:c r="C42" s="25" t="n">
        <x:f>IFERROR(IF(OR(MID(TRIM('Raw Actuals'!C42),5,1)="-",MID(TRIM('Raw Actuals'!C42),5,1)="/"),DATE(VALUE(LEFT(TRIM('Raw Actuals'!C42),4)),VALUE(MID(TRIM('Raw Actuals'!C42),6,2)),VALUE(RIGHT(TRIM('Raw Actuals'!C42),2))),IF(LEN(TRIM('Raw Actuals'!C42))=10,DATE(VALUE(RIGHT(TRIM('Raw Actuals'!C42),4)),VALUE(MID(TRIM('Raw Actuals'!C42),4,2)),VALUE(LEFT(TRIM('Raw Actuals'!C42),2))),IF(LEN(TRIM('Raw Actuals'!C42))=8,DATE(2000+VALUE(RIGHT(TRIM('Raw Actuals'!C42),2)),VALUE(MID(TRIM('Raw Actuals'!C42),4,2)),VALUE(LEFT(TRIM('Raw Actuals'!C42),2))),""))),"")</x:f>
        <x:v>46541</x:v>
      </x:c>
      <x:c r="D42" t="str">
        <x:f>IF(OR(UPPER(TRIM('Raw Actuals'!D42))="CATERING",UPPER(TRIM('Raw Actuals'!D42))="WORKSHOP CATERING",UPPER(TRIM('Raw Actuals'!D42))="MEALS",UPPER(TRIM('Raw Actuals'!D42))="CATERNG"),"Catering",IF(OR(UPPER(TRIM('Raw Actuals'!D42))="TRANSPORT",UPPER(TRIM('Raw Actuals'!D42))="LEARNER TRANSPORT",UPPER(TRIM('Raw Actuals'!D42))="TAXIS",UPPER(TRIM('Raw Actuals'!D42))="LEARNER TAXI"),"Transport",IF(OR(UPPER(TRIM('Raw Actuals'!D42))="FACILITATION",UPPER(TRIM('Raw Actuals'!D42))="CHAMPION PAYMENTS",UPPER(TRIM('Raw Actuals'!D42))="STIPENDS",UPPER(TRIM('Raw Actuals'!D42))="FACILITATOR FEE"),"Facilitation",IF(OR(UPPER(TRIM('Raw Actuals'!D42))="MATERIALS",UPPER(TRIM('Raw Actuals'!D42))="WORKSHOP MATERIALS",UPPER(TRIM('Raw Actuals'!D42))="MATERIALS / SUPPLIES"),"Materials",IF(OR(UPPER(TRIM('Raw Actuals'!D42))="PRINTING",UPPER(TRIM('Raw Actuals'!D42))="PRINT &amp; CONSENT",UPPER(TRIM('Raw Actuals'!D42))="PRINTING AND CONSENT"),"Printing",IF(OR(UPPER(TRIM('Raw Actuals'!D42))="TRAINING",UPPER(TRIM('Raw Actuals'!D42))="CHAMPION TRAINING",UPPER(TRIM('Raw Actuals'!D42))="FACILITATOR TRAINING"),"Training",IF(OR(UPPER(TRIM('Raw Actuals'!D42))="SITE VISITS",UPPER(TRIM('Raw Actuals'!D42))="SITE VISIT",UPPER(TRIM('Raw Actuals'!D42))="TRAVEL AND SITE VISITS"),"Site visits",IF(OR(UPPER(TRIM('Raw Actuals'!D42))="EVENTS",UPPER(TRIM('Raw Actuals'!D42))="RECOGNITION EVENT",UPPER(TRIM('Raw Actuals'!D42))="BADGE CEREMONY"),"Events",IF(OR(UPPER(TRIM('Raw Actuals'!D42))="VENUE",UPPER(TRIM('Raw Actuals'!D42))="VENUE HIRE",UPPER(TRIM('Raw Actuals'!D42))="TRAINING VENUE"),"Venue",IF(OR(UPPER(TRIM('Raw Actuals'!D42))="ADMINISTRATION",UPPER(TRIM('Raw Actuals'!D42))="ADMIN",UPPER(TRIM('Raw Actuals'!D42))="OPERATIONAL SUPPORT"),"Administration","Review"))))))))))</x:f>
        <x:v>Administration</x:v>
      </x:c>
      <x:c r="E42" t="str">
        <x:f>IF(TRIM('Raw Actuals'!E42)="","Missing",PROPER(TRIM('Raw Actuals'!E42)))</x:f>
        <x:v>Northline Transport</x:v>
      </x:c>
      <x:c r="F42" t="str">
        <x:f>TRIM('Raw Actuals'!F42)</x:f>
        <x:v>Administration expense 37</x:v>
      </x:c>
      <x:c r="G42" s="26" t="n">
        <x:v>8175</x:v>
      </x:c>
      <x:c r="H42" t="str">
        <x:f>IF(OR(UPPER(TRIM('Raw Actuals'!H42))="PAID",UPPER(TRIM('Raw Actuals'!H42))="PAID "),"Paid",IF(UPPER(TRIM('Raw Actuals'!H42))="APPROVED","Approved",IF(OR(UPPER(TRIM('Raw Actuals'!H42))="SUBMITTED",UPPER(TRIM('Raw Actuals'!H42))="PENDING"),"Submitted",IF(UPPER(TRIM('Raw Actuals'!H42))="REJECTED","Rejected","Review"))))</x:f>
        <x:v>Submitted</x:v>
      </x:c>
      <x:c r="I42" t="str">
        <x:f>IF(OR(H42="Paid",H42="Approved"),"Include","Exclude")</x:f>
        <x:v>Exclude</x:v>
      </x:c>
      <x:c r="J42" t="str">
        <x:f>IF(B42="","Missing invoice",IF(COUNTIF($B$6:B42,B42)&gt;1,"Duplicate","Unique"))</x:f>
        <x:v>Unique</x:v>
      </x:c>
      <x:c r="K42" s="17" t="str">
        <x:f>IF(A42="","Missing ID; ","")&amp;IF(B42="","Missing invoice; ","")&amp;IF(C42="","Invalid date; ","")&amp;IF(D42="Review","Unmapped category; ","")&amp;IF(E42="Missing","Missing supplier; ","")&amp;IF(OR(G42="",G42&lt;=0),"Invalid amount; ","")&amp;IF(H42="Review","Invalid payment state; ","")&amp;IF(J42="Duplicate","Duplicate invoice; ","")</x:f>
      </x:c>
      <x:c r="L42" t="str">
        <x:f>IF(K42="","Ready","Review")</x:f>
        <x:v>Ready</x:v>
      </x:c>
      <x:c r="M42" s="26" t="n">
        <x:f>IF(AND(L42="Ready",I42="Include"),G42,0)</x:f>
        <x:v>0</x:v>
      </x:c>
    </x:row>
    <x:row r="43">
      <x:c r="A43" t="str">
        <x:f>UPPER(TRIM('Raw Actuals'!A43))</x:f>
        <x:v>TXN-27-0038</x:v>
      </x:c>
      <x:c r="B43" t="str">
        <x:f>UPPER(TRIM('Raw Actuals'!B43))</x:f>
        <x:v>INV-27-0038</x:v>
      </x:c>
      <x:c r="C43" s="25" t="n">
        <x:f>IFERROR(IF(OR(MID(TRIM('Raw Actuals'!C43),5,1)="-",MID(TRIM('Raw Actuals'!C43),5,1)="/"),DATE(VALUE(LEFT(TRIM('Raw Actuals'!C43),4)),VALUE(MID(TRIM('Raw Actuals'!C43),6,2)),VALUE(RIGHT(TRIM('Raw Actuals'!C43),2))),IF(LEN(TRIM('Raw Actuals'!C43))=10,DATE(VALUE(RIGHT(TRIM('Raw Actuals'!C43),4)),VALUE(MID(TRIM('Raw Actuals'!C43),4,2)),VALUE(LEFT(TRIM('Raw Actuals'!C43),2))),IF(LEN(TRIM('Raw Actuals'!C43))=8,DATE(2000+VALUE(RIGHT(TRIM('Raw Actuals'!C43),2)),VALUE(MID(TRIM('Raw Actuals'!C43),4,2)),VALUE(LEFT(TRIM('Raw Actuals'!C43),2))),""))),"")</x:f>
        <x:v>46521</x:v>
      </x:c>
      <x:c r="D43" t="str">
        <x:f>IF(OR(UPPER(TRIM('Raw Actuals'!D43))="CATERING",UPPER(TRIM('Raw Actuals'!D43))="WORKSHOP CATERING",UPPER(TRIM('Raw Actuals'!D43))="MEALS",UPPER(TRIM('Raw Actuals'!D43))="CATERNG"),"Catering",IF(OR(UPPER(TRIM('Raw Actuals'!D43))="TRANSPORT",UPPER(TRIM('Raw Actuals'!D43))="LEARNER TRANSPORT",UPPER(TRIM('Raw Actuals'!D43))="TAXIS",UPPER(TRIM('Raw Actuals'!D43))="LEARNER TAXI"),"Transport",IF(OR(UPPER(TRIM('Raw Actuals'!D43))="FACILITATION",UPPER(TRIM('Raw Actuals'!D43))="CHAMPION PAYMENTS",UPPER(TRIM('Raw Actuals'!D43))="STIPENDS",UPPER(TRIM('Raw Actuals'!D43))="FACILITATOR FEE"),"Facilitation",IF(OR(UPPER(TRIM('Raw Actuals'!D43))="MATERIALS",UPPER(TRIM('Raw Actuals'!D43))="WORKSHOP MATERIALS",UPPER(TRIM('Raw Actuals'!D43))="MATERIALS / SUPPLIES"),"Materials",IF(OR(UPPER(TRIM('Raw Actuals'!D43))="PRINTING",UPPER(TRIM('Raw Actuals'!D43))="PRINT &amp; CONSENT",UPPER(TRIM('Raw Actuals'!D43))="PRINTING AND CONSENT"),"Printing",IF(OR(UPPER(TRIM('Raw Actuals'!D43))="TRAINING",UPPER(TRIM('Raw Actuals'!D43))="CHAMPION TRAINING",UPPER(TRIM('Raw Actuals'!D43))="FACILITATOR TRAINING"),"Training",IF(OR(UPPER(TRIM('Raw Actuals'!D43))="SITE VISITS",UPPER(TRIM('Raw Actuals'!D43))="SITE VISIT",UPPER(TRIM('Raw Actuals'!D43))="TRAVEL AND SITE VISITS"),"Site visits",IF(OR(UPPER(TRIM('Raw Actuals'!D43))="EVENTS",UPPER(TRIM('Raw Actuals'!D43))="RECOGNITION EVENT",UPPER(TRIM('Raw Actuals'!D43))="BADGE CEREMONY"),"Events",IF(OR(UPPER(TRIM('Raw Actuals'!D43))="VENUE",UPPER(TRIM('Raw Actuals'!D43))="VENUE HIRE",UPPER(TRIM('Raw Actuals'!D43))="TRAINING VENUE"),"Venue",IF(OR(UPPER(TRIM('Raw Actuals'!D43))="ADMINISTRATION",UPPER(TRIM('Raw Actuals'!D43))="ADMIN",UPPER(TRIM('Raw Actuals'!D43))="OPERATIONAL SUPPORT"),"Administration","Review"))))))))))</x:f>
        <x:v>Site visits</x:v>
      </x:c>
      <x:c r="E43" t="str">
        <x:f>IF(TRIM('Raw Actuals'!E43)="","Missing",PROPER(TRIM('Raw Actuals'!E43)))</x:f>
        <x:v>Kopano Catering</x:v>
      </x:c>
      <x:c r="F43" t="str">
        <x:f>TRIM('Raw Actuals'!F43)</x:f>
        <x:v>Site visits expense 38</x:v>
      </x:c>
      <x:c r="G43" s="26"/>
      <x:c r="H43" t="str">
        <x:f>IF(OR(UPPER(TRIM('Raw Actuals'!H43))="PAID",UPPER(TRIM('Raw Actuals'!H43))="PAID "),"Paid",IF(UPPER(TRIM('Raw Actuals'!H43))="APPROVED","Approved",IF(OR(UPPER(TRIM('Raw Actuals'!H43))="SUBMITTED",UPPER(TRIM('Raw Actuals'!H43))="PENDING"),"Submitted",IF(UPPER(TRIM('Raw Actuals'!H43))="REJECTED","Rejected","Review"))))</x:f>
        <x:v>Submitted</x:v>
      </x:c>
      <x:c r="I43" t="str">
        <x:f>IF(OR(H43="Paid",H43="Approved"),"Include","Exclude")</x:f>
        <x:v>Exclude</x:v>
      </x:c>
      <x:c r="J43" t="str">
        <x:f>IF(B43="","Missing invoice",IF(COUNTIF($B$6:B43,B43)&gt;1,"Duplicate","Unique"))</x:f>
        <x:v>Unique</x:v>
      </x:c>
      <x:c r="K43" s="17" t="str">
        <x:f>IF(A43="","Missing ID; ","")&amp;IF(B43="","Missing invoice; ","")&amp;IF(C43="","Invalid date; ","")&amp;IF(D43="Review","Unmapped category; ","")&amp;IF(E43="Missing","Missing supplier; ","")&amp;IF(OR(G43="",G43&lt;=0),"Invalid amount; ","")&amp;IF(H43="Review","Invalid payment state; ","")&amp;IF(J43="Duplicate","Duplicate invoice; ","")</x:f>
        <x:v>Invalid amount; </x:v>
      </x:c>
      <x:c r="L43" t="str">
        <x:f>IF(K43="","Ready","Review")</x:f>
        <x:v>Review</x:v>
      </x:c>
      <x:c r="M43" s="26" t="n">
        <x:f>IF(AND(L43="Ready",I43="Include"),G43,0)</x:f>
        <x:v>0</x:v>
      </x:c>
    </x:row>
    <x:row r="44">
      <x:c r="A44" t="str">
        <x:f>UPPER(TRIM('Raw Actuals'!A44))</x:f>
        <x:v>TXN-27-0039</x:v>
      </x:c>
      <x:c r="B44" t="str">
        <x:f>UPPER(TRIM('Raw Actuals'!B44))</x:f>
        <x:v>INV-27-0039</x:v>
      </x:c>
      <x:c r="C44" s="25" t="n">
        <x:f>IFERROR(IF(OR(MID(TRIM('Raw Actuals'!C44),5,1)="-",MID(TRIM('Raw Actuals'!C44),5,1)="/"),DATE(VALUE(LEFT(TRIM('Raw Actuals'!C44),4)),VALUE(MID(TRIM('Raw Actuals'!C44),6,2)),VALUE(RIGHT(TRIM('Raw Actuals'!C44),2))),IF(LEN(TRIM('Raw Actuals'!C44))=10,DATE(VALUE(RIGHT(TRIM('Raw Actuals'!C44),4)),VALUE(MID(TRIM('Raw Actuals'!C44),4,2)),VALUE(LEFT(TRIM('Raw Actuals'!C44),2))),IF(LEN(TRIM('Raw Actuals'!C44))=8,DATE(2000+VALUE(RIGHT(TRIM('Raw Actuals'!C44),2)),VALUE(MID(TRIM('Raw Actuals'!C44),4,2)),VALUE(LEFT(TRIM('Raw Actuals'!C44),2))),""))),"")</x:f>
        <x:v>46502</x:v>
      </x:c>
      <x:c r="D44" t="str">
        <x:f>IF(OR(UPPER(TRIM('Raw Actuals'!D44))="CATERING",UPPER(TRIM('Raw Actuals'!D44))="WORKSHOP CATERING",UPPER(TRIM('Raw Actuals'!D44))="MEALS",UPPER(TRIM('Raw Actuals'!D44))="CATERNG"),"Catering",IF(OR(UPPER(TRIM('Raw Actuals'!D44))="TRANSPORT",UPPER(TRIM('Raw Actuals'!D44))="LEARNER TRANSPORT",UPPER(TRIM('Raw Actuals'!D44))="TAXIS",UPPER(TRIM('Raw Actuals'!D44))="LEARNER TAXI"),"Transport",IF(OR(UPPER(TRIM('Raw Actuals'!D44))="FACILITATION",UPPER(TRIM('Raw Actuals'!D44))="CHAMPION PAYMENTS",UPPER(TRIM('Raw Actuals'!D44))="STIPENDS",UPPER(TRIM('Raw Actuals'!D44))="FACILITATOR FEE"),"Facilitation",IF(OR(UPPER(TRIM('Raw Actuals'!D44))="MATERIALS",UPPER(TRIM('Raw Actuals'!D44))="WORKSHOP MATERIALS",UPPER(TRIM('Raw Actuals'!D44))="MATERIALS / SUPPLIES"),"Materials",IF(OR(UPPER(TRIM('Raw Actuals'!D44))="PRINTING",UPPER(TRIM('Raw Actuals'!D44))="PRINT &amp; CONSENT",UPPER(TRIM('Raw Actuals'!D44))="PRINTING AND CONSENT"),"Printing",IF(OR(UPPER(TRIM('Raw Actuals'!D44))="TRAINING",UPPER(TRIM('Raw Actuals'!D44))="CHAMPION TRAINING",UPPER(TRIM('Raw Actuals'!D44))="FACILITATOR TRAINING"),"Training",IF(OR(UPPER(TRIM('Raw Actuals'!D44))="SITE VISITS",UPPER(TRIM('Raw Actuals'!D44))="SITE VISIT",UPPER(TRIM('Raw Actuals'!D44))="TRAVEL AND SITE VISITS"),"Site visits",IF(OR(UPPER(TRIM('Raw Actuals'!D44))="EVENTS",UPPER(TRIM('Raw Actuals'!D44))="RECOGNITION EVENT",UPPER(TRIM('Raw Actuals'!D44))="BADGE CEREMONY"),"Events",IF(OR(UPPER(TRIM('Raw Actuals'!D44))="VENUE",UPPER(TRIM('Raw Actuals'!D44))="VENUE HIRE",UPPER(TRIM('Raw Actuals'!D44))="TRAINING VENUE"),"Venue",IF(OR(UPPER(TRIM('Raw Actuals'!D44))="ADMINISTRATION",UPPER(TRIM('Raw Actuals'!D44))="ADMIN",UPPER(TRIM('Raw Actuals'!D44))="OPERATIONAL SUPPORT"),"Administration","Review"))))))))))</x:f>
        <x:v>Materials</x:v>
      </x:c>
      <x:c r="E44" t="str">
        <x:f>IF(TRIM('Raw Actuals'!E44)="","Missing",PROPER(TRIM('Raw Actuals'!E44)))</x:f>
        <x:v>Riverside Venue Hire</x:v>
      </x:c>
      <x:c r="F44" t="str">
        <x:f>TRIM('Raw Actuals'!F44)</x:f>
        <x:v>Materials expense 39</x:v>
      </x:c>
      <x:c r="G44" s="26" t="n">
        <x:v>7014</x:v>
      </x:c>
      <x:c r="H44" t="str">
        <x:f>IF(OR(UPPER(TRIM('Raw Actuals'!H44))="PAID",UPPER(TRIM('Raw Actuals'!H44))="PAID "),"Paid",IF(UPPER(TRIM('Raw Actuals'!H44))="APPROVED","Approved",IF(OR(UPPER(TRIM('Raw Actuals'!H44))="SUBMITTED",UPPER(TRIM('Raw Actuals'!H44))="PENDING"),"Submitted",IF(UPPER(TRIM('Raw Actuals'!H44))="REJECTED","Rejected","Review"))))</x:f>
        <x:v>Rejected</x:v>
      </x:c>
      <x:c r="I44" t="str">
        <x:f>IF(OR(H44="Paid",H44="Approved"),"Include","Exclude")</x:f>
        <x:v>Exclude</x:v>
      </x:c>
      <x:c r="J44" t="str">
        <x:f>IF(B44="","Missing invoice",IF(COUNTIF($B$6:B44,B44)&gt;1,"Duplicate","Unique"))</x:f>
        <x:v>Unique</x:v>
      </x:c>
      <x:c r="K44" s="17" t="str">
        <x:f>IF(A44="","Missing ID; ","")&amp;IF(B44="","Missing invoice; ","")&amp;IF(C44="","Invalid date; ","")&amp;IF(D44="Review","Unmapped category; ","")&amp;IF(E44="Missing","Missing supplier; ","")&amp;IF(OR(G44="",G44&lt;=0),"Invalid amount; ","")&amp;IF(H44="Review","Invalid payment state; ","")&amp;IF(J44="Duplicate","Duplicate invoice; ","")</x:f>
      </x:c>
      <x:c r="L44" t="str">
        <x:f>IF(K44="","Ready","Review")</x:f>
        <x:v>Ready</x:v>
      </x:c>
      <x:c r="M44" s="26" t="n">
        <x:f>IF(AND(L44="Ready",I44="Include"),G44,0)</x:f>
        <x:v>0</x:v>
      </x:c>
    </x:row>
    <x:row r="45">
      <x:c r="A45" t="str">
        <x:f>UPPER(TRIM('Raw Actuals'!A45))</x:f>
        <x:v>TXN-27-0040</x:v>
      </x:c>
      <x:c r="B45" t="str">
        <x:f>UPPER(TRIM('Raw Actuals'!B45))</x:f>
        <x:v>INV-27-0040</x:v>
      </x:c>
      <x:c r="C45" s="25" t="n">
        <x:f>IFERROR(IF(OR(MID(TRIM('Raw Actuals'!C45),5,1)="-",MID(TRIM('Raw Actuals'!C45),5,1)="/"),DATE(VALUE(LEFT(TRIM('Raw Actuals'!C45),4)),VALUE(MID(TRIM('Raw Actuals'!C45),6,2)),VALUE(RIGHT(TRIM('Raw Actuals'!C45),2))),IF(LEN(TRIM('Raw Actuals'!C45))=10,DATE(VALUE(RIGHT(TRIM('Raw Actuals'!C45),4)),VALUE(MID(TRIM('Raw Actuals'!C45),4,2)),VALUE(LEFT(TRIM('Raw Actuals'!C45),2))),IF(LEN(TRIM('Raw Actuals'!C45))=8,DATE(2000+VALUE(RIGHT(TRIM('Raw Actuals'!C45),2)),VALUE(MID(TRIM('Raw Actuals'!C45),4,2)),VALUE(LEFT(TRIM('Raw Actuals'!C45),2))),""))),"")</x:f>
        <x:v>46455</x:v>
      </x:c>
      <x:c r="D45" t="str">
        <x:f>IF(OR(UPPER(TRIM('Raw Actuals'!D45))="CATERING",UPPER(TRIM('Raw Actuals'!D45))="WORKSHOP CATERING",UPPER(TRIM('Raw Actuals'!D45))="MEALS",UPPER(TRIM('Raw Actuals'!D45))="CATERNG"),"Catering",IF(OR(UPPER(TRIM('Raw Actuals'!D45))="TRANSPORT",UPPER(TRIM('Raw Actuals'!D45))="LEARNER TRANSPORT",UPPER(TRIM('Raw Actuals'!D45))="TAXIS",UPPER(TRIM('Raw Actuals'!D45))="LEARNER TAXI"),"Transport",IF(OR(UPPER(TRIM('Raw Actuals'!D45))="FACILITATION",UPPER(TRIM('Raw Actuals'!D45))="CHAMPION PAYMENTS",UPPER(TRIM('Raw Actuals'!D45))="STIPENDS",UPPER(TRIM('Raw Actuals'!D45))="FACILITATOR FEE"),"Facilitation",IF(OR(UPPER(TRIM('Raw Actuals'!D45))="MATERIALS",UPPER(TRIM('Raw Actuals'!D45))="WORKSHOP MATERIALS",UPPER(TRIM('Raw Actuals'!D45))="MATERIALS / SUPPLIES"),"Materials",IF(OR(UPPER(TRIM('Raw Actuals'!D45))="PRINTING",UPPER(TRIM('Raw Actuals'!D45))="PRINT &amp; CONSENT",UPPER(TRIM('Raw Actuals'!D45))="PRINTING AND CONSENT"),"Printing",IF(OR(UPPER(TRIM('Raw Actuals'!D45))="TRAINING",UPPER(TRIM('Raw Actuals'!D45))="CHAMPION TRAINING",UPPER(TRIM('Raw Actuals'!D45))="FACILITATOR TRAINING"),"Training",IF(OR(UPPER(TRIM('Raw Actuals'!D45))="SITE VISITS",UPPER(TRIM('Raw Actuals'!D45))="SITE VISIT",UPPER(TRIM('Raw Actuals'!D45))="TRAVEL AND SITE VISITS"),"Site visits",IF(OR(UPPER(TRIM('Raw Actuals'!D45))="EVENTS",UPPER(TRIM('Raw Actuals'!D45))="RECOGNITION EVENT",UPPER(TRIM('Raw Actuals'!D45))="BADGE CEREMONY"),"Events",IF(OR(UPPER(TRIM('Raw Actuals'!D45))="VENUE",UPPER(TRIM('Raw Actuals'!D45))="VENUE HIRE",UPPER(TRIM('Raw Actuals'!D45))="TRAINING VENUE"),"Venue",IF(OR(UPPER(TRIM('Raw Actuals'!D45))="ADMINISTRATION",UPPER(TRIM('Raw Actuals'!D45))="ADMIN",UPPER(TRIM('Raw Actuals'!D45))="OPERATIONAL SUPPORT"),"Administration","Review"))))))))))</x:f>
        <x:v>Catering</x:v>
      </x:c>
      <x:c r="E45" t="str">
        <x:f>IF(TRIM('Raw Actuals'!E45)="","Missing",PROPER(TRIM('Raw Actuals'!E45)))</x:f>
        <x:v>Bright Print Studio</x:v>
      </x:c>
      <x:c r="F45" t="str">
        <x:f>TRIM('Raw Actuals'!F45)</x:f>
        <x:v>Catering expense 40</x:v>
      </x:c>
      <x:c r="G45" s="26" t="n">
        <x:v>7092</x:v>
      </x:c>
      <x:c r="H45" t="str">
        <x:f>IF(OR(UPPER(TRIM('Raw Actuals'!H45))="PAID",UPPER(TRIM('Raw Actuals'!H45))="PAID "),"Paid",IF(UPPER(TRIM('Raw Actuals'!H45))="APPROVED","Approved",IF(OR(UPPER(TRIM('Raw Actuals'!H45))="SUBMITTED",UPPER(TRIM('Raw Actuals'!H45))="PENDING"),"Submitted",IF(UPPER(TRIM('Raw Actuals'!H45))="REJECTED","Rejected","Review"))))</x:f>
        <x:v>Paid</x:v>
      </x:c>
      <x:c r="I45" t="str">
        <x:f>IF(OR(H45="Paid",H45="Approved"),"Include","Exclude")</x:f>
        <x:v>Include</x:v>
      </x:c>
      <x:c r="J45" t="str">
        <x:f>IF(B45="","Missing invoice",IF(COUNTIF($B$6:B45,B45)&gt;1,"Duplicate","Unique"))</x:f>
        <x:v>Unique</x:v>
      </x:c>
      <x:c r="K45" s="17" t="str">
        <x:f>IF(A45="","Missing ID; ","")&amp;IF(B45="","Missing invoice; ","")&amp;IF(C45="","Invalid date; ","")&amp;IF(D45="Review","Unmapped category; ","")&amp;IF(E45="Missing","Missing supplier; ","")&amp;IF(OR(G45="",G45&lt;=0),"Invalid amount; ","")&amp;IF(H45="Review","Invalid payment state; ","")&amp;IF(J45="Duplicate","Duplicate invoice; ","")</x:f>
      </x:c>
      <x:c r="L45" t="str">
        <x:f>IF(K45="","Ready","Review")</x:f>
        <x:v>Ready</x:v>
      </x:c>
      <x:c r="M45" s="26" t="n">
        <x:f>IF(AND(L45="Ready",I45="Include"),G45,0)</x:f>
        <x:v>7092</x:v>
      </x:c>
    </x:row>
    <x:row r="46">
      <x:c r="A46" t="str">
        <x:f>UPPER(TRIM('Raw Actuals'!A46))</x:f>
        <x:v>TXN-27-0041</x:v>
      </x:c>
      <x:c r="B46" t="str">
        <x:f>UPPER(TRIM('Raw Actuals'!B46))</x:f>
      </x:c>
      <x:c r="C46" s="25" t="n">
        <x:f>IFERROR(IF(OR(MID(TRIM('Raw Actuals'!C46),5,1)="-",MID(TRIM('Raw Actuals'!C46),5,1)="/"),DATE(VALUE(LEFT(TRIM('Raw Actuals'!C46),4)),VALUE(MID(TRIM('Raw Actuals'!C46),6,2)),VALUE(RIGHT(TRIM('Raw Actuals'!C46),2))),IF(LEN(TRIM('Raw Actuals'!C46))=10,DATE(VALUE(RIGHT(TRIM('Raw Actuals'!C46),4)),VALUE(MID(TRIM('Raw Actuals'!C46),4,2)),VALUE(LEFT(TRIM('Raw Actuals'!C46),2))),IF(LEN(TRIM('Raw Actuals'!C46))=8,DATE(2000+VALUE(RIGHT(TRIM('Raw Actuals'!C46),2)),VALUE(MID(TRIM('Raw Actuals'!C46),4,2)),VALUE(LEFT(TRIM('Raw Actuals'!C46),2))),""))),"")</x:f>
        <x:v>46438</x:v>
      </x:c>
      <x:c r="D46" t="str">
        <x:f>IF(OR(UPPER(TRIM('Raw Actuals'!D46))="CATERING",UPPER(TRIM('Raw Actuals'!D46))="WORKSHOP CATERING",UPPER(TRIM('Raw Actuals'!D46))="MEALS",UPPER(TRIM('Raw Actuals'!D46))="CATERNG"),"Catering",IF(OR(UPPER(TRIM('Raw Actuals'!D46))="TRANSPORT",UPPER(TRIM('Raw Actuals'!D46))="LEARNER TRANSPORT",UPPER(TRIM('Raw Actuals'!D46))="TAXIS",UPPER(TRIM('Raw Actuals'!D46))="LEARNER TAXI"),"Transport",IF(OR(UPPER(TRIM('Raw Actuals'!D46))="FACILITATION",UPPER(TRIM('Raw Actuals'!D46))="CHAMPION PAYMENTS",UPPER(TRIM('Raw Actuals'!D46))="STIPENDS",UPPER(TRIM('Raw Actuals'!D46))="FACILITATOR FEE"),"Facilitation",IF(OR(UPPER(TRIM('Raw Actuals'!D46))="MATERIALS",UPPER(TRIM('Raw Actuals'!D46))="WORKSHOP MATERIALS",UPPER(TRIM('Raw Actuals'!D46))="MATERIALS / SUPPLIES"),"Materials",IF(OR(UPPER(TRIM('Raw Actuals'!D46))="PRINTING",UPPER(TRIM('Raw Actuals'!D46))="PRINT &amp; CONSENT",UPPER(TRIM('Raw Actuals'!D46))="PRINTING AND CONSENT"),"Printing",IF(OR(UPPER(TRIM('Raw Actuals'!D46))="TRAINING",UPPER(TRIM('Raw Actuals'!D46))="CHAMPION TRAINING",UPPER(TRIM('Raw Actuals'!D46))="FACILITATOR TRAINING"),"Training",IF(OR(UPPER(TRIM('Raw Actuals'!D46))="SITE VISITS",UPPER(TRIM('Raw Actuals'!D46))="SITE VISIT",UPPER(TRIM('Raw Actuals'!D46))="TRAVEL AND SITE VISITS"),"Site visits",IF(OR(UPPER(TRIM('Raw Actuals'!D46))="EVENTS",UPPER(TRIM('Raw Actuals'!D46))="RECOGNITION EVENT",UPPER(TRIM('Raw Actuals'!D46))="BADGE CEREMONY"),"Events",IF(OR(UPPER(TRIM('Raw Actuals'!D46))="VENUE",UPPER(TRIM('Raw Actuals'!D46))="VENUE HIRE",UPPER(TRIM('Raw Actuals'!D46))="TRAINING VENUE"),"Venue",IF(OR(UPPER(TRIM('Raw Actuals'!D46))="ADMINISTRATION",UPPER(TRIM('Raw Actuals'!D46))="ADMIN",UPPER(TRIM('Raw Actuals'!D46))="OPERATIONAL SUPPORT"),"Administration","Review"))))))))))</x:f>
        <x:v>Events</x:v>
      </x:c>
      <x:c r="E46" t="str">
        <x:f>IF(TRIM('Raw Actuals'!E46)="","Missing",PROPER(TRIM('Raw Actuals'!E46)))</x:f>
        <x:v>Thuto Facilitation</x:v>
      </x:c>
      <x:c r="F46" t="str">
        <x:f>TRIM('Raw Actuals'!F46)</x:f>
        <x:v>Events expense 41</x:v>
      </x:c>
      <x:c r="G46" s="26" t="n">
        <x:v>7231</x:v>
      </x:c>
      <x:c r="H46" t="str">
        <x:f>IF(OR(UPPER(TRIM('Raw Actuals'!H46))="PAID",UPPER(TRIM('Raw Actuals'!H46))="PAID "),"Paid",IF(UPPER(TRIM('Raw Actuals'!H46))="APPROVED","Approved",IF(OR(UPPER(TRIM('Raw Actuals'!H46))="SUBMITTED",UPPER(TRIM('Raw Actuals'!H46))="PENDING"),"Submitted",IF(UPPER(TRIM('Raw Actuals'!H46))="REJECTED","Rejected","Review"))))</x:f>
        <x:v>Approved</x:v>
      </x:c>
      <x:c r="I46" t="str">
        <x:f>IF(OR(H46="Paid",H46="Approved"),"Include","Exclude")</x:f>
        <x:v>Include</x:v>
      </x:c>
      <x:c r="J46" t="str">
        <x:f>IF(B46="","Missing invoice",IF(COUNTIF($B$6:B46,B46)&gt;1,"Duplicate","Unique"))</x:f>
        <x:v>Missing invoice</x:v>
      </x:c>
      <x:c r="K46" s="17" t="str">
        <x:f>IF(A46="","Missing ID; ","")&amp;IF(B46="","Missing invoice; ","")&amp;IF(C46="","Invalid date; ","")&amp;IF(D46="Review","Unmapped category; ","")&amp;IF(E46="Missing","Missing supplier; ","")&amp;IF(OR(G46="",G46&lt;=0),"Invalid amount; ","")&amp;IF(H46="Review","Invalid payment state; ","")&amp;IF(J46="Duplicate","Duplicate invoice; ","")</x:f>
        <x:v>Missing invoice; </x:v>
      </x:c>
      <x:c r="L46" t="str">
        <x:f>IF(K46="","Ready","Review")</x:f>
        <x:v>Review</x:v>
      </x:c>
      <x:c r="M46" s="26" t="n">
        <x:f>IF(AND(L46="Ready",I46="Include"),G46,0)</x:f>
        <x:v>0</x:v>
      </x:c>
    </x:row>
    <x:row r="47">
      <x:c r="A47" t="str">
        <x:f>UPPER(TRIM('Raw Actuals'!A47))</x:f>
        <x:v>TXN-27-0042</x:v>
      </x:c>
      <x:c r="B47" t="str">
        <x:f>UPPER(TRIM('Raw Actuals'!B47))</x:f>
        <x:v>INV-27-0042</x:v>
      </x:c>
      <x:c r="C47" s="25" t="n">
        <x:f>IFERROR(IF(OR(MID(TRIM('Raw Actuals'!C47),5,1)="-",MID(TRIM('Raw Actuals'!C47),5,1)="/"),DATE(VALUE(LEFT(TRIM('Raw Actuals'!C47),4)),VALUE(MID(TRIM('Raw Actuals'!C47),6,2)),VALUE(RIGHT(TRIM('Raw Actuals'!C47),2))),IF(LEN(TRIM('Raw Actuals'!C47))=10,DATE(VALUE(RIGHT(TRIM('Raw Actuals'!C47),4)),VALUE(MID(TRIM('Raw Actuals'!C47),4,2)),VALUE(LEFT(TRIM('Raw Actuals'!C47),2))),IF(LEN(TRIM('Raw Actuals'!C47))=8,DATE(2000+VALUE(RIGHT(TRIM('Raw Actuals'!C47),2)),VALUE(MID(TRIM('Raw Actuals'!C47),4,2)),VALUE(LEFT(TRIM('Raw Actuals'!C47),2))),""))),"")</x:f>
        <x:v>46391</x:v>
      </x:c>
      <x:c r="D47" t="str">
        <x:f>IF(OR(UPPER(TRIM('Raw Actuals'!D47))="CATERING",UPPER(TRIM('Raw Actuals'!D47))="WORKSHOP CATERING",UPPER(TRIM('Raw Actuals'!D47))="MEALS",UPPER(TRIM('Raw Actuals'!D47))="CATERNG"),"Catering",IF(OR(UPPER(TRIM('Raw Actuals'!D47))="TRANSPORT",UPPER(TRIM('Raw Actuals'!D47))="LEARNER TRANSPORT",UPPER(TRIM('Raw Actuals'!D47))="TAXIS",UPPER(TRIM('Raw Actuals'!D47))="LEARNER TAXI"),"Transport",IF(OR(UPPER(TRIM('Raw Actuals'!D47))="FACILITATION",UPPER(TRIM('Raw Actuals'!D47))="CHAMPION PAYMENTS",UPPER(TRIM('Raw Actuals'!D47))="STIPENDS",UPPER(TRIM('Raw Actuals'!D47))="FACILITATOR FEE"),"Facilitation",IF(OR(UPPER(TRIM('Raw Actuals'!D47))="MATERIALS",UPPER(TRIM('Raw Actuals'!D47))="WORKSHOP MATERIALS",UPPER(TRIM('Raw Actuals'!D47))="MATERIALS / SUPPLIES"),"Materials",IF(OR(UPPER(TRIM('Raw Actuals'!D47))="PRINTING",UPPER(TRIM('Raw Actuals'!D47))="PRINT &amp; CONSENT",UPPER(TRIM('Raw Actuals'!D47))="PRINTING AND CONSENT"),"Printing",IF(OR(UPPER(TRIM('Raw Actuals'!D47))="TRAINING",UPPER(TRIM('Raw Actuals'!D47))="CHAMPION TRAINING",UPPER(TRIM('Raw Actuals'!D47))="FACILITATOR TRAINING"),"Training",IF(OR(UPPER(TRIM('Raw Actuals'!D47))="SITE VISITS",UPPER(TRIM('Raw Actuals'!D47))="SITE VISIT",UPPER(TRIM('Raw Actuals'!D47))="TRAVEL AND SITE VISITS"),"Site visits",IF(OR(UPPER(TRIM('Raw Actuals'!D47))="EVENTS",UPPER(TRIM('Raw Actuals'!D47))="RECOGNITION EVENT",UPPER(TRIM('Raw Actuals'!D47))="BADGE CEREMONY"),"Events",IF(OR(UPPER(TRIM('Raw Actuals'!D47))="VENUE",UPPER(TRIM('Raw Actuals'!D47))="VENUE HIRE",UPPER(TRIM('Raw Actuals'!D47))="TRAINING VENUE"),"Venue",IF(OR(UPPER(TRIM('Raw Actuals'!D47))="ADMINISTRATION",UPPER(TRIM('Raw Actuals'!D47))="ADMIN",UPPER(TRIM('Raw Actuals'!D47))="OPERATIONAL SUPPORT"),"Administration","Review"))))))))))</x:f>
        <x:v>Printing</x:v>
      </x:c>
      <x:c r="E47" t="str">
        <x:f>IF(TRIM('Raw Actuals'!E47)="","Missing",PROPER(TRIM('Raw Actuals'!E47)))</x:f>
        <x:v>Moya Supplies</x:v>
      </x:c>
      <x:c r="F47" t="str">
        <x:f>TRIM('Raw Actuals'!F47)</x:f>
        <x:v>Printing expense 42</x:v>
      </x:c>
      <x:c r="G47" s="26" t="n">
        <x:v>826</x:v>
      </x:c>
      <x:c r="H47" t="str">
        <x:f>IF(OR(UPPER(TRIM('Raw Actuals'!H47))="PAID",UPPER(TRIM('Raw Actuals'!H47))="PAID "),"Paid",IF(UPPER(TRIM('Raw Actuals'!H47))="APPROVED","Approved",IF(OR(UPPER(TRIM('Raw Actuals'!H47))="SUBMITTED",UPPER(TRIM('Raw Actuals'!H47))="PENDING"),"Submitted",IF(UPPER(TRIM('Raw Actuals'!H47))="REJECTED","Rejected","Review"))))</x:f>
        <x:v>Submitted</x:v>
      </x:c>
      <x:c r="I47" t="str">
        <x:f>IF(OR(H47="Paid",H47="Approved"),"Include","Exclude")</x:f>
        <x:v>Exclude</x:v>
      </x:c>
      <x:c r="J47" t="str">
        <x:f>IF(B47="","Missing invoice",IF(COUNTIF($B$6:B47,B47)&gt;1,"Duplicate","Unique"))</x:f>
        <x:v>Unique</x:v>
      </x:c>
      <x:c r="K47" s="17" t="str">
        <x:f>IF(A47="","Missing ID; ","")&amp;IF(B47="","Missing invoice; ","")&amp;IF(C47="","Invalid date; ","")&amp;IF(D47="Review","Unmapped category; ","")&amp;IF(E47="Missing","Missing supplier; ","")&amp;IF(OR(G47="",G47&lt;=0),"Invalid amount; ","")&amp;IF(H47="Review","Invalid payment state; ","")&amp;IF(J47="Duplicate","Duplicate invoice; ","")</x:f>
      </x:c>
      <x:c r="L47" t="str">
        <x:f>IF(K47="","Ready","Review")</x:f>
        <x:v>Ready</x:v>
      </x:c>
      <x:c r="M47" s="26" t="n">
        <x:f>IF(AND(L47="Ready",I47="Include"),G47,0)</x:f>
        <x:v>0</x:v>
      </x:c>
    </x:row>
    <x:row r="48">
      <x:c r="A48" t="str">
        <x:f>UPPER(TRIM('Raw Actuals'!A48))</x:f>
        <x:v>TXN-27-0043</x:v>
      </x:c>
      <x:c r="B48" t="str">
        <x:f>UPPER(TRIM('Raw Actuals'!B48))</x:f>
        <x:v>INV-27-0043</x:v>
      </x:c>
      <x:c r="C48" s="25" t="n">
        <x:f>IFERROR(IF(OR(MID(TRIM('Raw Actuals'!C48),5,1)="-",MID(TRIM('Raw Actuals'!C48),5,1)="/"),DATE(VALUE(LEFT(TRIM('Raw Actuals'!C48),4)),VALUE(MID(TRIM('Raw Actuals'!C48),6,2)),VALUE(RIGHT(TRIM('Raw Actuals'!C48),2))),IF(LEN(TRIM('Raw Actuals'!C48))=10,DATE(VALUE(RIGHT(TRIM('Raw Actuals'!C48),4)),VALUE(MID(TRIM('Raw Actuals'!C48),4,2)),VALUE(LEFT(TRIM('Raw Actuals'!C48),2))),IF(LEN(TRIM('Raw Actuals'!C48))=8,DATE(2000+VALUE(RIGHT(TRIM('Raw Actuals'!C48),2)),VALUE(MID(TRIM('Raw Actuals'!C48),4,2)),VALUE(LEFT(TRIM('Raw Actuals'!C48),2))),""))),"")</x:f>
        <x:v>46553</x:v>
      </x:c>
      <x:c r="D48" t="str">
        <x:f>IF(OR(UPPER(TRIM('Raw Actuals'!D48))="CATERING",UPPER(TRIM('Raw Actuals'!D48))="WORKSHOP CATERING",UPPER(TRIM('Raw Actuals'!D48))="MEALS",UPPER(TRIM('Raw Actuals'!D48))="CATERNG"),"Catering",IF(OR(UPPER(TRIM('Raw Actuals'!D48))="TRANSPORT",UPPER(TRIM('Raw Actuals'!D48))="LEARNER TRANSPORT",UPPER(TRIM('Raw Actuals'!D48))="TAXIS",UPPER(TRIM('Raw Actuals'!D48))="LEARNER TAXI"),"Transport",IF(OR(UPPER(TRIM('Raw Actuals'!D48))="FACILITATION",UPPER(TRIM('Raw Actuals'!D48))="CHAMPION PAYMENTS",UPPER(TRIM('Raw Actuals'!D48))="STIPENDS",UPPER(TRIM('Raw Actuals'!D48))="FACILITATOR FEE"),"Facilitation",IF(OR(UPPER(TRIM('Raw Actuals'!D48))="MATERIALS",UPPER(TRIM('Raw Actuals'!D48))="WORKSHOP MATERIALS",UPPER(TRIM('Raw Actuals'!D48))="MATERIALS / SUPPLIES"),"Materials",IF(OR(UPPER(TRIM('Raw Actuals'!D48))="PRINTING",UPPER(TRIM('Raw Actuals'!D48))="PRINT &amp; CONSENT",UPPER(TRIM('Raw Actuals'!D48))="PRINTING AND CONSENT"),"Printing",IF(OR(UPPER(TRIM('Raw Actuals'!D48))="TRAINING",UPPER(TRIM('Raw Actuals'!D48))="CHAMPION TRAINING",UPPER(TRIM('Raw Actuals'!D48))="FACILITATOR TRAINING"),"Training",IF(OR(UPPER(TRIM('Raw Actuals'!D48))="SITE VISITS",UPPER(TRIM('Raw Actuals'!D48))="SITE VISIT",UPPER(TRIM('Raw Actuals'!D48))="TRAVEL AND SITE VISITS"),"Site visits",IF(OR(UPPER(TRIM('Raw Actuals'!D48))="EVENTS",UPPER(TRIM('Raw Actuals'!D48))="RECOGNITION EVENT",UPPER(TRIM('Raw Actuals'!D48))="BADGE CEREMONY"),"Events",IF(OR(UPPER(TRIM('Raw Actuals'!D48))="VENUE",UPPER(TRIM('Raw Actuals'!D48))="VENUE HIRE",UPPER(TRIM('Raw Actuals'!D48))="TRAINING VENUE"),"Venue",IF(OR(UPPER(TRIM('Raw Actuals'!D48))="ADMINISTRATION",UPPER(TRIM('Raw Actuals'!D48))="ADMIN",UPPER(TRIM('Raw Actuals'!D48))="OPERATIONAL SUPPORT"),"Administration","Review"))))))))))</x:f>
        <x:v>Transport</x:v>
      </x:c>
      <x:c r="E48" t="str">
        <x:f>IF(TRIM('Raw Actuals'!E48)="","Missing",PROPER(TRIM('Raw Actuals'!E48)))</x:f>
        <x:v>Northline Transport</x:v>
      </x:c>
      <x:c r="F48" t="str">
        <x:f>TRIM('Raw Actuals'!F48)</x:f>
        <x:v>Transport expense 43</x:v>
      </x:c>
      <x:c r="G48" s="26" t="n">
        <x:v>8082</x:v>
      </x:c>
      <x:c r="H48" t="str">
        <x:f>IF(OR(UPPER(TRIM('Raw Actuals'!H48))="PAID",UPPER(TRIM('Raw Actuals'!H48))="PAID "),"Paid",IF(UPPER(TRIM('Raw Actuals'!H48))="APPROVED","Approved",IF(OR(UPPER(TRIM('Raw Actuals'!H48))="SUBMITTED",UPPER(TRIM('Raw Actuals'!H48))="PENDING"),"Submitted",IF(UPPER(TRIM('Raw Actuals'!H48))="REJECTED","Rejected","Review"))))</x:f>
        <x:v>Rejected</x:v>
      </x:c>
      <x:c r="I48" t="str">
        <x:f>IF(OR(H48="Paid",H48="Approved"),"Include","Exclude")</x:f>
        <x:v>Exclude</x:v>
      </x:c>
      <x:c r="J48" t="str">
        <x:f>IF(B48="","Missing invoice",IF(COUNTIF($B$6:B48,B48)&gt;1,"Duplicate","Unique"))</x:f>
        <x:v>Unique</x:v>
      </x:c>
      <x:c r="K48" s="17" t="str">
        <x:f>IF(A48="","Missing ID; ","")&amp;IF(B48="","Missing invoice; ","")&amp;IF(C48="","Invalid date; ","")&amp;IF(D48="Review","Unmapped category; ","")&amp;IF(E48="Missing","Missing supplier; ","")&amp;IF(OR(G48="",G48&lt;=0),"Invalid amount; ","")&amp;IF(H48="Review","Invalid payment state; ","")&amp;IF(J48="Duplicate","Duplicate invoice; ","")</x:f>
      </x:c>
      <x:c r="L48" t="str">
        <x:f>IF(K48="","Ready","Review")</x:f>
        <x:v>Ready</x:v>
      </x:c>
      <x:c r="M48" s="26" t="n">
        <x:f>IF(AND(L48="Ready",I48="Include"),G48,0)</x:f>
        <x:v>0</x:v>
      </x:c>
    </x:row>
    <x:row r="49">
      <x:c r="A49" t="str">
        <x:f>UPPER(TRIM('Raw Actuals'!A49))</x:f>
        <x:v>TXN-27-0044</x:v>
      </x:c>
      <x:c r="B49" t="str">
        <x:f>UPPER(TRIM('Raw Actuals'!B49))</x:f>
        <x:v>INV-27-0044</x:v>
      </x:c>
      <x:c r="C49" s="25" t="n">
        <x:f>IFERROR(IF(OR(MID(TRIM('Raw Actuals'!C49),5,1)="-",MID(TRIM('Raw Actuals'!C49),5,1)="/"),DATE(VALUE(LEFT(TRIM('Raw Actuals'!C49),4)),VALUE(MID(TRIM('Raw Actuals'!C49),6,2)),VALUE(RIGHT(TRIM('Raw Actuals'!C49),2))),IF(LEN(TRIM('Raw Actuals'!C49))=10,DATE(VALUE(RIGHT(TRIM('Raw Actuals'!C49),4)),VALUE(MID(TRIM('Raw Actuals'!C49),4,2)),VALUE(LEFT(TRIM('Raw Actuals'!C49),2))),IF(LEN(TRIM('Raw Actuals'!C49))=8,DATE(2000+VALUE(RIGHT(TRIM('Raw Actuals'!C49),2)),VALUE(MID(TRIM('Raw Actuals'!C49),4,2)),VALUE(LEFT(TRIM('Raw Actuals'!C49),2))),""))),"")</x:f>
        <x:v>46533</x:v>
      </x:c>
      <x:c r="D49" t="str">
        <x:f>IF(OR(UPPER(TRIM('Raw Actuals'!D49))="CATERING",UPPER(TRIM('Raw Actuals'!D49))="WORKSHOP CATERING",UPPER(TRIM('Raw Actuals'!D49))="MEALS",UPPER(TRIM('Raw Actuals'!D49))="CATERNG"),"Catering",IF(OR(UPPER(TRIM('Raw Actuals'!D49))="TRANSPORT",UPPER(TRIM('Raw Actuals'!D49))="LEARNER TRANSPORT",UPPER(TRIM('Raw Actuals'!D49))="TAXIS",UPPER(TRIM('Raw Actuals'!D49))="LEARNER TAXI"),"Transport",IF(OR(UPPER(TRIM('Raw Actuals'!D49))="FACILITATION",UPPER(TRIM('Raw Actuals'!D49))="CHAMPION PAYMENTS",UPPER(TRIM('Raw Actuals'!D49))="STIPENDS",UPPER(TRIM('Raw Actuals'!D49))="FACILITATOR FEE"),"Facilitation",IF(OR(UPPER(TRIM('Raw Actuals'!D49))="MATERIALS",UPPER(TRIM('Raw Actuals'!D49))="WORKSHOP MATERIALS",UPPER(TRIM('Raw Actuals'!D49))="MATERIALS / SUPPLIES"),"Materials",IF(OR(UPPER(TRIM('Raw Actuals'!D49))="PRINTING",UPPER(TRIM('Raw Actuals'!D49))="PRINT &amp; CONSENT",UPPER(TRIM('Raw Actuals'!D49))="PRINTING AND CONSENT"),"Printing",IF(OR(UPPER(TRIM('Raw Actuals'!D49))="TRAINING",UPPER(TRIM('Raw Actuals'!D49))="CHAMPION TRAINING",UPPER(TRIM('Raw Actuals'!D49))="FACILITATOR TRAINING"),"Training",IF(OR(UPPER(TRIM('Raw Actuals'!D49))="SITE VISITS",UPPER(TRIM('Raw Actuals'!D49))="SITE VISIT",UPPER(TRIM('Raw Actuals'!D49))="TRAVEL AND SITE VISITS"),"Site visits",IF(OR(UPPER(TRIM('Raw Actuals'!D49))="EVENTS",UPPER(TRIM('Raw Actuals'!D49))="RECOGNITION EVENT",UPPER(TRIM('Raw Actuals'!D49))="BADGE CEREMONY"),"Events",IF(OR(UPPER(TRIM('Raw Actuals'!D49))="VENUE",UPPER(TRIM('Raw Actuals'!D49))="VENUE HIRE",UPPER(TRIM('Raw Actuals'!D49))="TRAINING VENUE"),"Venue",IF(OR(UPPER(TRIM('Raw Actuals'!D49))="ADMINISTRATION",UPPER(TRIM('Raw Actuals'!D49))="ADMIN",UPPER(TRIM('Raw Actuals'!D49))="OPERATIONAL SUPPORT"),"Administration","Review"))))))))))</x:f>
        <x:v>Venue</x:v>
      </x:c>
      <x:c r="E49" t="str">
        <x:f>IF(TRIM('Raw Actuals'!E49)="","Missing",PROPER(TRIM('Raw Actuals'!E49)))</x:f>
        <x:v>Kopano Catering</x:v>
      </x:c>
      <x:c r="F49" t="str">
        <x:f>TRIM('Raw Actuals'!F49)</x:f>
        <x:v>Venue expense 44</x:v>
      </x:c>
      <x:c r="G49" s="26" t="n">
        <x:v>7043</x:v>
      </x:c>
      <x:c r="H49" t="str">
        <x:f>IF(OR(UPPER(TRIM('Raw Actuals'!H49))="PAID",UPPER(TRIM('Raw Actuals'!H49))="PAID "),"Paid",IF(UPPER(TRIM('Raw Actuals'!H49))="APPROVED","Approved",IF(OR(UPPER(TRIM('Raw Actuals'!H49))="SUBMITTED",UPPER(TRIM('Raw Actuals'!H49))="PENDING"),"Submitted",IF(UPPER(TRIM('Raw Actuals'!H49))="REJECTED","Rejected","Review"))))</x:f>
        <x:v>Paid</x:v>
      </x:c>
      <x:c r="I49" t="str">
        <x:f>IF(OR(H49="Paid",H49="Approved"),"Include","Exclude")</x:f>
        <x:v>Include</x:v>
      </x:c>
      <x:c r="J49" t="str">
        <x:f>IF(B49="","Missing invoice",IF(COUNTIF($B$6:B49,B49)&gt;1,"Duplicate","Unique"))</x:f>
        <x:v>Unique</x:v>
      </x:c>
      <x:c r="K49" s="17" t="str">
        <x:f>IF(A49="","Missing ID; ","")&amp;IF(B49="","Missing invoice; ","")&amp;IF(C49="","Invalid date; ","")&amp;IF(D49="Review","Unmapped category; ","")&amp;IF(E49="Missing","Missing supplier; ","")&amp;IF(OR(G49="",G49&lt;=0),"Invalid amount; ","")&amp;IF(H49="Review","Invalid payment state; ","")&amp;IF(J49="Duplicate","Duplicate invoice; ","")</x:f>
      </x:c>
      <x:c r="L49" t="str">
        <x:f>IF(K49="","Ready","Review")</x:f>
        <x:v>Ready</x:v>
      </x:c>
      <x:c r="M49" s="26" t="n">
        <x:f>IF(AND(L49="Ready",I49="Include"),G49,0)</x:f>
        <x:v>7043</x:v>
      </x:c>
    </x:row>
    <x:row r="50">
      <x:c r="A50" t="str">
        <x:f>UPPER(TRIM('Raw Actuals'!A50))</x:f>
        <x:v>TXN-27-0045</x:v>
      </x:c>
      <x:c r="B50" t="str">
        <x:f>UPPER(TRIM('Raw Actuals'!B50))</x:f>
        <x:v>INV-27-0045</x:v>
      </x:c>
      <x:c r="C50" s="25" t="n">
        <x:f>IFERROR(IF(OR(MID(TRIM('Raw Actuals'!C50),5,1)="-",MID(TRIM('Raw Actuals'!C50),5,1)="/"),DATE(VALUE(LEFT(TRIM('Raw Actuals'!C50),4)),VALUE(MID(TRIM('Raw Actuals'!C50),6,2)),VALUE(RIGHT(TRIM('Raw Actuals'!C50),2))),IF(LEN(TRIM('Raw Actuals'!C50))=10,DATE(VALUE(RIGHT(TRIM('Raw Actuals'!C50),4)),VALUE(MID(TRIM('Raw Actuals'!C50),4,2)),VALUE(LEFT(TRIM('Raw Actuals'!C50),2))),IF(LEN(TRIM('Raw Actuals'!C50))=8,DATE(2000+VALUE(RIGHT(TRIM('Raw Actuals'!C50),2)),VALUE(MID(TRIM('Raw Actuals'!C50),4,2)),VALUE(LEFT(TRIM('Raw Actuals'!C50),2))),""))),"")</x:f>
        <x:v>46487</x:v>
      </x:c>
      <x:c r="D50" t="str">
        <x:f>IF(OR(UPPER(TRIM('Raw Actuals'!D50))="CATERING",UPPER(TRIM('Raw Actuals'!D50))="WORKSHOP CATERING",UPPER(TRIM('Raw Actuals'!D50))="MEALS",UPPER(TRIM('Raw Actuals'!D50))="CATERNG"),"Catering",IF(OR(UPPER(TRIM('Raw Actuals'!D50))="TRANSPORT",UPPER(TRIM('Raw Actuals'!D50))="LEARNER TRANSPORT",UPPER(TRIM('Raw Actuals'!D50))="TAXIS",UPPER(TRIM('Raw Actuals'!D50))="LEARNER TAXI"),"Transport",IF(OR(UPPER(TRIM('Raw Actuals'!D50))="FACILITATION",UPPER(TRIM('Raw Actuals'!D50))="CHAMPION PAYMENTS",UPPER(TRIM('Raw Actuals'!D50))="STIPENDS",UPPER(TRIM('Raw Actuals'!D50))="FACILITATOR FEE"),"Facilitation",IF(OR(UPPER(TRIM('Raw Actuals'!D50))="MATERIALS",UPPER(TRIM('Raw Actuals'!D50))="WORKSHOP MATERIALS",UPPER(TRIM('Raw Actuals'!D50))="MATERIALS / SUPPLIES"),"Materials",IF(OR(UPPER(TRIM('Raw Actuals'!D50))="PRINTING",UPPER(TRIM('Raw Actuals'!D50))="PRINT &amp; CONSENT",UPPER(TRIM('Raw Actuals'!D50))="PRINTING AND CONSENT"),"Printing",IF(OR(UPPER(TRIM('Raw Actuals'!D50))="TRAINING",UPPER(TRIM('Raw Actuals'!D50))="CHAMPION TRAINING",UPPER(TRIM('Raw Actuals'!D50))="FACILITATOR TRAINING"),"Training",IF(OR(UPPER(TRIM('Raw Actuals'!D50))="SITE VISITS",UPPER(TRIM('Raw Actuals'!D50))="SITE VISIT",UPPER(TRIM('Raw Actuals'!D50))="TRAVEL AND SITE VISITS"),"Site visits",IF(OR(UPPER(TRIM('Raw Actuals'!D50))="EVENTS",UPPER(TRIM('Raw Actuals'!D50))="RECOGNITION EVENT",UPPER(TRIM('Raw Actuals'!D50))="BADGE CEREMONY"),"Events",IF(OR(UPPER(TRIM('Raw Actuals'!D50))="VENUE",UPPER(TRIM('Raw Actuals'!D50))="VENUE HIRE",UPPER(TRIM('Raw Actuals'!D50))="TRAINING VENUE"),"Venue",IF(OR(UPPER(TRIM('Raw Actuals'!D50))="ADMINISTRATION",UPPER(TRIM('Raw Actuals'!D50))="ADMIN",UPPER(TRIM('Raw Actuals'!D50))="OPERATIONAL SUPPORT"),"Administration","Review"))))))))))</x:f>
        <x:v>Training</x:v>
      </x:c>
      <x:c r="E50" t="str">
        <x:f>IF(TRIM('Raw Actuals'!E50)="","Missing",PROPER(TRIM('Raw Actuals'!E50)))</x:f>
        <x:v>Riverside Venue Hire</x:v>
      </x:c>
      <x:c r="F50" t="str">
        <x:f>TRIM('Raw Actuals'!F50)</x:f>
        <x:v>Training expense 45</x:v>
      </x:c>
      <x:c r="G50" s="26" t="n">
        <x:v>7777</x:v>
      </x:c>
      <x:c r="H50" t="str">
        <x:f>IF(OR(UPPER(TRIM('Raw Actuals'!H50))="PAID",UPPER(TRIM('Raw Actuals'!H50))="PAID "),"Paid",IF(UPPER(TRIM('Raw Actuals'!H50))="APPROVED","Approved",IF(OR(UPPER(TRIM('Raw Actuals'!H50))="SUBMITTED",UPPER(TRIM('Raw Actuals'!H50))="PENDING"),"Submitted",IF(UPPER(TRIM('Raw Actuals'!H50))="REJECTED","Rejected","Review"))))</x:f>
        <x:v>Approved</x:v>
      </x:c>
      <x:c r="I50" t="str">
        <x:f>IF(OR(H50="Paid",H50="Approved"),"Include","Exclude")</x:f>
        <x:v>Include</x:v>
      </x:c>
      <x:c r="J50" t="str">
        <x:f>IF(B50="","Missing invoice",IF(COUNTIF($B$6:B50,B50)&gt;1,"Duplicate","Unique"))</x:f>
        <x:v>Unique</x:v>
      </x:c>
      <x:c r="K50" s="17" t="str">
        <x:f>IF(A50="","Missing ID; ","")&amp;IF(B50="","Missing invoice; ","")&amp;IF(C50="","Invalid date; ","")&amp;IF(D50="Review","Unmapped category; ","")&amp;IF(E50="Missing","Missing supplier; ","")&amp;IF(OR(G50="",G50&lt;=0),"Invalid amount; ","")&amp;IF(H50="Review","Invalid payment state; ","")&amp;IF(J50="Duplicate","Duplicate invoice; ","")</x:f>
      </x:c>
      <x:c r="L50" t="str">
        <x:f>IF(K50="","Ready","Review")</x:f>
        <x:v>Ready</x:v>
      </x:c>
      <x:c r="M50" s="26" t="n">
        <x:f>IF(AND(L50="Ready",I50="Include"),G50,0)</x:f>
        <x:v>7777</x:v>
      </x:c>
    </x:row>
    <x:row r="51">
      <x:c r="A51" t="str">
        <x:f>UPPER(TRIM('Raw Actuals'!A51))</x:f>
        <x:v>TXN-27-0046</x:v>
      </x:c>
      <x:c r="B51" t="str">
        <x:f>UPPER(TRIM('Raw Actuals'!B51))</x:f>
        <x:v>INV-27-0045</x:v>
      </x:c>
      <x:c r="C51" s="25" t="n">
        <x:f>IFERROR(IF(OR(MID(TRIM('Raw Actuals'!C51),5,1)="-",MID(TRIM('Raw Actuals'!C51),5,1)="/"),DATE(VALUE(LEFT(TRIM('Raw Actuals'!C51),4)),VALUE(MID(TRIM('Raw Actuals'!C51),6,2)),VALUE(RIGHT(TRIM('Raw Actuals'!C51),2))),IF(LEN(TRIM('Raw Actuals'!C51))=10,DATE(VALUE(RIGHT(TRIM('Raw Actuals'!C51),4)),VALUE(MID(TRIM('Raw Actuals'!C51),4,2)),VALUE(LEFT(TRIM('Raw Actuals'!C51),2))),IF(LEN(TRIM('Raw Actuals'!C51))=8,DATE(2000+VALUE(RIGHT(TRIM('Raw Actuals'!C51),2)),VALUE(MID(TRIM('Raw Actuals'!C51),4,2)),VALUE(LEFT(TRIM('Raw Actuals'!C51),2))),""))),"")</x:f>
        <x:v>46467</x:v>
      </x:c>
      <x:c r="D51" t="str">
        <x:f>IF(OR(UPPER(TRIM('Raw Actuals'!D51))="CATERING",UPPER(TRIM('Raw Actuals'!D51))="WORKSHOP CATERING",UPPER(TRIM('Raw Actuals'!D51))="MEALS",UPPER(TRIM('Raw Actuals'!D51))="CATERNG"),"Catering",IF(OR(UPPER(TRIM('Raw Actuals'!D51))="TRANSPORT",UPPER(TRIM('Raw Actuals'!D51))="LEARNER TRANSPORT",UPPER(TRIM('Raw Actuals'!D51))="TAXIS",UPPER(TRIM('Raw Actuals'!D51))="LEARNER TAXI"),"Transport",IF(OR(UPPER(TRIM('Raw Actuals'!D51))="FACILITATION",UPPER(TRIM('Raw Actuals'!D51))="CHAMPION PAYMENTS",UPPER(TRIM('Raw Actuals'!D51))="STIPENDS",UPPER(TRIM('Raw Actuals'!D51))="FACILITATOR FEE"),"Facilitation",IF(OR(UPPER(TRIM('Raw Actuals'!D51))="MATERIALS",UPPER(TRIM('Raw Actuals'!D51))="WORKSHOP MATERIALS",UPPER(TRIM('Raw Actuals'!D51))="MATERIALS / SUPPLIES"),"Materials",IF(OR(UPPER(TRIM('Raw Actuals'!D51))="PRINTING",UPPER(TRIM('Raw Actuals'!D51))="PRINT &amp; CONSENT",UPPER(TRIM('Raw Actuals'!D51))="PRINTING AND CONSENT"),"Printing",IF(OR(UPPER(TRIM('Raw Actuals'!D51))="TRAINING",UPPER(TRIM('Raw Actuals'!D51))="CHAMPION TRAINING",UPPER(TRIM('Raw Actuals'!D51))="FACILITATOR TRAINING"),"Training",IF(OR(UPPER(TRIM('Raw Actuals'!D51))="SITE VISITS",UPPER(TRIM('Raw Actuals'!D51))="SITE VISIT",UPPER(TRIM('Raw Actuals'!D51))="TRAVEL AND SITE VISITS"),"Site visits",IF(OR(UPPER(TRIM('Raw Actuals'!D51))="EVENTS",UPPER(TRIM('Raw Actuals'!D51))="RECOGNITION EVENT",UPPER(TRIM('Raw Actuals'!D51))="BADGE CEREMONY"),"Events",IF(OR(UPPER(TRIM('Raw Actuals'!D51))="VENUE",UPPER(TRIM('Raw Actuals'!D51))="VENUE HIRE",UPPER(TRIM('Raw Actuals'!D51))="TRAINING VENUE"),"Venue",IF(OR(UPPER(TRIM('Raw Actuals'!D51))="ADMINISTRATION",UPPER(TRIM('Raw Actuals'!D51))="ADMIN",UPPER(TRIM('Raw Actuals'!D51))="OPERATIONAL SUPPORT"),"Administration","Review"))))))))))</x:f>
        <x:v>Facilitation</x:v>
      </x:c>
      <x:c r="E51" t="str">
        <x:f>IF(TRIM('Raw Actuals'!E51)="","Missing",PROPER(TRIM('Raw Actuals'!E51)))</x:f>
        <x:v>Bright Print Studio</x:v>
      </x:c>
      <x:c r="F51" t="str">
        <x:f>TRIM('Raw Actuals'!F51)</x:f>
        <x:v>Facilitation expense 46</x:v>
      </x:c>
      <x:c r="G51" s="26" t="n">
        <x:v>8650</x:v>
      </x:c>
      <x:c r="H51" t="str">
        <x:f>IF(OR(UPPER(TRIM('Raw Actuals'!H51))="PAID",UPPER(TRIM('Raw Actuals'!H51))="PAID "),"Paid",IF(UPPER(TRIM('Raw Actuals'!H51))="APPROVED","Approved",IF(OR(UPPER(TRIM('Raw Actuals'!H51))="SUBMITTED",UPPER(TRIM('Raw Actuals'!H51))="PENDING"),"Submitted",IF(UPPER(TRIM('Raw Actuals'!H51))="REJECTED","Rejected","Review"))))</x:f>
        <x:v>Submitted</x:v>
      </x:c>
      <x:c r="I51" t="str">
        <x:f>IF(OR(H51="Paid",H51="Approved"),"Include","Exclude")</x:f>
        <x:v>Exclude</x:v>
      </x:c>
      <x:c r="J51" t="str">
        <x:f>IF(B51="","Missing invoice",IF(COUNTIF($B$6:B51,B51)&gt;1,"Duplicate","Unique"))</x:f>
        <x:v>Duplicate</x:v>
      </x:c>
      <x:c r="K51" s="17" t="str">
        <x:f>IF(A51="","Missing ID; ","")&amp;IF(B51="","Missing invoice; ","")&amp;IF(C51="","Invalid date; ","")&amp;IF(D51="Review","Unmapped category; ","")&amp;IF(E51="Missing","Missing supplier; ","")&amp;IF(OR(G51="",G51&lt;=0),"Invalid amount; ","")&amp;IF(H51="Review","Invalid payment state; ","")&amp;IF(J51="Duplicate","Duplicate invoice; ","")</x:f>
        <x:v>Duplicate invoice; </x:v>
      </x:c>
      <x:c r="L51" t="str">
        <x:f>IF(K51="","Ready","Review")</x:f>
        <x:v>Review</x:v>
      </x:c>
      <x:c r="M51" s="26" t="n">
        <x:f>IF(AND(L51="Ready",I51="Include"),G51,0)</x:f>
        <x:v>0</x:v>
      </x:c>
    </x:row>
    <x:row r="52">
      <x:c r="A52" t="str">
        <x:f>UPPER(TRIM('Raw Actuals'!A52))</x:f>
        <x:v>TXN-27-0047</x:v>
      </x:c>
      <x:c r="B52" t="str">
        <x:f>UPPER(TRIM('Raw Actuals'!B52))</x:f>
        <x:v>INV-27-0047</x:v>
      </x:c>
      <x:c r="C52" s="25" t="n">
        <x:f>IFERROR(IF(OR(MID(TRIM('Raw Actuals'!C52),5,1)="-",MID(TRIM('Raw Actuals'!C52),5,1)="/"),DATE(VALUE(LEFT(TRIM('Raw Actuals'!C52),4)),VALUE(MID(TRIM('Raw Actuals'!C52),6,2)),VALUE(RIGHT(TRIM('Raw Actuals'!C52),2))),IF(LEN(TRIM('Raw Actuals'!C52))=10,DATE(VALUE(RIGHT(TRIM('Raw Actuals'!C52),4)),VALUE(MID(TRIM('Raw Actuals'!C52),4,2)),VALUE(LEFT(TRIM('Raw Actuals'!C52),2))),IF(LEN(TRIM('Raw Actuals'!C52))=8,DATE(2000+VALUE(RIGHT(TRIM('Raw Actuals'!C52),2)),VALUE(MID(TRIM('Raw Actuals'!C52),4,2)),VALUE(LEFT(TRIM('Raw Actuals'!C52),2))),""))),"")</x:f>
        <x:v>46423</x:v>
      </x:c>
      <x:c r="D52" t="str">
        <x:f>IF(OR(UPPER(TRIM('Raw Actuals'!D52))="CATERING",UPPER(TRIM('Raw Actuals'!D52))="WORKSHOP CATERING",UPPER(TRIM('Raw Actuals'!D52))="MEALS",UPPER(TRIM('Raw Actuals'!D52))="CATERNG"),"Catering",IF(OR(UPPER(TRIM('Raw Actuals'!D52))="TRANSPORT",UPPER(TRIM('Raw Actuals'!D52))="LEARNER TRANSPORT",UPPER(TRIM('Raw Actuals'!D52))="TAXIS",UPPER(TRIM('Raw Actuals'!D52))="LEARNER TAXI"),"Transport",IF(OR(UPPER(TRIM('Raw Actuals'!D52))="FACILITATION",UPPER(TRIM('Raw Actuals'!D52))="CHAMPION PAYMENTS",UPPER(TRIM('Raw Actuals'!D52))="STIPENDS",UPPER(TRIM('Raw Actuals'!D52))="FACILITATOR FEE"),"Facilitation",IF(OR(UPPER(TRIM('Raw Actuals'!D52))="MATERIALS",UPPER(TRIM('Raw Actuals'!D52))="WORKSHOP MATERIALS",UPPER(TRIM('Raw Actuals'!D52))="MATERIALS / SUPPLIES"),"Materials",IF(OR(UPPER(TRIM('Raw Actuals'!D52))="PRINTING",UPPER(TRIM('Raw Actuals'!D52))="PRINT &amp; CONSENT",UPPER(TRIM('Raw Actuals'!D52))="PRINTING AND CONSENT"),"Printing",IF(OR(UPPER(TRIM('Raw Actuals'!D52))="TRAINING",UPPER(TRIM('Raw Actuals'!D52))="CHAMPION TRAINING",UPPER(TRIM('Raw Actuals'!D52))="FACILITATOR TRAINING"),"Training",IF(OR(UPPER(TRIM('Raw Actuals'!D52))="SITE VISITS",UPPER(TRIM('Raw Actuals'!D52))="SITE VISIT",UPPER(TRIM('Raw Actuals'!D52))="TRAVEL AND SITE VISITS"),"Site visits",IF(OR(UPPER(TRIM('Raw Actuals'!D52))="EVENTS",UPPER(TRIM('Raw Actuals'!D52))="RECOGNITION EVENT",UPPER(TRIM('Raw Actuals'!D52))="BADGE CEREMONY"),"Events",IF(OR(UPPER(TRIM('Raw Actuals'!D52))="VENUE",UPPER(TRIM('Raw Actuals'!D52))="VENUE HIRE",UPPER(TRIM('Raw Actuals'!D52))="TRAINING VENUE"),"Venue",IF(OR(UPPER(TRIM('Raw Actuals'!D52))="ADMINISTRATION",UPPER(TRIM('Raw Actuals'!D52))="ADMIN",UPPER(TRIM('Raw Actuals'!D52))="OPERATIONAL SUPPORT"),"Administration","Review"))))))))))</x:f>
        <x:v>Administration</x:v>
      </x:c>
      <x:c r="E52" t="str">
        <x:f>IF(TRIM('Raw Actuals'!E52)="","Missing",PROPER(TRIM('Raw Actuals'!E52)))</x:f>
        <x:v>Missing</x:v>
      </x:c>
      <x:c r="F52" t="str">
        <x:f>TRIM('Raw Actuals'!F52)</x:f>
        <x:v>Administration expense 47</x:v>
      </x:c>
      <x:c r="G52" s="26" t="n">
        <x:v>9345</x:v>
      </x:c>
      <x:c r="H52" t="str">
        <x:f>IF(OR(UPPER(TRIM('Raw Actuals'!H52))="PAID",UPPER(TRIM('Raw Actuals'!H52))="PAID "),"Paid",IF(UPPER(TRIM('Raw Actuals'!H52))="APPROVED","Approved",IF(OR(UPPER(TRIM('Raw Actuals'!H52))="SUBMITTED",UPPER(TRIM('Raw Actuals'!H52))="PENDING"),"Submitted",IF(UPPER(TRIM('Raw Actuals'!H52))="REJECTED","Rejected","Review"))))</x:f>
        <x:v>Rejected</x:v>
      </x:c>
      <x:c r="I52" t="str">
        <x:f>IF(OR(H52="Paid",H52="Approved"),"Include","Exclude")</x:f>
        <x:v>Exclude</x:v>
      </x:c>
      <x:c r="J52" t="str">
        <x:f>IF(B52="","Missing invoice",IF(COUNTIF($B$6:B52,B52)&gt;1,"Duplicate","Unique"))</x:f>
        <x:v>Unique</x:v>
      </x:c>
      <x:c r="K52" s="17" t="str">
        <x:f>IF(A52="","Missing ID; ","")&amp;IF(B52="","Missing invoice; ","")&amp;IF(C52="","Invalid date; ","")&amp;IF(D52="Review","Unmapped category; ","")&amp;IF(E52="Missing","Missing supplier; ","")&amp;IF(OR(G52="",G52&lt;=0),"Invalid amount; ","")&amp;IF(H52="Review","Invalid payment state; ","")&amp;IF(J52="Duplicate","Duplicate invoice; ","")</x:f>
        <x:v>Missing supplier; </x:v>
      </x:c>
      <x:c r="L52" t="str">
        <x:f>IF(K52="","Ready","Review")</x:f>
        <x:v>Review</x:v>
      </x:c>
      <x:c r="M52" s="26" t="n">
        <x:f>IF(AND(L52="Ready",I52="Include"),G52,0)</x:f>
        <x:v>0</x:v>
      </x:c>
    </x:row>
    <x:row r="53">
      <x:c r="A53" t="str">
        <x:f>UPPER(TRIM('Raw Actuals'!A53))</x:f>
        <x:v>TXN-27-0048</x:v>
      </x:c>
      <x:c r="B53" t="str">
        <x:f>UPPER(TRIM('Raw Actuals'!B53))</x:f>
        <x:v>INV-27-0048</x:v>
      </x:c>
      <x:c r="C53" s="25" t="n">
        <x:f>IFERROR(IF(OR(MID(TRIM('Raw Actuals'!C53),5,1)="-",MID(TRIM('Raw Actuals'!C53),5,1)="/"),DATE(VALUE(LEFT(TRIM('Raw Actuals'!C53),4)),VALUE(MID(TRIM('Raw Actuals'!C53),6,2)),VALUE(RIGHT(TRIM('Raw Actuals'!C53),2))),IF(LEN(TRIM('Raw Actuals'!C53))=10,DATE(VALUE(RIGHT(TRIM('Raw Actuals'!C53),4)),VALUE(MID(TRIM('Raw Actuals'!C53),4,2)),VALUE(LEFT(TRIM('Raw Actuals'!C53),2))),IF(LEN(TRIM('Raw Actuals'!C53))=8,DATE(2000+VALUE(RIGHT(TRIM('Raw Actuals'!C53),2)),VALUE(MID(TRIM('Raw Actuals'!C53),4,2)),VALUE(LEFT(TRIM('Raw Actuals'!C53),2))),""))),"")</x:f>
        <x:v>46403</x:v>
      </x:c>
      <x:c r="D53" t="str">
        <x:f>IF(OR(UPPER(TRIM('Raw Actuals'!D53))="CATERING",UPPER(TRIM('Raw Actuals'!D53))="WORKSHOP CATERING",UPPER(TRIM('Raw Actuals'!D53))="MEALS",UPPER(TRIM('Raw Actuals'!D53))="CATERNG"),"Catering",IF(OR(UPPER(TRIM('Raw Actuals'!D53))="TRANSPORT",UPPER(TRIM('Raw Actuals'!D53))="LEARNER TRANSPORT",UPPER(TRIM('Raw Actuals'!D53))="TAXIS",UPPER(TRIM('Raw Actuals'!D53))="LEARNER TAXI"),"Transport",IF(OR(UPPER(TRIM('Raw Actuals'!D53))="FACILITATION",UPPER(TRIM('Raw Actuals'!D53))="CHAMPION PAYMENTS",UPPER(TRIM('Raw Actuals'!D53))="STIPENDS",UPPER(TRIM('Raw Actuals'!D53))="FACILITATOR FEE"),"Facilitation",IF(OR(UPPER(TRIM('Raw Actuals'!D53))="MATERIALS",UPPER(TRIM('Raw Actuals'!D53))="WORKSHOP MATERIALS",UPPER(TRIM('Raw Actuals'!D53))="MATERIALS / SUPPLIES"),"Materials",IF(OR(UPPER(TRIM('Raw Actuals'!D53))="PRINTING",UPPER(TRIM('Raw Actuals'!D53))="PRINT &amp; CONSENT",UPPER(TRIM('Raw Actuals'!D53))="PRINTING AND CONSENT"),"Printing",IF(OR(UPPER(TRIM('Raw Actuals'!D53))="TRAINING",UPPER(TRIM('Raw Actuals'!D53))="CHAMPION TRAINING",UPPER(TRIM('Raw Actuals'!D53))="FACILITATOR TRAINING"),"Training",IF(OR(UPPER(TRIM('Raw Actuals'!D53))="SITE VISITS",UPPER(TRIM('Raw Actuals'!D53))="SITE VISIT",UPPER(TRIM('Raw Actuals'!D53))="TRAVEL AND SITE VISITS"),"Site visits",IF(OR(UPPER(TRIM('Raw Actuals'!D53))="EVENTS",UPPER(TRIM('Raw Actuals'!D53))="RECOGNITION EVENT",UPPER(TRIM('Raw Actuals'!D53))="BADGE CEREMONY"),"Events",IF(OR(UPPER(TRIM('Raw Actuals'!D53))="VENUE",UPPER(TRIM('Raw Actuals'!D53))="VENUE HIRE",UPPER(TRIM('Raw Actuals'!D53))="TRAINING VENUE"),"Venue",IF(OR(UPPER(TRIM('Raw Actuals'!D53))="ADMINISTRATION",UPPER(TRIM('Raw Actuals'!D53))="ADMIN",UPPER(TRIM('Raw Actuals'!D53))="OPERATIONAL SUPPORT"),"Administration","Review"))))))))))</x:f>
        <x:v>Site visits</x:v>
      </x:c>
      <x:c r="E53" t="str">
        <x:f>IF(TRIM('Raw Actuals'!E53)="","Missing",PROPER(TRIM('Raw Actuals'!E53)))</x:f>
        <x:v>Moya Supplies</x:v>
      </x:c>
      <x:c r="F53" t="str">
        <x:f>TRIM('Raw Actuals'!F53)</x:f>
        <x:v>Site visits expense 48</x:v>
      </x:c>
      <x:c r="G53" s="26" t="n">
        <x:v>8645</x:v>
      </x:c>
      <x:c r="H53" t="str">
        <x:f>IF(OR(UPPER(TRIM('Raw Actuals'!H53))="PAID",UPPER(TRIM('Raw Actuals'!H53))="PAID "),"Paid",IF(UPPER(TRIM('Raw Actuals'!H53))="APPROVED","Approved",IF(OR(UPPER(TRIM('Raw Actuals'!H53))="SUBMITTED",UPPER(TRIM('Raw Actuals'!H53))="PENDING"),"Submitted",IF(UPPER(TRIM('Raw Actuals'!H53))="REJECTED","Rejected","Review"))))</x:f>
        <x:v>Paid</x:v>
      </x:c>
      <x:c r="I53" t="str">
        <x:f>IF(OR(H53="Paid",H53="Approved"),"Include","Exclude")</x:f>
        <x:v>Include</x:v>
      </x:c>
      <x:c r="J53" t="str">
        <x:f>IF(B53="","Missing invoice",IF(COUNTIF($B$6:B53,B53)&gt;1,"Duplicate","Unique"))</x:f>
        <x:v>Unique</x:v>
      </x:c>
      <x:c r="K53" s="17" t="str">
        <x:f>IF(A53="","Missing ID; ","")&amp;IF(B53="","Missing invoice; ","")&amp;IF(C53="","Invalid date; ","")&amp;IF(D53="Review","Unmapped category; ","")&amp;IF(E53="Missing","Missing supplier; ","")&amp;IF(OR(G53="",G53&lt;=0),"Invalid amount; ","")&amp;IF(H53="Review","Invalid payment state; ","")&amp;IF(J53="Duplicate","Duplicate invoice; ","")</x:f>
      </x:c>
      <x:c r="L53" t="str">
        <x:f>IF(K53="","Ready","Review")</x:f>
        <x:v>Ready</x:v>
      </x:c>
      <x:c r="M53" s="26" t="n">
        <x:f>IF(AND(L53="Ready",I53="Include"),G53,0)</x:f>
        <x:v>8645</x:v>
      </x:c>
    </x:row>
    <x:row r="54">
      <x:c r="A54" t="str">
        <x:f>UPPER(TRIM('Raw Actuals'!A54))</x:f>
        <x:v>TXN-27-0049</x:v>
      </x:c>
      <x:c r="B54" t="str">
        <x:f>UPPER(TRIM('Raw Actuals'!B54))</x:f>
        <x:v>INV-27-0049</x:v>
      </x:c>
      <x:c r="C54" s="25" t="n">
        <x:f>IFERROR(IF(OR(MID(TRIM('Raw Actuals'!C54),5,1)="-",MID(TRIM('Raw Actuals'!C54),5,1)="/"),DATE(VALUE(LEFT(TRIM('Raw Actuals'!C54),4)),VALUE(MID(TRIM('Raw Actuals'!C54),6,2)),VALUE(RIGHT(TRIM('Raw Actuals'!C54),2))),IF(LEN(TRIM('Raw Actuals'!C54))=10,DATE(VALUE(RIGHT(TRIM('Raw Actuals'!C54),4)),VALUE(MID(TRIM('Raw Actuals'!C54),4,2)),VALUE(LEFT(TRIM('Raw Actuals'!C54),2))),IF(LEN(TRIM('Raw Actuals'!C54))=8,DATE(2000+VALUE(RIGHT(TRIM('Raw Actuals'!C54),2)),VALUE(MID(TRIM('Raw Actuals'!C54),4,2)),VALUE(LEFT(TRIM('Raw Actuals'!C54),2))),""))),"")</x:f>
        <x:v>46565</x:v>
      </x:c>
      <x:c r="D54" t="str">
        <x:f>IF(OR(UPPER(TRIM('Raw Actuals'!D54))="CATERING",UPPER(TRIM('Raw Actuals'!D54))="WORKSHOP CATERING",UPPER(TRIM('Raw Actuals'!D54))="MEALS",UPPER(TRIM('Raw Actuals'!D54))="CATERNG"),"Catering",IF(OR(UPPER(TRIM('Raw Actuals'!D54))="TRANSPORT",UPPER(TRIM('Raw Actuals'!D54))="LEARNER TRANSPORT",UPPER(TRIM('Raw Actuals'!D54))="TAXIS",UPPER(TRIM('Raw Actuals'!D54))="LEARNER TAXI"),"Transport",IF(OR(UPPER(TRIM('Raw Actuals'!D54))="FACILITATION",UPPER(TRIM('Raw Actuals'!D54))="CHAMPION PAYMENTS",UPPER(TRIM('Raw Actuals'!D54))="STIPENDS",UPPER(TRIM('Raw Actuals'!D54))="FACILITATOR FEE"),"Facilitation",IF(OR(UPPER(TRIM('Raw Actuals'!D54))="MATERIALS",UPPER(TRIM('Raw Actuals'!D54))="WORKSHOP MATERIALS",UPPER(TRIM('Raw Actuals'!D54))="MATERIALS / SUPPLIES"),"Materials",IF(OR(UPPER(TRIM('Raw Actuals'!D54))="PRINTING",UPPER(TRIM('Raw Actuals'!D54))="PRINT &amp; CONSENT",UPPER(TRIM('Raw Actuals'!D54))="PRINTING AND CONSENT"),"Printing",IF(OR(UPPER(TRIM('Raw Actuals'!D54))="TRAINING",UPPER(TRIM('Raw Actuals'!D54))="CHAMPION TRAINING",UPPER(TRIM('Raw Actuals'!D54))="FACILITATOR TRAINING"),"Training",IF(OR(UPPER(TRIM('Raw Actuals'!D54))="SITE VISITS",UPPER(TRIM('Raw Actuals'!D54))="SITE VISIT",UPPER(TRIM('Raw Actuals'!D54))="TRAVEL AND SITE VISITS"),"Site visits",IF(OR(UPPER(TRIM('Raw Actuals'!D54))="EVENTS",UPPER(TRIM('Raw Actuals'!D54))="RECOGNITION EVENT",UPPER(TRIM('Raw Actuals'!D54))="BADGE CEREMONY"),"Events",IF(OR(UPPER(TRIM('Raw Actuals'!D54))="VENUE",UPPER(TRIM('Raw Actuals'!D54))="VENUE HIRE",UPPER(TRIM('Raw Actuals'!D54))="TRAINING VENUE"),"Venue",IF(OR(UPPER(TRIM('Raw Actuals'!D54))="ADMINISTRATION",UPPER(TRIM('Raw Actuals'!D54))="ADMIN",UPPER(TRIM('Raw Actuals'!D54))="OPERATIONAL SUPPORT"),"Administration","Review"))))))))))</x:f>
        <x:v>Materials</x:v>
      </x:c>
      <x:c r="E54" t="str">
        <x:f>IF(TRIM('Raw Actuals'!E54)="","Missing",PROPER(TRIM('Raw Actuals'!E54)))</x:f>
        <x:v>Northline Transport</x:v>
      </x:c>
      <x:c r="F54" t="str">
        <x:f>TRIM('Raw Actuals'!F54)</x:f>
        <x:v>Materials expense 49</x:v>
      </x:c>
      <x:c r="G54" s="26" t="n">
        <x:v>8184</x:v>
      </x:c>
      <x:c r="H54" t="str">
        <x:f>IF(OR(UPPER(TRIM('Raw Actuals'!H54))="PAID",UPPER(TRIM('Raw Actuals'!H54))="PAID "),"Paid",IF(UPPER(TRIM('Raw Actuals'!H54))="APPROVED","Approved",IF(OR(UPPER(TRIM('Raw Actuals'!H54))="SUBMITTED",UPPER(TRIM('Raw Actuals'!H54))="PENDING"),"Submitted",IF(UPPER(TRIM('Raw Actuals'!H54))="REJECTED","Rejected","Review"))))</x:f>
        <x:v>Approved</x:v>
      </x:c>
      <x:c r="I54" t="str">
        <x:f>IF(OR(H54="Paid",H54="Approved"),"Include","Exclude")</x:f>
        <x:v>Include</x:v>
      </x:c>
      <x:c r="J54" t="str">
        <x:f>IF(B54="","Missing invoice",IF(COUNTIF($B$6:B54,B54)&gt;1,"Duplicate","Unique"))</x:f>
        <x:v>Unique</x:v>
      </x:c>
      <x:c r="K54" s="17" t="str">
        <x:f>IF(A54="","Missing ID; ","")&amp;IF(B54="","Missing invoice; ","")&amp;IF(C54="","Invalid date; ","")&amp;IF(D54="Review","Unmapped category; ","")&amp;IF(E54="Missing","Missing supplier; ","")&amp;IF(OR(G54="",G54&lt;=0),"Invalid amount; ","")&amp;IF(H54="Review","Invalid payment state; ","")&amp;IF(J54="Duplicate","Duplicate invoice; ","")</x:f>
      </x:c>
      <x:c r="L54" t="str">
        <x:f>IF(K54="","Ready","Review")</x:f>
        <x:v>Ready</x:v>
      </x:c>
      <x:c r="M54" s="26" t="n">
        <x:f>IF(AND(L54="Ready",I54="Include"),G54,0)</x:f>
        <x:v>8184</x:v>
      </x:c>
    </x:row>
    <x:row r="55">
      <x:c r="A55" t="str">
        <x:f>UPPER(TRIM('Raw Actuals'!A55))</x:f>
        <x:v>TXN-27-0050</x:v>
      </x:c>
      <x:c r="B55" t="str">
        <x:f>UPPER(TRIM('Raw Actuals'!B55))</x:f>
        <x:v>INV-27-0050</x:v>
      </x:c>
      <x:c r="C55" s="25" t="n">
        <x:f>IFERROR(IF(OR(MID(TRIM('Raw Actuals'!C55),5,1)="-",MID(TRIM('Raw Actuals'!C55),5,1)="/"),DATE(VALUE(LEFT(TRIM('Raw Actuals'!C55),4)),VALUE(MID(TRIM('Raw Actuals'!C55),6,2)),VALUE(RIGHT(TRIM('Raw Actuals'!C55),2))),IF(LEN(TRIM('Raw Actuals'!C55))=10,DATE(VALUE(RIGHT(TRIM('Raw Actuals'!C55),4)),VALUE(MID(TRIM('Raw Actuals'!C55),4,2)),VALUE(LEFT(TRIM('Raw Actuals'!C55),2))),IF(LEN(TRIM('Raw Actuals'!C55))=8,DATE(2000+VALUE(RIGHT(TRIM('Raw Actuals'!C55),2)),VALUE(MID(TRIM('Raw Actuals'!C55),4,2)),VALUE(LEFT(TRIM('Raw Actuals'!C55),2))),""))),"")</x:f>
        <x:v>46518</x:v>
      </x:c>
      <x:c r="D55" t="str">
        <x:f>IF(OR(UPPER(TRIM('Raw Actuals'!D55))="CATERING",UPPER(TRIM('Raw Actuals'!D55))="WORKSHOP CATERING",UPPER(TRIM('Raw Actuals'!D55))="MEALS",UPPER(TRIM('Raw Actuals'!D55))="CATERNG"),"Catering",IF(OR(UPPER(TRIM('Raw Actuals'!D55))="TRANSPORT",UPPER(TRIM('Raw Actuals'!D55))="LEARNER TRANSPORT",UPPER(TRIM('Raw Actuals'!D55))="TAXIS",UPPER(TRIM('Raw Actuals'!D55))="LEARNER TAXI"),"Transport",IF(OR(UPPER(TRIM('Raw Actuals'!D55))="FACILITATION",UPPER(TRIM('Raw Actuals'!D55))="CHAMPION PAYMENTS",UPPER(TRIM('Raw Actuals'!D55))="STIPENDS",UPPER(TRIM('Raw Actuals'!D55))="FACILITATOR FEE"),"Facilitation",IF(OR(UPPER(TRIM('Raw Actuals'!D55))="MATERIALS",UPPER(TRIM('Raw Actuals'!D55))="WORKSHOP MATERIALS",UPPER(TRIM('Raw Actuals'!D55))="MATERIALS / SUPPLIES"),"Materials",IF(OR(UPPER(TRIM('Raw Actuals'!D55))="PRINTING",UPPER(TRIM('Raw Actuals'!D55))="PRINT &amp; CONSENT",UPPER(TRIM('Raw Actuals'!D55))="PRINTING AND CONSENT"),"Printing",IF(OR(UPPER(TRIM('Raw Actuals'!D55))="TRAINING",UPPER(TRIM('Raw Actuals'!D55))="CHAMPION TRAINING",UPPER(TRIM('Raw Actuals'!D55))="FACILITATOR TRAINING"),"Training",IF(OR(UPPER(TRIM('Raw Actuals'!D55))="SITE VISITS",UPPER(TRIM('Raw Actuals'!D55))="SITE VISIT",UPPER(TRIM('Raw Actuals'!D55))="TRAVEL AND SITE VISITS"),"Site visits",IF(OR(UPPER(TRIM('Raw Actuals'!D55))="EVENTS",UPPER(TRIM('Raw Actuals'!D55))="RECOGNITION EVENT",UPPER(TRIM('Raw Actuals'!D55))="BADGE CEREMONY"),"Events",IF(OR(UPPER(TRIM('Raw Actuals'!D55))="VENUE",UPPER(TRIM('Raw Actuals'!D55))="VENUE HIRE",UPPER(TRIM('Raw Actuals'!D55))="TRAINING VENUE"),"Venue",IF(OR(UPPER(TRIM('Raw Actuals'!D55))="ADMINISTRATION",UPPER(TRIM('Raw Actuals'!D55))="ADMIN",UPPER(TRIM('Raw Actuals'!D55))="OPERATIONAL SUPPORT"),"Administration","Review"))))))))))</x:f>
        <x:v>Catering</x:v>
      </x:c>
      <x:c r="E55" t="str">
        <x:f>IF(TRIM('Raw Actuals'!E55)="","Missing",PROPER(TRIM('Raw Actuals'!E55)))</x:f>
        <x:v>Kopano Catering</x:v>
      </x:c>
      <x:c r="F55" t="str">
        <x:f>TRIM('Raw Actuals'!F55)</x:f>
        <x:v>Catering expense 50</x:v>
      </x:c>
      <x:c r="G55" s="26" t="n">
        <x:v>8262</x:v>
      </x:c>
      <x:c r="H55" t="str">
        <x:f>IF(OR(UPPER(TRIM('Raw Actuals'!H55))="PAID",UPPER(TRIM('Raw Actuals'!H55))="PAID "),"Paid",IF(UPPER(TRIM('Raw Actuals'!H55))="APPROVED","Approved",IF(OR(UPPER(TRIM('Raw Actuals'!H55))="SUBMITTED",UPPER(TRIM('Raw Actuals'!H55))="PENDING"),"Submitted",IF(UPPER(TRIM('Raw Actuals'!H55))="REJECTED","Rejected","Review"))))</x:f>
        <x:v>Submitted</x:v>
      </x:c>
      <x:c r="I55" t="str">
        <x:f>IF(OR(H55="Paid",H55="Approved"),"Include","Exclude")</x:f>
        <x:v>Exclude</x:v>
      </x:c>
      <x:c r="J55" t="str">
        <x:f>IF(B55="","Missing invoice",IF(COUNTIF($B$6:B55,B55)&gt;1,"Duplicate","Unique"))</x:f>
        <x:v>Unique</x:v>
      </x:c>
      <x:c r="K55" s="17" t="str">
        <x:f>IF(A55="","Missing ID; ","")&amp;IF(B55="","Missing invoice; ","")&amp;IF(C55="","Invalid date; ","")&amp;IF(D55="Review","Unmapped category; ","")&amp;IF(E55="Missing","Missing supplier; ","")&amp;IF(OR(G55="",G55&lt;=0),"Invalid amount; ","")&amp;IF(H55="Review","Invalid payment state; ","")&amp;IF(J55="Duplicate","Duplicate invoice; ","")</x:f>
      </x:c>
      <x:c r="L55" t="str">
        <x:f>IF(K55="","Ready","Review")</x:f>
        <x:v>Ready</x:v>
      </x:c>
      <x:c r="M55" s="26" t="n">
        <x:f>IF(AND(L55="Ready",I55="Include"),G55,0)</x:f>
        <x:v>0</x:v>
      </x:c>
    </x:row>
    <x:row r="56">
      <x:c r="A56" t="str">
        <x:f>UPPER(TRIM('Raw Actuals'!A56))</x:f>
        <x:v>TXN-27-0051</x:v>
      </x:c>
      <x:c r="B56" t="str">
        <x:f>UPPER(TRIM('Raw Actuals'!B56))</x:f>
        <x:v>INV-27-0051</x:v>
      </x:c>
      <x:c r="C56" s="25" t="n">
        <x:f>IFERROR(IF(OR(MID(TRIM('Raw Actuals'!C56),5,1)="-",MID(TRIM('Raw Actuals'!C56),5,1)="/"),DATE(VALUE(LEFT(TRIM('Raw Actuals'!C56),4)),VALUE(MID(TRIM('Raw Actuals'!C56),6,2)),VALUE(RIGHT(TRIM('Raw Actuals'!C56),2))),IF(LEN(TRIM('Raw Actuals'!C56))=10,DATE(VALUE(RIGHT(TRIM('Raw Actuals'!C56),4)),VALUE(MID(TRIM('Raw Actuals'!C56),4,2)),VALUE(LEFT(TRIM('Raw Actuals'!C56),2))),IF(LEN(TRIM('Raw Actuals'!C56))=8,DATE(2000+VALUE(RIGHT(TRIM('Raw Actuals'!C56),2)),VALUE(MID(TRIM('Raw Actuals'!C56),4,2)),VALUE(LEFT(TRIM('Raw Actuals'!C56),2))),""))),"")</x:f>
        <x:v>46499</x:v>
      </x:c>
      <x:c r="D56" t="str">
        <x:f>IF(OR(UPPER(TRIM('Raw Actuals'!D56))="CATERING",UPPER(TRIM('Raw Actuals'!D56))="WORKSHOP CATERING",UPPER(TRIM('Raw Actuals'!D56))="MEALS",UPPER(TRIM('Raw Actuals'!D56))="CATERNG"),"Catering",IF(OR(UPPER(TRIM('Raw Actuals'!D56))="TRANSPORT",UPPER(TRIM('Raw Actuals'!D56))="LEARNER TRANSPORT",UPPER(TRIM('Raw Actuals'!D56))="TAXIS",UPPER(TRIM('Raw Actuals'!D56))="LEARNER TAXI"),"Transport",IF(OR(UPPER(TRIM('Raw Actuals'!D56))="FACILITATION",UPPER(TRIM('Raw Actuals'!D56))="CHAMPION PAYMENTS",UPPER(TRIM('Raw Actuals'!D56))="STIPENDS",UPPER(TRIM('Raw Actuals'!D56))="FACILITATOR FEE"),"Facilitation",IF(OR(UPPER(TRIM('Raw Actuals'!D56))="MATERIALS",UPPER(TRIM('Raw Actuals'!D56))="WORKSHOP MATERIALS",UPPER(TRIM('Raw Actuals'!D56))="MATERIALS / SUPPLIES"),"Materials",IF(OR(UPPER(TRIM('Raw Actuals'!D56))="PRINTING",UPPER(TRIM('Raw Actuals'!D56))="PRINT &amp; CONSENT",UPPER(TRIM('Raw Actuals'!D56))="PRINTING AND CONSENT"),"Printing",IF(OR(UPPER(TRIM('Raw Actuals'!D56))="TRAINING",UPPER(TRIM('Raw Actuals'!D56))="CHAMPION TRAINING",UPPER(TRIM('Raw Actuals'!D56))="FACILITATOR TRAINING"),"Training",IF(OR(UPPER(TRIM('Raw Actuals'!D56))="SITE VISITS",UPPER(TRIM('Raw Actuals'!D56))="SITE VISIT",UPPER(TRIM('Raw Actuals'!D56))="TRAVEL AND SITE VISITS"),"Site visits",IF(OR(UPPER(TRIM('Raw Actuals'!D56))="EVENTS",UPPER(TRIM('Raw Actuals'!D56))="RECOGNITION EVENT",UPPER(TRIM('Raw Actuals'!D56))="BADGE CEREMONY"),"Events",IF(OR(UPPER(TRIM('Raw Actuals'!D56))="VENUE",UPPER(TRIM('Raw Actuals'!D56))="VENUE HIRE",UPPER(TRIM('Raw Actuals'!D56))="TRAINING VENUE"),"Venue",IF(OR(UPPER(TRIM('Raw Actuals'!D56))="ADMINISTRATION",UPPER(TRIM('Raw Actuals'!D56))="ADMIN",UPPER(TRIM('Raw Actuals'!D56))="OPERATIONAL SUPPORT"),"Administration","Review"))))))))))</x:f>
        <x:v>Events</x:v>
      </x:c>
      <x:c r="E56" t="str">
        <x:f>IF(TRIM('Raw Actuals'!E56)="","Missing",PROPER(TRIM('Raw Actuals'!E56)))</x:f>
        <x:v>Riverside Venue Hire</x:v>
      </x:c>
      <x:c r="F56" t="str">
        <x:f>TRIM('Raw Actuals'!F56)</x:f>
        <x:v>Events expense 51</x:v>
      </x:c>
      <x:c r="G56" s="26" t="n">
        <x:v>8401</x:v>
      </x:c>
      <x:c r="H56" t="str">
        <x:f>IF(OR(UPPER(TRIM('Raw Actuals'!H56))="PAID",UPPER(TRIM('Raw Actuals'!H56))="PAID "),"Paid",IF(UPPER(TRIM('Raw Actuals'!H56))="APPROVED","Approved",IF(OR(UPPER(TRIM('Raw Actuals'!H56))="SUBMITTED",UPPER(TRIM('Raw Actuals'!H56))="PENDING"),"Submitted",IF(UPPER(TRIM('Raw Actuals'!H56))="REJECTED","Rejected","Review"))))</x:f>
        <x:v>Paid</x:v>
      </x:c>
      <x:c r="I56" t="str">
        <x:f>IF(OR(H56="Paid",H56="Approved"),"Include","Exclude")</x:f>
        <x:v>Include</x:v>
      </x:c>
      <x:c r="J56" t="str">
        <x:f>IF(B56="","Missing invoice",IF(COUNTIF($B$6:B56,B56)&gt;1,"Duplicate","Unique"))</x:f>
        <x:v>Unique</x:v>
      </x:c>
      <x:c r="K56" s="17" t="str">
        <x:f>IF(A56="","Missing ID; ","")&amp;IF(B56="","Missing invoice; ","")&amp;IF(C56="","Invalid date; ","")&amp;IF(D56="Review","Unmapped category; ","")&amp;IF(E56="Missing","Missing supplier; ","")&amp;IF(OR(G56="",G56&lt;=0),"Invalid amount; ","")&amp;IF(H56="Review","Invalid payment state; ","")&amp;IF(J56="Duplicate","Duplicate invoice; ","")</x:f>
      </x:c>
      <x:c r="L56" t="str">
        <x:f>IF(K56="","Ready","Review")</x:f>
        <x:v>Ready</x:v>
      </x:c>
      <x:c r="M56" s="26" t="n">
        <x:f>IF(AND(L56="Ready",I56="Include"),G56,0)</x:f>
        <x:v>8401</x:v>
      </x:c>
    </x:row>
    <x:row r="57">
      <x:c r="A57" t="str">
        <x:f>UPPER(TRIM('Raw Actuals'!A57))</x:f>
        <x:v>TXN-27-0052</x:v>
      </x:c>
      <x:c r="B57" t="str">
        <x:f>UPPER(TRIM('Raw Actuals'!B57))</x:f>
        <x:v>INV-27-0052</x:v>
      </x:c>
      <x:c r="C57" s="25" t="n">
        <x:f>IFERROR(IF(OR(MID(TRIM('Raw Actuals'!C57),5,1)="-",MID(TRIM('Raw Actuals'!C57),5,1)="/"),DATE(VALUE(LEFT(TRIM('Raw Actuals'!C57),4)),VALUE(MID(TRIM('Raw Actuals'!C57),6,2)),VALUE(RIGHT(TRIM('Raw Actuals'!C57),2))),IF(LEN(TRIM('Raw Actuals'!C57))=10,DATE(VALUE(RIGHT(TRIM('Raw Actuals'!C57),4)),VALUE(MID(TRIM('Raw Actuals'!C57),4,2)),VALUE(LEFT(TRIM('Raw Actuals'!C57),2))),IF(LEN(TRIM('Raw Actuals'!C57))=8,DATE(2000+VALUE(RIGHT(TRIM('Raw Actuals'!C57),2)),VALUE(MID(TRIM('Raw Actuals'!C57),4,2)),VALUE(LEFT(TRIM('Raw Actuals'!C57),2))),""))),"")</x:f>
        <x:v>46452</x:v>
      </x:c>
      <x:c r="D57" t="str">
        <x:f>IF(OR(UPPER(TRIM('Raw Actuals'!D57))="CATERING",UPPER(TRIM('Raw Actuals'!D57))="WORKSHOP CATERING",UPPER(TRIM('Raw Actuals'!D57))="MEALS",UPPER(TRIM('Raw Actuals'!D57))="CATERNG"),"Catering",IF(OR(UPPER(TRIM('Raw Actuals'!D57))="TRANSPORT",UPPER(TRIM('Raw Actuals'!D57))="LEARNER TRANSPORT",UPPER(TRIM('Raw Actuals'!D57))="TAXIS",UPPER(TRIM('Raw Actuals'!D57))="LEARNER TAXI"),"Transport",IF(OR(UPPER(TRIM('Raw Actuals'!D57))="FACILITATION",UPPER(TRIM('Raw Actuals'!D57))="CHAMPION PAYMENTS",UPPER(TRIM('Raw Actuals'!D57))="STIPENDS",UPPER(TRIM('Raw Actuals'!D57))="FACILITATOR FEE"),"Facilitation",IF(OR(UPPER(TRIM('Raw Actuals'!D57))="MATERIALS",UPPER(TRIM('Raw Actuals'!D57))="WORKSHOP MATERIALS",UPPER(TRIM('Raw Actuals'!D57))="MATERIALS / SUPPLIES"),"Materials",IF(OR(UPPER(TRIM('Raw Actuals'!D57))="PRINTING",UPPER(TRIM('Raw Actuals'!D57))="PRINT &amp; CONSENT",UPPER(TRIM('Raw Actuals'!D57))="PRINTING AND CONSENT"),"Printing",IF(OR(UPPER(TRIM('Raw Actuals'!D57))="TRAINING",UPPER(TRIM('Raw Actuals'!D57))="CHAMPION TRAINING",UPPER(TRIM('Raw Actuals'!D57))="FACILITATOR TRAINING"),"Training",IF(OR(UPPER(TRIM('Raw Actuals'!D57))="SITE VISITS",UPPER(TRIM('Raw Actuals'!D57))="SITE VISIT",UPPER(TRIM('Raw Actuals'!D57))="TRAVEL AND SITE VISITS"),"Site visits",IF(OR(UPPER(TRIM('Raw Actuals'!D57))="EVENTS",UPPER(TRIM('Raw Actuals'!D57))="RECOGNITION EVENT",UPPER(TRIM('Raw Actuals'!D57))="BADGE CEREMONY"),"Events",IF(OR(UPPER(TRIM('Raw Actuals'!D57))="VENUE",UPPER(TRIM('Raw Actuals'!D57))="VENUE HIRE",UPPER(TRIM('Raw Actuals'!D57))="TRAINING VENUE"),"Venue",IF(OR(UPPER(TRIM('Raw Actuals'!D57))="ADMINISTRATION",UPPER(TRIM('Raw Actuals'!D57))="ADMIN",UPPER(TRIM('Raw Actuals'!D57))="OPERATIONAL SUPPORT"),"Administration","Review"))))))))))</x:f>
        <x:v>Printing</x:v>
      </x:c>
      <x:c r="E57" t="str">
        <x:f>IF(TRIM('Raw Actuals'!E57)="","Missing",PROPER(TRIM('Raw Actuals'!E57)))</x:f>
        <x:v>Bright Print Studio</x:v>
      </x:c>
      <x:c r="F57" t="str">
        <x:f>TRIM('Raw Actuals'!F57)</x:f>
        <x:v>Printing expense 52</x:v>
      </x:c>
      <x:c r="G57" s="26" t="n">
        <x:v>1996</x:v>
      </x:c>
      <x:c r="H57" t="str">
        <x:f>IF(OR(UPPER(TRIM('Raw Actuals'!H57))="PAID",UPPER(TRIM('Raw Actuals'!H57))="PAID "),"Paid",IF(UPPER(TRIM('Raw Actuals'!H57))="APPROVED","Approved",IF(OR(UPPER(TRIM('Raw Actuals'!H57))="SUBMITTED",UPPER(TRIM('Raw Actuals'!H57))="PENDING"),"Submitted",IF(UPPER(TRIM('Raw Actuals'!H57))="REJECTED","Rejected","Review"))))</x:f>
        <x:v>Paid</x:v>
      </x:c>
      <x:c r="I57" t="str">
        <x:f>IF(OR(H57="Paid",H57="Approved"),"Include","Exclude")</x:f>
        <x:v>Include</x:v>
      </x:c>
      <x:c r="J57" t="str">
        <x:f>IF(B57="","Missing invoice",IF(COUNTIF($B$6:B57,B57)&gt;1,"Duplicate","Unique"))</x:f>
        <x:v>Unique</x:v>
      </x:c>
      <x:c r="K57" s="17" t="str">
        <x:f>IF(A57="","Missing ID; ","")&amp;IF(B57="","Missing invoice; ","")&amp;IF(C57="","Invalid date; ","")&amp;IF(D57="Review","Unmapped category; ","")&amp;IF(E57="Missing","Missing supplier; ","")&amp;IF(OR(G57="",G57&lt;=0),"Invalid amount; ","")&amp;IF(H57="Review","Invalid payment state; ","")&amp;IF(J57="Duplicate","Duplicate invoice; ","")</x:f>
      </x:c>
      <x:c r="L57" t="str">
        <x:f>IF(K57="","Ready","Review")</x:f>
        <x:v>Ready</x:v>
      </x:c>
      <x:c r="M57" s="26" t="n">
        <x:f>IF(AND(L57="Ready",I57="Include"),G57,0)</x:f>
        <x:v>1996</x:v>
      </x:c>
    </x:row>
    <x:row r="58">
      <x:c r="A58" t="str">
        <x:f>UPPER(TRIM('Raw Actuals'!A58))</x:f>
        <x:v>TXN-27-0053</x:v>
      </x:c>
      <x:c r="B58" t="str">
        <x:f>UPPER(TRIM('Raw Actuals'!B58))</x:f>
        <x:v>INV-27-0053</x:v>
      </x:c>
      <x:c r="C58" s="25" t="n">
        <x:f>IFERROR(IF(OR(MID(TRIM('Raw Actuals'!C58),5,1)="-",MID(TRIM('Raw Actuals'!C58),5,1)="/"),DATE(VALUE(LEFT(TRIM('Raw Actuals'!C58),4)),VALUE(MID(TRIM('Raw Actuals'!C58),6,2)),VALUE(RIGHT(TRIM('Raw Actuals'!C58),2))),IF(LEN(TRIM('Raw Actuals'!C58))=10,DATE(VALUE(RIGHT(TRIM('Raw Actuals'!C58),4)),VALUE(MID(TRIM('Raw Actuals'!C58),4,2)),VALUE(LEFT(TRIM('Raw Actuals'!C58),2))),IF(LEN(TRIM('Raw Actuals'!C58))=8,DATE(2000+VALUE(RIGHT(TRIM('Raw Actuals'!C58),2)),VALUE(MID(TRIM('Raw Actuals'!C58),4,2)),VALUE(LEFT(TRIM('Raw Actuals'!C58),2))),""))),"")</x:f>
        <x:v>36494</x:v>
      </x:c>
      <x:c r="D58" t="str">
        <x:f>IF(OR(UPPER(TRIM('Raw Actuals'!D58))="CATERING",UPPER(TRIM('Raw Actuals'!D58))="WORKSHOP CATERING",UPPER(TRIM('Raw Actuals'!D58))="MEALS",UPPER(TRIM('Raw Actuals'!D58))="CATERNG"),"Catering",IF(OR(UPPER(TRIM('Raw Actuals'!D58))="TRANSPORT",UPPER(TRIM('Raw Actuals'!D58))="LEARNER TRANSPORT",UPPER(TRIM('Raw Actuals'!D58))="TAXIS",UPPER(TRIM('Raw Actuals'!D58))="LEARNER TAXI"),"Transport",IF(OR(UPPER(TRIM('Raw Actuals'!D58))="FACILITATION",UPPER(TRIM('Raw Actuals'!D58))="CHAMPION PAYMENTS",UPPER(TRIM('Raw Actuals'!D58))="STIPENDS",UPPER(TRIM('Raw Actuals'!D58))="FACILITATOR FEE"),"Facilitation",IF(OR(UPPER(TRIM('Raw Actuals'!D58))="MATERIALS",UPPER(TRIM('Raw Actuals'!D58))="WORKSHOP MATERIALS",UPPER(TRIM('Raw Actuals'!D58))="MATERIALS / SUPPLIES"),"Materials",IF(OR(UPPER(TRIM('Raw Actuals'!D58))="PRINTING",UPPER(TRIM('Raw Actuals'!D58))="PRINT &amp; CONSENT",UPPER(TRIM('Raw Actuals'!D58))="PRINTING AND CONSENT"),"Printing",IF(OR(UPPER(TRIM('Raw Actuals'!D58))="TRAINING",UPPER(TRIM('Raw Actuals'!D58))="CHAMPION TRAINING",UPPER(TRIM('Raw Actuals'!D58))="FACILITATOR TRAINING"),"Training",IF(OR(UPPER(TRIM('Raw Actuals'!D58))="SITE VISITS",UPPER(TRIM('Raw Actuals'!D58))="SITE VISIT",UPPER(TRIM('Raw Actuals'!D58))="TRAVEL AND SITE VISITS"),"Site visits",IF(OR(UPPER(TRIM('Raw Actuals'!D58))="EVENTS",UPPER(TRIM('Raw Actuals'!D58))="RECOGNITION EVENT",UPPER(TRIM('Raw Actuals'!D58))="BADGE CEREMONY"),"Events",IF(OR(UPPER(TRIM('Raw Actuals'!D58))="VENUE",UPPER(TRIM('Raw Actuals'!D58))="VENUE HIRE",UPPER(TRIM('Raw Actuals'!D58))="TRAINING VENUE"),"Venue",IF(OR(UPPER(TRIM('Raw Actuals'!D58))="ADMINISTRATION",UPPER(TRIM('Raw Actuals'!D58))="ADMIN",UPPER(TRIM('Raw Actuals'!D58))="OPERATIONAL SUPPORT"),"Administration","Review"))))))))))</x:f>
        <x:v>Transport</x:v>
      </x:c>
      <x:c r="E58" t="str">
        <x:f>IF(TRIM('Raw Actuals'!E58)="","Missing",PROPER(TRIM('Raw Actuals'!E58)))</x:f>
        <x:v>Thuto Facilitation</x:v>
      </x:c>
      <x:c r="F58" t="str">
        <x:f>TRIM('Raw Actuals'!F58)</x:f>
        <x:v>Transport expense 53</x:v>
      </x:c>
      <x:c r="G58" s="26" t="n">
        <x:v>9252</x:v>
      </x:c>
      <x:c r="H58" t="str">
        <x:f>IF(OR(UPPER(TRIM('Raw Actuals'!H58))="PAID",UPPER(TRIM('Raw Actuals'!H58))="PAID "),"Paid",IF(UPPER(TRIM('Raw Actuals'!H58))="APPROVED","Approved",IF(OR(UPPER(TRIM('Raw Actuals'!H58))="SUBMITTED",UPPER(TRIM('Raw Actuals'!H58))="PENDING"),"Submitted",IF(UPPER(TRIM('Raw Actuals'!H58))="REJECTED","Rejected","Review"))))</x:f>
        <x:v>Approved</x:v>
      </x:c>
      <x:c r="I58" t="str">
        <x:f>IF(OR(H58="Paid",H58="Approved"),"Include","Exclude")</x:f>
        <x:v>Include</x:v>
      </x:c>
      <x:c r="J58" t="str">
        <x:f>IF(B58="","Missing invoice",IF(COUNTIF($B$6:B58,B58)&gt;1,"Duplicate","Unique"))</x:f>
        <x:v>Unique</x:v>
      </x:c>
      <x:c r="K58" s="17" t="str">
        <x:f>IF(A58="","Missing ID; ","")&amp;IF(B58="","Missing invoice; ","")&amp;IF(C58="","Invalid date; ","")&amp;IF(D58="Review","Unmapped category; ","")&amp;IF(E58="Missing","Missing supplier; ","")&amp;IF(OR(G58="",G58&lt;=0),"Invalid amount; ","")&amp;IF(H58="Review","Invalid payment state; ","")&amp;IF(J58="Duplicate","Duplicate invoice; ","")</x:f>
      </x:c>
      <x:c r="L58" t="str">
        <x:f>IF(K58="","Ready","Review")</x:f>
        <x:v>Ready</x:v>
      </x:c>
      <x:c r="M58" s="26" t="n">
        <x:f>IF(AND(L58="Ready",I58="Include"),G58,0)</x:f>
        <x:v>9252</x:v>
      </x:c>
    </x:row>
    <x:row r="59">
      <x:c r="A59" t="str">
        <x:f>UPPER(TRIM('Raw Actuals'!A59))</x:f>
        <x:v>TXN-27-0054</x:v>
      </x:c>
      <x:c r="B59" t="str">
        <x:f>UPPER(TRIM('Raw Actuals'!B59))</x:f>
        <x:v>INV-27-0054</x:v>
      </x:c>
      <x:c r="C59" s="25" t="n">
        <x:f>IFERROR(IF(OR(MID(TRIM('Raw Actuals'!C59),5,1)="-",MID(TRIM('Raw Actuals'!C59),5,1)="/"),DATE(VALUE(LEFT(TRIM('Raw Actuals'!C59),4)),VALUE(MID(TRIM('Raw Actuals'!C59),6,2)),VALUE(RIGHT(TRIM('Raw Actuals'!C59),2))),IF(LEN(TRIM('Raw Actuals'!C59))=10,DATE(VALUE(RIGHT(TRIM('Raw Actuals'!C59),4)),VALUE(MID(TRIM('Raw Actuals'!C59),4,2)),VALUE(LEFT(TRIM('Raw Actuals'!C59),2))),IF(LEN(TRIM('Raw Actuals'!C59))=8,DATE(2000+VALUE(RIGHT(TRIM('Raw Actuals'!C59),2)),VALUE(MID(TRIM('Raw Actuals'!C59),4,2)),VALUE(LEFT(TRIM('Raw Actuals'!C59),2))),""))),"")</x:f>
        <x:v>46388</x:v>
      </x:c>
      <x:c r="D59" t="str">
        <x:f>IF(OR(UPPER(TRIM('Raw Actuals'!D59))="CATERING",UPPER(TRIM('Raw Actuals'!D59))="WORKSHOP CATERING",UPPER(TRIM('Raw Actuals'!D59))="MEALS",UPPER(TRIM('Raw Actuals'!D59))="CATERNG"),"Catering",IF(OR(UPPER(TRIM('Raw Actuals'!D59))="TRANSPORT",UPPER(TRIM('Raw Actuals'!D59))="LEARNER TRANSPORT",UPPER(TRIM('Raw Actuals'!D59))="TAXIS",UPPER(TRIM('Raw Actuals'!D59))="LEARNER TAXI"),"Transport",IF(OR(UPPER(TRIM('Raw Actuals'!D59))="FACILITATION",UPPER(TRIM('Raw Actuals'!D59))="CHAMPION PAYMENTS",UPPER(TRIM('Raw Actuals'!D59))="STIPENDS",UPPER(TRIM('Raw Actuals'!D59))="FACILITATOR FEE"),"Facilitation",IF(OR(UPPER(TRIM('Raw Actuals'!D59))="MATERIALS",UPPER(TRIM('Raw Actuals'!D59))="WORKSHOP MATERIALS",UPPER(TRIM('Raw Actuals'!D59))="MATERIALS / SUPPLIES"),"Materials",IF(OR(UPPER(TRIM('Raw Actuals'!D59))="PRINTING",UPPER(TRIM('Raw Actuals'!D59))="PRINT &amp; CONSENT",UPPER(TRIM('Raw Actuals'!D59))="PRINTING AND CONSENT"),"Printing",IF(OR(UPPER(TRIM('Raw Actuals'!D59))="TRAINING",UPPER(TRIM('Raw Actuals'!D59))="CHAMPION TRAINING",UPPER(TRIM('Raw Actuals'!D59))="FACILITATOR TRAINING"),"Training",IF(OR(UPPER(TRIM('Raw Actuals'!D59))="SITE VISITS",UPPER(TRIM('Raw Actuals'!D59))="SITE VISIT",UPPER(TRIM('Raw Actuals'!D59))="TRAVEL AND SITE VISITS"),"Site visits",IF(OR(UPPER(TRIM('Raw Actuals'!D59))="EVENTS",UPPER(TRIM('Raw Actuals'!D59))="RECOGNITION EVENT",UPPER(TRIM('Raw Actuals'!D59))="BADGE CEREMONY"),"Events",IF(OR(UPPER(TRIM('Raw Actuals'!D59))="VENUE",UPPER(TRIM('Raw Actuals'!D59))="VENUE HIRE",UPPER(TRIM('Raw Actuals'!D59))="TRAINING VENUE"),"Venue",IF(OR(UPPER(TRIM('Raw Actuals'!D59))="ADMINISTRATION",UPPER(TRIM('Raw Actuals'!D59))="ADMIN",UPPER(TRIM('Raw Actuals'!D59))="OPERATIONAL SUPPORT"),"Administration","Review"))))))))))</x:f>
        <x:v>Venue</x:v>
      </x:c>
      <x:c r="E59" t="str">
        <x:f>IF(TRIM('Raw Actuals'!E59)="","Missing",PROPER(TRIM('Raw Actuals'!E59)))</x:f>
        <x:v>Moya Supplies</x:v>
      </x:c>
      <x:c r="F59" t="str">
        <x:f>TRIM('Raw Actuals'!F59)</x:f>
        <x:v>Venue expense 54</x:v>
      </x:c>
      <x:c r="G59" s="26" t="n">
        <x:v>8213</x:v>
      </x:c>
      <x:c r="H59" t="str">
        <x:f>IF(OR(UPPER(TRIM('Raw Actuals'!H59))="PAID",UPPER(TRIM('Raw Actuals'!H59))="PAID "),"Paid",IF(UPPER(TRIM('Raw Actuals'!H59))="APPROVED","Approved",IF(OR(UPPER(TRIM('Raw Actuals'!H59))="SUBMITTED",UPPER(TRIM('Raw Actuals'!H59))="PENDING"),"Submitted",IF(UPPER(TRIM('Raw Actuals'!H59))="REJECTED","Rejected","Review"))))</x:f>
        <x:v>Submitted</x:v>
      </x:c>
      <x:c r="I59" t="str">
        <x:f>IF(OR(H59="Paid",H59="Approved"),"Include","Exclude")</x:f>
        <x:v>Exclude</x:v>
      </x:c>
      <x:c r="J59" t="str">
        <x:f>IF(B59="","Missing invoice",IF(COUNTIF($B$6:B59,B59)&gt;1,"Duplicate","Unique"))</x:f>
        <x:v>Unique</x:v>
      </x:c>
      <x:c r="K59" s="17" t="str">
        <x:f>IF(A59="","Missing ID; ","")&amp;IF(B59="","Missing invoice; ","")&amp;IF(C59="","Invalid date; ","")&amp;IF(D59="Review","Unmapped category; ","")&amp;IF(E59="Missing","Missing supplier; ","")&amp;IF(OR(G59="",G59&lt;=0),"Invalid amount; ","")&amp;IF(H59="Review","Invalid payment state; ","")&amp;IF(J59="Duplicate","Duplicate invoice; ","")</x:f>
      </x:c>
      <x:c r="L59" t="str">
        <x:f>IF(K59="","Ready","Review")</x:f>
        <x:v>Ready</x:v>
      </x:c>
      <x:c r="M59" s="26" t="n">
        <x:f>IF(AND(L59="Ready",I59="Include"),G59,0)</x:f>
        <x:v>0</x:v>
      </x:c>
    </x:row>
    <x:row r="60">
      <x:c r="A60" t="str">
        <x:f>UPPER(TRIM('Raw Actuals'!A60))</x:f>
        <x:v>TXN-27-0055</x:v>
      </x:c>
      <x:c r="B60" t="str">
        <x:f>UPPER(TRIM('Raw Actuals'!B60))</x:f>
        <x:v>INV-27-0055</x:v>
      </x:c>
      <x:c r="C60" s="25" t="n">
        <x:f>IFERROR(IF(OR(MID(TRIM('Raw Actuals'!C60),5,1)="-",MID(TRIM('Raw Actuals'!C60),5,1)="/"),DATE(VALUE(LEFT(TRIM('Raw Actuals'!C60),4)),VALUE(MID(TRIM('Raw Actuals'!C60),6,2)),VALUE(RIGHT(TRIM('Raw Actuals'!C60),2))),IF(LEN(TRIM('Raw Actuals'!C60))=10,DATE(VALUE(RIGHT(TRIM('Raw Actuals'!C60),4)),VALUE(MID(TRIM('Raw Actuals'!C60),4,2)),VALUE(LEFT(TRIM('Raw Actuals'!C60),2))),IF(LEN(TRIM('Raw Actuals'!C60))=8,DATE(2000+VALUE(RIGHT(TRIM('Raw Actuals'!C60),2)),VALUE(MID(TRIM('Raw Actuals'!C60),4,2)),VALUE(LEFT(TRIM('Raw Actuals'!C60),2))),""))),"")</x:f>
        <x:v>46550</x:v>
      </x:c>
      <x:c r="D60" t="str">
        <x:f>IF(OR(UPPER(TRIM('Raw Actuals'!D60))="CATERING",UPPER(TRIM('Raw Actuals'!D60))="WORKSHOP CATERING",UPPER(TRIM('Raw Actuals'!D60))="MEALS",UPPER(TRIM('Raw Actuals'!D60))="CATERNG"),"Catering",IF(OR(UPPER(TRIM('Raw Actuals'!D60))="TRANSPORT",UPPER(TRIM('Raw Actuals'!D60))="LEARNER TRANSPORT",UPPER(TRIM('Raw Actuals'!D60))="TAXIS",UPPER(TRIM('Raw Actuals'!D60))="LEARNER TAXI"),"Transport",IF(OR(UPPER(TRIM('Raw Actuals'!D60))="FACILITATION",UPPER(TRIM('Raw Actuals'!D60))="CHAMPION PAYMENTS",UPPER(TRIM('Raw Actuals'!D60))="STIPENDS",UPPER(TRIM('Raw Actuals'!D60))="FACILITATOR FEE"),"Facilitation",IF(OR(UPPER(TRIM('Raw Actuals'!D60))="MATERIALS",UPPER(TRIM('Raw Actuals'!D60))="WORKSHOP MATERIALS",UPPER(TRIM('Raw Actuals'!D60))="MATERIALS / SUPPLIES"),"Materials",IF(OR(UPPER(TRIM('Raw Actuals'!D60))="PRINTING",UPPER(TRIM('Raw Actuals'!D60))="PRINT &amp; CONSENT",UPPER(TRIM('Raw Actuals'!D60))="PRINTING AND CONSENT"),"Printing",IF(OR(UPPER(TRIM('Raw Actuals'!D60))="TRAINING",UPPER(TRIM('Raw Actuals'!D60))="CHAMPION TRAINING",UPPER(TRIM('Raw Actuals'!D60))="FACILITATOR TRAINING"),"Training",IF(OR(UPPER(TRIM('Raw Actuals'!D60))="SITE VISITS",UPPER(TRIM('Raw Actuals'!D60))="SITE VISIT",UPPER(TRIM('Raw Actuals'!D60))="TRAVEL AND SITE VISITS"),"Site visits",IF(OR(UPPER(TRIM('Raw Actuals'!D60))="EVENTS",UPPER(TRIM('Raw Actuals'!D60))="RECOGNITION EVENT",UPPER(TRIM('Raw Actuals'!D60))="BADGE CEREMONY"),"Events",IF(OR(UPPER(TRIM('Raw Actuals'!D60))="VENUE",UPPER(TRIM('Raw Actuals'!D60))="VENUE HIRE",UPPER(TRIM('Raw Actuals'!D60))="TRAINING VENUE"),"Venue",IF(OR(UPPER(TRIM('Raw Actuals'!D60))="ADMINISTRATION",UPPER(TRIM('Raw Actuals'!D60))="ADMIN",UPPER(TRIM('Raw Actuals'!D60))="OPERATIONAL SUPPORT"),"Administration","Review"))))))))))</x:f>
        <x:v>Training</x:v>
      </x:c>
      <x:c r="E60" t="str">
        <x:f>IF(TRIM('Raw Actuals'!E60)="","Missing",PROPER(TRIM('Raw Actuals'!E60)))</x:f>
        <x:v>Northline Transport</x:v>
      </x:c>
      <x:c r="F60" t="str">
        <x:f>TRIM('Raw Actuals'!F60)</x:f>
        <x:v>Training expense 55</x:v>
      </x:c>
      <x:c r="G60" s="26" t="n">
        <x:v>8947</x:v>
      </x:c>
      <x:c r="H60" t="str">
        <x:f>IF(OR(UPPER(TRIM('Raw Actuals'!H60))="PAID",UPPER(TRIM('Raw Actuals'!H60))="PAID "),"Paid",IF(UPPER(TRIM('Raw Actuals'!H60))="APPROVED","Approved",IF(OR(UPPER(TRIM('Raw Actuals'!H60))="SUBMITTED",UPPER(TRIM('Raw Actuals'!H60))="PENDING"),"Submitted",IF(UPPER(TRIM('Raw Actuals'!H60))="REJECTED","Rejected","Review"))))</x:f>
        <x:v>Rejected</x:v>
      </x:c>
      <x:c r="I60" t="str">
        <x:f>IF(OR(H60="Paid",H60="Approved"),"Include","Exclude")</x:f>
        <x:v>Exclude</x:v>
      </x:c>
      <x:c r="J60" t="str">
        <x:f>IF(B60="","Missing invoice",IF(COUNTIF($B$6:B60,B60)&gt;1,"Duplicate","Unique"))</x:f>
        <x:v>Unique</x:v>
      </x:c>
      <x:c r="K60" s="17" t="str">
        <x:f>IF(A60="","Missing ID; ","")&amp;IF(B60="","Missing invoice; ","")&amp;IF(C60="","Invalid date; ","")&amp;IF(D60="Review","Unmapped category; ","")&amp;IF(E60="Missing","Missing supplier; ","")&amp;IF(OR(G60="",G60&lt;=0),"Invalid amount; ","")&amp;IF(H60="Review","Invalid payment state; ","")&amp;IF(J60="Duplicate","Duplicate invoice; ","")</x:f>
      </x:c>
      <x:c r="L60" t="str">
        <x:f>IF(K60="","Ready","Review")</x:f>
        <x:v>Ready</x:v>
      </x:c>
      <x:c r="M60" s="26" t="n">
        <x:f>IF(AND(L60="Ready",I60="Include"),G60,0)</x:f>
        <x:v>0</x:v>
      </x:c>
    </x:row>
    <x:row r="61">
      <x:c r="A61" t="str">
        <x:f>UPPER(TRIM('Raw Actuals'!A61))</x:f>
        <x:v>TXN-27-0056</x:v>
      </x:c>
      <x:c r="B61" t="str">
        <x:f>UPPER(TRIM('Raw Actuals'!B61))</x:f>
        <x:v>INV-27-0056</x:v>
      </x:c>
      <x:c r="C61" s="25" t="n">
        <x:f>IFERROR(IF(OR(MID(TRIM('Raw Actuals'!C61),5,1)="-",MID(TRIM('Raw Actuals'!C61),5,1)="/"),DATE(VALUE(LEFT(TRIM('Raw Actuals'!C61),4)),VALUE(MID(TRIM('Raw Actuals'!C61),6,2)),VALUE(RIGHT(TRIM('Raw Actuals'!C61),2))),IF(LEN(TRIM('Raw Actuals'!C61))=10,DATE(VALUE(RIGHT(TRIM('Raw Actuals'!C61),4)),VALUE(MID(TRIM('Raw Actuals'!C61),4,2)),VALUE(LEFT(TRIM('Raw Actuals'!C61),2))),IF(LEN(TRIM('Raw Actuals'!C61))=8,DATE(2000+VALUE(RIGHT(TRIM('Raw Actuals'!C61),2)),VALUE(MID(TRIM('Raw Actuals'!C61),4,2)),VALUE(LEFT(TRIM('Raw Actuals'!C61),2))),""))),"")</x:f>
        <x:v>46530</x:v>
      </x:c>
      <x:c r="D61" t="str">
        <x:f>IF(OR(UPPER(TRIM('Raw Actuals'!D61))="CATERING",UPPER(TRIM('Raw Actuals'!D61))="WORKSHOP CATERING",UPPER(TRIM('Raw Actuals'!D61))="MEALS",UPPER(TRIM('Raw Actuals'!D61))="CATERNG"),"Catering",IF(OR(UPPER(TRIM('Raw Actuals'!D61))="TRANSPORT",UPPER(TRIM('Raw Actuals'!D61))="LEARNER TRANSPORT",UPPER(TRIM('Raw Actuals'!D61))="TAXIS",UPPER(TRIM('Raw Actuals'!D61))="LEARNER TAXI"),"Transport",IF(OR(UPPER(TRIM('Raw Actuals'!D61))="FACILITATION",UPPER(TRIM('Raw Actuals'!D61))="CHAMPION PAYMENTS",UPPER(TRIM('Raw Actuals'!D61))="STIPENDS",UPPER(TRIM('Raw Actuals'!D61))="FACILITATOR FEE"),"Facilitation",IF(OR(UPPER(TRIM('Raw Actuals'!D61))="MATERIALS",UPPER(TRIM('Raw Actuals'!D61))="WORKSHOP MATERIALS",UPPER(TRIM('Raw Actuals'!D61))="MATERIALS / SUPPLIES"),"Materials",IF(OR(UPPER(TRIM('Raw Actuals'!D61))="PRINTING",UPPER(TRIM('Raw Actuals'!D61))="PRINT &amp; CONSENT",UPPER(TRIM('Raw Actuals'!D61))="PRINTING AND CONSENT"),"Printing",IF(OR(UPPER(TRIM('Raw Actuals'!D61))="TRAINING",UPPER(TRIM('Raw Actuals'!D61))="CHAMPION TRAINING",UPPER(TRIM('Raw Actuals'!D61))="FACILITATOR TRAINING"),"Training",IF(OR(UPPER(TRIM('Raw Actuals'!D61))="SITE VISITS",UPPER(TRIM('Raw Actuals'!D61))="SITE VISIT",UPPER(TRIM('Raw Actuals'!D61))="TRAVEL AND SITE VISITS"),"Site visits",IF(OR(UPPER(TRIM('Raw Actuals'!D61))="EVENTS",UPPER(TRIM('Raw Actuals'!D61))="RECOGNITION EVENT",UPPER(TRIM('Raw Actuals'!D61))="BADGE CEREMONY"),"Events",IF(OR(UPPER(TRIM('Raw Actuals'!D61))="VENUE",UPPER(TRIM('Raw Actuals'!D61))="VENUE HIRE",UPPER(TRIM('Raw Actuals'!D61))="TRAINING VENUE"),"Venue",IF(OR(UPPER(TRIM('Raw Actuals'!D61))="ADMINISTRATION",UPPER(TRIM('Raw Actuals'!D61))="ADMIN",UPPER(TRIM('Raw Actuals'!D61))="OPERATIONAL SUPPORT"),"Administration","Review"))))))))))</x:f>
        <x:v>Facilitation</x:v>
      </x:c>
      <x:c r="E61" t="str">
        <x:f>IF(TRIM('Raw Actuals'!E61)="","Missing",PROPER(TRIM('Raw Actuals'!E61)))</x:f>
        <x:v>Kopano Catering</x:v>
      </x:c>
      <x:c r="F61" t="str">
        <x:f>TRIM('Raw Actuals'!F61)</x:f>
        <x:v>Facilitation expense 56</x:v>
      </x:c>
      <x:c r="G61" s="26" t="n">
        <x:v>9820</x:v>
      </x:c>
      <x:c r="H61" t="str">
        <x:f>IF(OR(UPPER(TRIM('Raw Actuals'!H61))="PAID",UPPER(TRIM('Raw Actuals'!H61))="PAID "),"Paid",IF(UPPER(TRIM('Raw Actuals'!H61))="APPROVED","Approved",IF(OR(UPPER(TRIM('Raw Actuals'!H61))="SUBMITTED",UPPER(TRIM('Raw Actuals'!H61))="PENDING"),"Submitted",IF(UPPER(TRIM('Raw Actuals'!H61))="REJECTED","Rejected","Review"))))</x:f>
        <x:v>Paid</x:v>
      </x:c>
      <x:c r="I61" t="str">
        <x:f>IF(OR(H61="Paid",H61="Approved"),"Include","Exclude")</x:f>
        <x:v>Include</x:v>
      </x:c>
      <x:c r="J61" t="str">
        <x:f>IF(B61="","Missing invoice",IF(COUNTIF($B$6:B61,B61)&gt;1,"Duplicate","Unique"))</x:f>
        <x:v>Unique</x:v>
      </x:c>
      <x:c r="K61" s="17" t="str">
        <x:f>IF(A61="","Missing ID; ","")&amp;IF(B61="","Missing invoice; ","")&amp;IF(C61="","Invalid date; ","")&amp;IF(D61="Review","Unmapped category; ","")&amp;IF(E61="Missing","Missing supplier; ","")&amp;IF(OR(G61="",G61&lt;=0),"Invalid amount; ","")&amp;IF(H61="Review","Invalid payment state; ","")&amp;IF(J61="Duplicate","Duplicate invoice; ","")</x:f>
      </x:c>
      <x:c r="L61" t="str">
        <x:f>IF(K61="","Ready","Review")</x:f>
        <x:v>Ready</x:v>
      </x:c>
      <x:c r="M61" s="26" t="n">
        <x:f>IF(AND(L61="Ready",I61="Include"),G61,0)</x:f>
        <x:v>9820</x:v>
      </x:c>
    </x:row>
    <x:row r="62">
      <x:c r="A62" t="str">
        <x:f>UPPER(TRIM('Raw Actuals'!A62))</x:f>
        <x:v>TXN-27-0057</x:v>
      </x:c>
      <x:c r="B62" t="str">
        <x:f>UPPER(TRIM('Raw Actuals'!B62))</x:f>
        <x:v>INV-27-0057</x:v>
      </x:c>
      <x:c r="C62" s="25" t="n">
        <x:f>IFERROR(IF(OR(MID(TRIM('Raw Actuals'!C62),5,1)="-",MID(TRIM('Raw Actuals'!C62),5,1)="/"),DATE(VALUE(LEFT(TRIM('Raw Actuals'!C62),4)),VALUE(MID(TRIM('Raw Actuals'!C62),6,2)),VALUE(RIGHT(TRIM('Raw Actuals'!C62),2))),IF(LEN(TRIM('Raw Actuals'!C62))=10,DATE(VALUE(RIGHT(TRIM('Raw Actuals'!C62),4)),VALUE(MID(TRIM('Raw Actuals'!C62),4,2)),VALUE(LEFT(TRIM('Raw Actuals'!C62),2))),IF(LEN(TRIM('Raw Actuals'!C62))=8,DATE(2000+VALUE(RIGHT(TRIM('Raw Actuals'!C62),2)),VALUE(MID(TRIM('Raw Actuals'!C62),4,2)),VALUE(LEFT(TRIM('Raw Actuals'!C62),2))),""))),"")</x:f>
        <x:v>46484</x:v>
      </x:c>
      <x:c r="D62" t="str">
        <x:f>IF(OR(UPPER(TRIM('Raw Actuals'!D62))="CATERING",UPPER(TRIM('Raw Actuals'!D62))="WORKSHOP CATERING",UPPER(TRIM('Raw Actuals'!D62))="MEALS",UPPER(TRIM('Raw Actuals'!D62))="CATERNG"),"Catering",IF(OR(UPPER(TRIM('Raw Actuals'!D62))="TRANSPORT",UPPER(TRIM('Raw Actuals'!D62))="LEARNER TRANSPORT",UPPER(TRIM('Raw Actuals'!D62))="TAXIS",UPPER(TRIM('Raw Actuals'!D62))="LEARNER TAXI"),"Transport",IF(OR(UPPER(TRIM('Raw Actuals'!D62))="FACILITATION",UPPER(TRIM('Raw Actuals'!D62))="CHAMPION PAYMENTS",UPPER(TRIM('Raw Actuals'!D62))="STIPENDS",UPPER(TRIM('Raw Actuals'!D62))="FACILITATOR FEE"),"Facilitation",IF(OR(UPPER(TRIM('Raw Actuals'!D62))="MATERIALS",UPPER(TRIM('Raw Actuals'!D62))="WORKSHOP MATERIALS",UPPER(TRIM('Raw Actuals'!D62))="MATERIALS / SUPPLIES"),"Materials",IF(OR(UPPER(TRIM('Raw Actuals'!D62))="PRINTING",UPPER(TRIM('Raw Actuals'!D62))="PRINT &amp; CONSENT",UPPER(TRIM('Raw Actuals'!D62))="PRINTING AND CONSENT"),"Printing",IF(OR(UPPER(TRIM('Raw Actuals'!D62))="TRAINING",UPPER(TRIM('Raw Actuals'!D62))="CHAMPION TRAINING",UPPER(TRIM('Raw Actuals'!D62))="FACILITATOR TRAINING"),"Training",IF(OR(UPPER(TRIM('Raw Actuals'!D62))="SITE VISITS",UPPER(TRIM('Raw Actuals'!D62))="SITE VISIT",UPPER(TRIM('Raw Actuals'!D62))="TRAVEL AND SITE VISITS"),"Site visits",IF(OR(UPPER(TRIM('Raw Actuals'!D62))="EVENTS",UPPER(TRIM('Raw Actuals'!D62))="RECOGNITION EVENT",UPPER(TRIM('Raw Actuals'!D62))="BADGE CEREMONY"),"Events",IF(OR(UPPER(TRIM('Raw Actuals'!D62))="VENUE",UPPER(TRIM('Raw Actuals'!D62))="VENUE HIRE",UPPER(TRIM('Raw Actuals'!D62))="TRAINING VENUE"),"Venue",IF(OR(UPPER(TRIM('Raw Actuals'!D62))="ADMINISTRATION",UPPER(TRIM('Raw Actuals'!D62))="ADMIN",UPPER(TRIM('Raw Actuals'!D62))="OPERATIONAL SUPPORT"),"Administration","Review"))))))))))</x:f>
        <x:v>Administration</x:v>
      </x:c>
      <x:c r="E62" t="str">
        <x:f>IF(TRIM('Raw Actuals'!E62)="","Missing",PROPER(TRIM('Raw Actuals'!E62)))</x:f>
        <x:v>Riverside Venue Hire</x:v>
      </x:c>
      <x:c r="F62" t="str">
        <x:f>TRIM('Raw Actuals'!F62)</x:f>
        <x:v>Administration expense 57</x:v>
      </x:c>
      <x:c r="G62" s="26"/>
      <x:c r="H62" t="str">
        <x:f>IF(OR(UPPER(TRIM('Raw Actuals'!H62))="PAID",UPPER(TRIM('Raw Actuals'!H62))="PAID "),"Paid",IF(UPPER(TRIM('Raw Actuals'!H62))="APPROVED","Approved",IF(OR(UPPER(TRIM('Raw Actuals'!H62))="SUBMITTED",UPPER(TRIM('Raw Actuals'!H62))="PENDING"),"Submitted",IF(UPPER(TRIM('Raw Actuals'!H62))="REJECTED","Rejected","Review"))))</x:f>
        <x:v>Approved</x:v>
      </x:c>
      <x:c r="I62" t="str">
        <x:f>IF(OR(H62="Paid",H62="Approved"),"Include","Exclude")</x:f>
        <x:v>Include</x:v>
      </x:c>
      <x:c r="J62" t="str">
        <x:f>IF(B62="","Missing invoice",IF(COUNTIF($B$6:B62,B62)&gt;1,"Duplicate","Unique"))</x:f>
        <x:v>Unique</x:v>
      </x:c>
      <x:c r="K62" s="17" t="str">
        <x:f>IF(A62="","Missing ID; ","")&amp;IF(B62="","Missing invoice; ","")&amp;IF(C62="","Invalid date; ","")&amp;IF(D62="Review","Unmapped category; ","")&amp;IF(E62="Missing","Missing supplier; ","")&amp;IF(OR(G62="",G62&lt;=0),"Invalid amount; ","")&amp;IF(H62="Review","Invalid payment state; ","")&amp;IF(J62="Duplicate","Duplicate invoice; ","")</x:f>
        <x:v>Invalid amount; </x:v>
      </x:c>
      <x:c r="L62" t="str">
        <x:f>IF(K62="","Ready","Review")</x:f>
        <x:v>Review</x:v>
      </x:c>
      <x:c r="M62" s="26" t="n">
        <x:f>IF(AND(L62="Ready",I62="Include"),G62,0)</x:f>
        <x:v>0</x:v>
      </x:c>
    </x:row>
    <x:row r="63">
      <x:c r="A63" t="str">
        <x:f>UPPER(TRIM('Raw Actuals'!A63))</x:f>
        <x:v>TXN-27-0058</x:v>
      </x:c>
      <x:c r="B63" t="str">
        <x:f>UPPER(TRIM('Raw Actuals'!B63))</x:f>
        <x:v>INV-27-0058</x:v>
      </x:c>
      <x:c r="C63" s="25" t="n">
        <x:f>IFERROR(IF(OR(MID(TRIM('Raw Actuals'!C63),5,1)="-",MID(TRIM('Raw Actuals'!C63),5,1)="/"),DATE(VALUE(LEFT(TRIM('Raw Actuals'!C63),4)),VALUE(MID(TRIM('Raw Actuals'!C63),6,2)),VALUE(RIGHT(TRIM('Raw Actuals'!C63),2))),IF(LEN(TRIM('Raw Actuals'!C63))=10,DATE(VALUE(RIGHT(TRIM('Raw Actuals'!C63),4)),VALUE(MID(TRIM('Raw Actuals'!C63),4,2)),VALUE(LEFT(TRIM('Raw Actuals'!C63),2))),IF(LEN(TRIM('Raw Actuals'!C63))=8,DATE(2000+VALUE(RIGHT(TRIM('Raw Actuals'!C63),2)),VALUE(MID(TRIM('Raw Actuals'!C63),4,2)),VALUE(LEFT(TRIM('Raw Actuals'!C63),2))),""))),"")</x:f>
        <x:v>46464</x:v>
      </x:c>
      <x:c r="D63" t="str">
        <x:f>IF(OR(UPPER(TRIM('Raw Actuals'!D63))="CATERING",UPPER(TRIM('Raw Actuals'!D63))="WORKSHOP CATERING",UPPER(TRIM('Raw Actuals'!D63))="MEALS",UPPER(TRIM('Raw Actuals'!D63))="CATERNG"),"Catering",IF(OR(UPPER(TRIM('Raw Actuals'!D63))="TRANSPORT",UPPER(TRIM('Raw Actuals'!D63))="LEARNER TRANSPORT",UPPER(TRIM('Raw Actuals'!D63))="TAXIS",UPPER(TRIM('Raw Actuals'!D63))="LEARNER TAXI"),"Transport",IF(OR(UPPER(TRIM('Raw Actuals'!D63))="FACILITATION",UPPER(TRIM('Raw Actuals'!D63))="CHAMPION PAYMENTS",UPPER(TRIM('Raw Actuals'!D63))="STIPENDS",UPPER(TRIM('Raw Actuals'!D63))="FACILITATOR FEE"),"Facilitation",IF(OR(UPPER(TRIM('Raw Actuals'!D63))="MATERIALS",UPPER(TRIM('Raw Actuals'!D63))="WORKSHOP MATERIALS",UPPER(TRIM('Raw Actuals'!D63))="MATERIALS / SUPPLIES"),"Materials",IF(OR(UPPER(TRIM('Raw Actuals'!D63))="PRINTING",UPPER(TRIM('Raw Actuals'!D63))="PRINT &amp; CONSENT",UPPER(TRIM('Raw Actuals'!D63))="PRINTING AND CONSENT"),"Printing",IF(OR(UPPER(TRIM('Raw Actuals'!D63))="TRAINING",UPPER(TRIM('Raw Actuals'!D63))="CHAMPION TRAINING",UPPER(TRIM('Raw Actuals'!D63))="FACILITATOR TRAINING"),"Training",IF(OR(UPPER(TRIM('Raw Actuals'!D63))="SITE VISITS",UPPER(TRIM('Raw Actuals'!D63))="SITE VISIT",UPPER(TRIM('Raw Actuals'!D63))="TRAVEL AND SITE VISITS"),"Site visits",IF(OR(UPPER(TRIM('Raw Actuals'!D63))="EVENTS",UPPER(TRIM('Raw Actuals'!D63))="RECOGNITION EVENT",UPPER(TRIM('Raw Actuals'!D63))="BADGE CEREMONY"),"Events",IF(OR(UPPER(TRIM('Raw Actuals'!D63))="VENUE",UPPER(TRIM('Raw Actuals'!D63))="VENUE HIRE",UPPER(TRIM('Raw Actuals'!D63))="TRAINING VENUE"),"Venue",IF(OR(UPPER(TRIM('Raw Actuals'!D63))="ADMINISTRATION",UPPER(TRIM('Raw Actuals'!D63))="ADMIN",UPPER(TRIM('Raw Actuals'!D63))="OPERATIONAL SUPPORT"),"Administration","Review"))))))))))</x:f>
        <x:v>Site visits</x:v>
      </x:c>
      <x:c r="E63" t="str">
        <x:f>IF(TRIM('Raw Actuals'!E63)="","Missing",PROPER(TRIM('Raw Actuals'!E63)))</x:f>
        <x:v>Bright Print Studio</x:v>
      </x:c>
      <x:c r="F63" t="str">
        <x:f>TRIM('Raw Actuals'!F63)</x:f>
        <x:v>Site visits expense 58</x:v>
      </x:c>
      <x:c r="G63" s="26" t="n">
        <x:v>-9815</x:v>
      </x:c>
      <x:c r="H63" t="str">
        <x:f>IF(OR(UPPER(TRIM('Raw Actuals'!H63))="PAID",UPPER(TRIM('Raw Actuals'!H63))="PAID "),"Paid",IF(UPPER(TRIM('Raw Actuals'!H63))="APPROVED","Approved",IF(OR(UPPER(TRIM('Raw Actuals'!H63))="SUBMITTED",UPPER(TRIM('Raw Actuals'!H63))="PENDING"),"Submitted",IF(UPPER(TRIM('Raw Actuals'!H63))="REJECTED","Rejected","Review"))))</x:f>
        <x:v>Submitted</x:v>
      </x:c>
      <x:c r="I63" t="str">
        <x:f>IF(OR(H63="Paid",H63="Approved"),"Include","Exclude")</x:f>
        <x:v>Exclude</x:v>
      </x:c>
      <x:c r="J63" t="str">
        <x:f>IF(B63="","Missing invoice",IF(COUNTIF($B$6:B63,B63)&gt;1,"Duplicate","Unique"))</x:f>
        <x:v>Unique</x:v>
      </x:c>
      <x:c r="K63" s="17" t="str">
        <x:f>IF(A63="","Missing ID; ","")&amp;IF(B63="","Missing invoice; ","")&amp;IF(C63="","Invalid date; ","")&amp;IF(D63="Review","Unmapped category; ","")&amp;IF(E63="Missing","Missing supplier; ","")&amp;IF(OR(G63="",G63&lt;=0),"Invalid amount; ","")&amp;IF(H63="Review","Invalid payment state; ","")&amp;IF(J63="Duplicate","Duplicate invoice; ","")</x:f>
        <x:v>Invalid amount; </x:v>
      </x:c>
      <x:c r="L63" t="str">
        <x:f>IF(K63="","Ready","Review")</x:f>
        <x:v>Review</x:v>
      </x:c>
      <x:c r="M63" s="26" t="n">
        <x:f>IF(AND(L63="Ready",I63="Include"),G63,0)</x:f>
        <x:v>0</x:v>
      </x:c>
    </x:row>
    <x:row r="64">
      <x:c r="A64" t="str">
        <x:f>UPPER(TRIM('Raw Actuals'!A64))</x:f>
        <x:v>TXN-27-0059</x:v>
      </x:c>
      <x:c r="B64" t="str">
        <x:f>UPPER(TRIM('Raw Actuals'!B64))</x:f>
        <x:v>INV-27-0059</x:v>
      </x:c>
      <x:c r="C64" s="25" t="n">
        <x:f>IFERROR(IF(OR(MID(TRIM('Raw Actuals'!C64),5,1)="-",MID(TRIM('Raw Actuals'!C64),5,1)="/"),DATE(VALUE(LEFT(TRIM('Raw Actuals'!C64),4)),VALUE(MID(TRIM('Raw Actuals'!C64),6,2)),VALUE(RIGHT(TRIM('Raw Actuals'!C64),2))),IF(LEN(TRIM('Raw Actuals'!C64))=10,DATE(VALUE(RIGHT(TRIM('Raw Actuals'!C64),4)),VALUE(MID(TRIM('Raw Actuals'!C64),4,2)),VALUE(LEFT(TRIM('Raw Actuals'!C64),2))),IF(LEN(TRIM('Raw Actuals'!C64))=8,DATE(2000+VALUE(RIGHT(TRIM('Raw Actuals'!C64),2)),VALUE(MID(TRIM('Raw Actuals'!C64),4,2)),VALUE(LEFT(TRIM('Raw Actuals'!C64),2))),""))),"")</x:f>
        <x:v>46420</x:v>
      </x:c>
      <x:c r="D64" t="str">
        <x:f>IF(OR(UPPER(TRIM('Raw Actuals'!D64))="CATERING",UPPER(TRIM('Raw Actuals'!D64))="WORKSHOP CATERING",UPPER(TRIM('Raw Actuals'!D64))="MEALS",UPPER(TRIM('Raw Actuals'!D64))="CATERNG"),"Catering",IF(OR(UPPER(TRIM('Raw Actuals'!D64))="TRANSPORT",UPPER(TRIM('Raw Actuals'!D64))="LEARNER TRANSPORT",UPPER(TRIM('Raw Actuals'!D64))="TAXIS",UPPER(TRIM('Raw Actuals'!D64))="LEARNER TAXI"),"Transport",IF(OR(UPPER(TRIM('Raw Actuals'!D64))="FACILITATION",UPPER(TRIM('Raw Actuals'!D64))="CHAMPION PAYMENTS",UPPER(TRIM('Raw Actuals'!D64))="STIPENDS",UPPER(TRIM('Raw Actuals'!D64))="FACILITATOR FEE"),"Facilitation",IF(OR(UPPER(TRIM('Raw Actuals'!D64))="MATERIALS",UPPER(TRIM('Raw Actuals'!D64))="WORKSHOP MATERIALS",UPPER(TRIM('Raw Actuals'!D64))="MATERIALS / SUPPLIES"),"Materials",IF(OR(UPPER(TRIM('Raw Actuals'!D64))="PRINTING",UPPER(TRIM('Raw Actuals'!D64))="PRINT &amp; CONSENT",UPPER(TRIM('Raw Actuals'!D64))="PRINTING AND CONSENT"),"Printing",IF(OR(UPPER(TRIM('Raw Actuals'!D64))="TRAINING",UPPER(TRIM('Raw Actuals'!D64))="CHAMPION TRAINING",UPPER(TRIM('Raw Actuals'!D64))="FACILITATOR TRAINING"),"Training",IF(OR(UPPER(TRIM('Raw Actuals'!D64))="SITE VISITS",UPPER(TRIM('Raw Actuals'!D64))="SITE VISIT",UPPER(TRIM('Raw Actuals'!D64))="TRAVEL AND SITE VISITS"),"Site visits",IF(OR(UPPER(TRIM('Raw Actuals'!D64))="EVENTS",UPPER(TRIM('Raw Actuals'!D64))="RECOGNITION EVENT",UPPER(TRIM('Raw Actuals'!D64))="BADGE CEREMONY"),"Events",IF(OR(UPPER(TRIM('Raw Actuals'!D64))="VENUE",UPPER(TRIM('Raw Actuals'!D64))="VENUE HIRE",UPPER(TRIM('Raw Actuals'!D64))="TRAINING VENUE"),"Venue",IF(OR(UPPER(TRIM('Raw Actuals'!D64))="ADMINISTRATION",UPPER(TRIM('Raw Actuals'!D64))="ADMIN",UPPER(TRIM('Raw Actuals'!D64))="OPERATIONAL SUPPORT"),"Administration","Review"))))))))))</x:f>
        <x:v>Materials</x:v>
      </x:c>
      <x:c r="E64" t="str">
        <x:f>IF(TRIM('Raw Actuals'!E64)="","Missing",PROPER(TRIM('Raw Actuals'!E64)))</x:f>
        <x:v>Thuto Facilitation</x:v>
      </x:c>
      <x:c r="F64" t="str">
        <x:f>TRIM('Raw Actuals'!F64)</x:f>
        <x:v>Materials expense 59</x:v>
      </x:c>
      <x:c r="G64" s="26" t="n">
        <x:v>654</x:v>
      </x:c>
      <x:c r="H64" t="str">
        <x:f>IF(OR(UPPER(TRIM('Raw Actuals'!H64))="PAID",UPPER(TRIM('Raw Actuals'!H64))="PAID "),"Paid",IF(UPPER(TRIM('Raw Actuals'!H64))="APPROVED","Approved",IF(OR(UPPER(TRIM('Raw Actuals'!H64))="SUBMITTED",UPPER(TRIM('Raw Actuals'!H64))="PENDING"),"Submitted",IF(UPPER(TRIM('Raw Actuals'!H64))="REJECTED","Rejected","Review"))))</x:f>
        <x:v>Rejected</x:v>
      </x:c>
      <x:c r="I64" t="str">
        <x:f>IF(OR(H64="Paid",H64="Approved"),"Include","Exclude")</x:f>
        <x:v>Exclude</x:v>
      </x:c>
      <x:c r="J64" t="str">
        <x:f>IF(B64="","Missing invoice",IF(COUNTIF($B$6:B64,B64)&gt;1,"Duplicate","Unique"))</x:f>
        <x:v>Unique</x:v>
      </x:c>
      <x:c r="K64" s="17" t="str">
        <x:f>IF(A64="","Missing ID; ","")&amp;IF(B64="","Missing invoice; ","")&amp;IF(C64="","Invalid date; ","")&amp;IF(D64="Review","Unmapped category; ","")&amp;IF(E64="Missing","Missing supplier; ","")&amp;IF(OR(G64="",G64&lt;=0),"Invalid amount; ","")&amp;IF(H64="Review","Invalid payment state; ","")&amp;IF(J64="Duplicate","Duplicate invoice; ","")</x:f>
      </x:c>
      <x:c r="L64" t="str">
        <x:f>IF(K64="","Ready","Review")</x:f>
        <x:v>Ready</x:v>
      </x:c>
      <x:c r="M64" s="26" t="n">
        <x:f>IF(AND(L64="Ready",I64="Include"),G64,0)</x:f>
        <x:v>0</x:v>
      </x:c>
    </x:row>
    <x:row r="65">
      <x:c r="A65" t="str">
        <x:f>UPPER(TRIM('Raw Actuals'!A65))</x:f>
        <x:v>TXN-27-0060</x:v>
      </x:c>
      <x:c r="B65" t="str">
        <x:f>UPPER(TRIM('Raw Actuals'!B65))</x:f>
        <x:v>INV-27-0060</x:v>
      </x:c>
      <x:c r="C65" s="25" t="n">
        <x:f>IFERROR(IF(OR(MID(TRIM('Raw Actuals'!C65),5,1)="-",MID(TRIM('Raw Actuals'!C65),5,1)="/"),DATE(VALUE(LEFT(TRIM('Raw Actuals'!C65),4)),VALUE(MID(TRIM('Raw Actuals'!C65),6,2)),VALUE(RIGHT(TRIM('Raw Actuals'!C65),2))),IF(LEN(TRIM('Raw Actuals'!C65))=10,DATE(VALUE(RIGHT(TRIM('Raw Actuals'!C65),4)),VALUE(MID(TRIM('Raw Actuals'!C65),4,2)),VALUE(LEFT(TRIM('Raw Actuals'!C65),2))),IF(LEN(TRIM('Raw Actuals'!C65))=8,DATE(2000+VALUE(RIGHT(TRIM('Raw Actuals'!C65),2)),VALUE(MID(TRIM('Raw Actuals'!C65),4,2)),VALUE(LEFT(TRIM('Raw Actuals'!C65),2))),""))),"")</x:f>
        <x:v>46400</x:v>
      </x:c>
      <x:c r="D65" t="str">
        <x:f>IF(OR(UPPER(TRIM('Raw Actuals'!D65))="CATERING",UPPER(TRIM('Raw Actuals'!D65))="WORKSHOP CATERING",UPPER(TRIM('Raw Actuals'!D65))="MEALS",UPPER(TRIM('Raw Actuals'!D65))="CATERNG"),"Catering",IF(OR(UPPER(TRIM('Raw Actuals'!D65))="TRANSPORT",UPPER(TRIM('Raw Actuals'!D65))="LEARNER TRANSPORT",UPPER(TRIM('Raw Actuals'!D65))="TAXIS",UPPER(TRIM('Raw Actuals'!D65))="LEARNER TAXI"),"Transport",IF(OR(UPPER(TRIM('Raw Actuals'!D65))="FACILITATION",UPPER(TRIM('Raw Actuals'!D65))="CHAMPION PAYMENTS",UPPER(TRIM('Raw Actuals'!D65))="STIPENDS",UPPER(TRIM('Raw Actuals'!D65))="FACILITATOR FEE"),"Facilitation",IF(OR(UPPER(TRIM('Raw Actuals'!D65))="MATERIALS",UPPER(TRIM('Raw Actuals'!D65))="WORKSHOP MATERIALS",UPPER(TRIM('Raw Actuals'!D65))="MATERIALS / SUPPLIES"),"Materials",IF(OR(UPPER(TRIM('Raw Actuals'!D65))="PRINTING",UPPER(TRIM('Raw Actuals'!D65))="PRINT &amp; CONSENT",UPPER(TRIM('Raw Actuals'!D65))="PRINTING AND CONSENT"),"Printing",IF(OR(UPPER(TRIM('Raw Actuals'!D65))="TRAINING",UPPER(TRIM('Raw Actuals'!D65))="CHAMPION TRAINING",UPPER(TRIM('Raw Actuals'!D65))="FACILITATOR TRAINING"),"Training",IF(OR(UPPER(TRIM('Raw Actuals'!D65))="SITE VISITS",UPPER(TRIM('Raw Actuals'!D65))="SITE VISIT",UPPER(TRIM('Raw Actuals'!D65))="TRAVEL AND SITE VISITS"),"Site visits",IF(OR(UPPER(TRIM('Raw Actuals'!D65))="EVENTS",UPPER(TRIM('Raw Actuals'!D65))="RECOGNITION EVENT",UPPER(TRIM('Raw Actuals'!D65))="BADGE CEREMONY"),"Events",IF(OR(UPPER(TRIM('Raw Actuals'!D65))="VENUE",UPPER(TRIM('Raw Actuals'!D65))="VENUE HIRE",UPPER(TRIM('Raw Actuals'!D65))="TRAINING VENUE"),"Venue",IF(OR(UPPER(TRIM('Raw Actuals'!D65))="ADMINISTRATION",UPPER(TRIM('Raw Actuals'!D65))="ADMIN",UPPER(TRIM('Raw Actuals'!D65))="OPERATIONAL SUPPORT"),"Administration","Review"))))))))))</x:f>
        <x:v>Catering</x:v>
      </x:c>
      <x:c r="E65" t="str">
        <x:f>IF(TRIM('Raw Actuals'!E65)="","Missing",PROPER(TRIM('Raw Actuals'!E65)))</x:f>
        <x:v>Moya Supplies</x:v>
      </x:c>
      <x:c r="F65" t="str">
        <x:f>TRIM('Raw Actuals'!F65)</x:f>
        <x:v>Catering expense 60</x:v>
      </x:c>
      <x:c r="G65" s="26" t="n">
        <x:v>9432</x:v>
      </x:c>
      <x:c r="H65" t="str">
        <x:f>IF(OR(UPPER(TRIM('Raw Actuals'!H65))="PAID",UPPER(TRIM('Raw Actuals'!H65))="PAID "),"Paid",IF(UPPER(TRIM('Raw Actuals'!H65))="APPROVED","Approved",IF(OR(UPPER(TRIM('Raw Actuals'!H65))="SUBMITTED",UPPER(TRIM('Raw Actuals'!H65))="PENDING"),"Submitted",IF(UPPER(TRIM('Raw Actuals'!H65))="REJECTED","Rejected","Review"))))</x:f>
        <x:v>Paid</x:v>
      </x:c>
      <x:c r="I65" t="str">
        <x:f>IF(OR(H65="Paid",H65="Approved"),"Include","Exclude")</x:f>
        <x:v>Include</x:v>
      </x:c>
      <x:c r="J65" t="str">
        <x:f>IF(B65="","Missing invoice",IF(COUNTIF($B$6:B65,B65)&gt;1,"Duplicate","Unique"))</x:f>
        <x:v>Unique</x:v>
      </x:c>
      <x:c r="K65" s="17" t="str">
        <x:f>IF(A65="","Missing ID; ","")&amp;IF(B65="","Missing invoice; ","")&amp;IF(C65="","Invalid date; ","")&amp;IF(D65="Review","Unmapped category; ","")&amp;IF(E65="Missing","Missing supplier; ","")&amp;IF(OR(G65="",G65&lt;=0),"Invalid amount; ","")&amp;IF(H65="Review","Invalid payment state; ","")&amp;IF(J65="Duplicate","Duplicate invoice; ","")</x:f>
      </x:c>
      <x:c r="L65" t="str">
        <x:f>IF(K65="","Ready","Review")</x:f>
        <x:v>Ready</x:v>
      </x:c>
      <x:c r="M65" s="26" t="n">
        <x:f>IF(AND(L65="Ready",I65="Include"),G65,0)</x:f>
        <x:v>9432</x:v>
      </x:c>
    </x:row>
    <x:row r="66">
      <x:c r="A66" t="str">
        <x:f>UPPER(TRIM('Raw Actuals'!A66))</x:f>
        <x:v>TXN-27-0061</x:v>
      </x:c>
      <x:c r="B66" t="str">
        <x:f>UPPER(TRIM('Raw Actuals'!B66))</x:f>
        <x:v>INV-27-0061</x:v>
      </x:c>
      <x:c r="C66" s="25" t="n">
        <x:f>IFERROR(IF(OR(MID(TRIM('Raw Actuals'!C66),5,1)="-",MID(TRIM('Raw Actuals'!C66),5,1)="/"),DATE(VALUE(LEFT(TRIM('Raw Actuals'!C66),4)),VALUE(MID(TRIM('Raw Actuals'!C66),6,2)),VALUE(RIGHT(TRIM('Raw Actuals'!C66),2))),IF(LEN(TRIM('Raw Actuals'!C66))=10,DATE(VALUE(RIGHT(TRIM('Raw Actuals'!C66),4)),VALUE(MID(TRIM('Raw Actuals'!C66),4,2)),VALUE(LEFT(TRIM('Raw Actuals'!C66),2))),IF(LEN(TRIM('Raw Actuals'!C66))=8,DATE(2000+VALUE(RIGHT(TRIM('Raw Actuals'!C66),2)),VALUE(MID(TRIM('Raw Actuals'!C66),4,2)),VALUE(LEFT(TRIM('Raw Actuals'!C66),2))),""))),"")</x:f>
        <x:v>46562</x:v>
      </x:c>
      <x:c r="D66" t="str">
        <x:f>IF(OR(UPPER(TRIM('Raw Actuals'!D66))="CATERING",UPPER(TRIM('Raw Actuals'!D66))="WORKSHOP CATERING",UPPER(TRIM('Raw Actuals'!D66))="MEALS",UPPER(TRIM('Raw Actuals'!D66))="CATERNG"),"Catering",IF(OR(UPPER(TRIM('Raw Actuals'!D66))="TRANSPORT",UPPER(TRIM('Raw Actuals'!D66))="LEARNER TRANSPORT",UPPER(TRIM('Raw Actuals'!D66))="TAXIS",UPPER(TRIM('Raw Actuals'!D66))="LEARNER TAXI"),"Transport",IF(OR(UPPER(TRIM('Raw Actuals'!D66))="FACILITATION",UPPER(TRIM('Raw Actuals'!D66))="CHAMPION PAYMENTS",UPPER(TRIM('Raw Actuals'!D66))="STIPENDS",UPPER(TRIM('Raw Actuals'!D66))="FACILITATOR FEE"),"Facilitation",IF(OR(UPPER(TRIM('Raw Actuals'!D66))="MATERIALS",UPPER(TRIM('Raw Actuals'!D66))="WORKSHOP MATERIALS",UPPER(TRIM('Raw Actuals'!D66))="MATERIALS / SUPPLIES"),"Materials",IF(OR(UPPER(TRIM('Raw Actuals'!D66))="PRINTING",UPPER(TRIM('Raw Actuals'!D66))="PRINT &amp; CONSENT",UPPER(TRIM('Raw Actuals'!D66))="PRINTING AND CONSENT"),"Printing",IF(OR(UPPER(TRIM('Raw Actuals'!D66))="TRAINING",UPPER(TRIM('Raw Actuals'!D66))="CHAMPION TRAINING",UPPER(TRIM('Raw Actuals'!D66))="FACILITATOR TRAINING"),"Training",IF(OR(UPPER(TRIM('Raw Actuals'!D66))="SITE VISITS",UPPER(TRIM('Raw Actuals'!D66))="SITE VISIT",UPPER(TRIM('Raw Actuals'!D66))="TRAVEL AND SITE VISITS"),"Site visits",IF(OR(UPPER(TRIM('Raw Actuals'!D66))="EVENTS",UPPER(TRIM('Raw Actuals'!D66))="RECOGNITION EVENT",UPPER(TRIM('Raw Actuals'!D66))="BADGE CEREMONY"),"Events",IF(OR(UPPER(TRIM('Raw Actuals'!D66))="VENUE",UPPER(TRIM('Raw Actuals'!D66))="VENUE HIRE",UPPER(TRIM('Raw Actuals'!D66))="TRAINING VENUE"),"Venue",IF(OR(UPPER(TRIM('Raw Actuals'!D66))="ADMINISTRATION",UPPER(TRIM('Raw Actuals'!D66))="ADMIN",UPPER(TRIM('Raw Actuals'!D66))="OPERATIONAL SUPPORT"),"Administration","Review"))))))))))</x:f>
        <x:v>Review</x:v>
      </x:c>
      <x:c r="E66" t="str">
        <x:f>IF(TRIM('Raw Actuals'!E66)="","Missing",PROPER(TRIM('Raw Actuals'!E66)))</x:f>
        <x:v>Northline Transport</x:v>
      </x:c>
      <x:c r="F66" t="str">
        <x:f>TRIM('Raw Actuals'!F66)</x:f>
        <x:v>Events expense 61</x:v>
      </x:c>
      <x:c r="G66" s="26" t="n">
        <x:v>9571</x:v>
      </x:c>
      <x:c r="H66" t="str">
        <x:f>IF(OR(UPPER(TRIM('Raw Actuals'!H66))="PAID",UPPER(TRIM('Raw Actuals'!H66))="PAID "),"Paid",IF(UPPER(TRIM('Raw Actuals'!H66))="APPROVED","Approved",IF(OR(UPPER(TRIM('Raw Actuals'!H66))="SUBMITTED",UPPER(TRIM('Raw Actuals'!H66))="PENDING"),"Submitted",IF(UPPER(TRIM('Raw Actuals'!H66))="REJECTED","Rejected","Review"))))</x:f>
        <x:v>Approved</x:v>
      </x:c>
      <x:c r="I66" t="str">
        <x:f>IF(OR(H66="Paid",H66="Approved"),"Include","Exclude")</x:f>
        <x:v>Include</x:v>
      </x:c>
      <x:c r="J66" t="str">
        <x:f>IF(B66="","Missing invoice",IF(COUNTIF($B$6:B66,B66)&gt;1,"Duplicate","Unique"))</x:f>
        <x:v>Unique</x:v>
      </x:c>
      <x:c r="K66" s="17" t="str">
        <x:f>IF(A66="","Missing ID; ","")&amp;IF(B66="","Missing invoice; ","")&amp;IF(C66="","Invalid date; ","")&amp;IF(D66="Review","Unmapped category; ","")&amp;IF(E66="Missing","Missing supplier; ","")&amp;IF(OR(G66="",G66&lt;=0),"Invalid amount; ","")&amp;IF(H66="Review","Invalid payment state; ","")&amp;IF(J66="Duplicate","Duplicate invoice; ","")</x:f>
        <x:v>Unmapped category; </x:v>
      </x:c>
      <x:c r="L66" t="str">
        <x:f>IF(K66="","Ready","Review")</x:f>
        <x:v>Review</x:v>
      </x:c>
      <x:c r="M66" s="26" t="n">
        <x:f>IF(AND(L66="Ready",I66="Include"),G66,0)</x:f>
        <x:v>0</x:v>
      </x:c>
    </x:row>
    <x:row r="67">
      <x:c r="A67" t="str">
        <x:f>UPPER(TRIM('Raw Actuals'!A67))</x:f>
        <x:v>TXN-27-0062</x:v>
      </x:c>
      <x:c r="B67" t="str">
        <x:f>UPPER(TRIM('Raw Actuals'!B67))</x:f>
        <x:v>INV-27-0062</x:v>
      </x:c>
      <x:c r="C67" s="25" t="n">
        <x:f>IFERROR(IF(OR(MID(TRIM('Raw Actuals'!C67),5,1)="-",MID(TRIM('Raw Actuals'!C67),5,1)="/"),DATE(VALUE(LEFT(TRIM('Raw Actuals'!C67),4)),VALUE(MID(TRIM('Raw Actuals'!C67),6,2)),VALUE(RIGHT(TRIM('Raw Actuals'!C67),2))),IF(LEN(TRIM('Raw Actuals'!C67))=10,DATE(VALUE(RIGHT(TRIM('Raw Actuals'!C67),4)),VALUE(MID(TRIM('Raw Actuals'!C67),4,2)),VALUE(LEFT(TRIM('Raw Actuals'!C67),2))),IF(LEN(TRIM('Raw Actuals'!C67))=8,DATE(2000+VALUE(RIGHT(TRIM('Raw Actuals'!C67),2)),VALUE(MID(TRIM('Raw Actuals'!C67),4,2)),VALUE(LEFT(TRIM('Raw Actuals'!C67),2))),""))),"")</x:f>
        <x:v>46515</x:v>
      </x:c>
      <x:c r="D67" t="str">
        <x:f>IF(OR(UPPER(TRIM('Raw Actuals'!D67))="CATERING",UPPER(TRIM('Raw Actuals'!D67))="WORKSHOP CATERING",UPPER(TRIM('Raw Actuals'!D67))="MEALS",UPPER(TRIM('Raw Actuals'!D67))="CATERNG"),"Catering",IF(OR(UPPER(TRIM('Raw Actuals'!D67))="TRANSPORT",UPPER(TRIM('Raw Actuals'!D67))="LEARNER TRANSPORT",UPPER(TRIM('Raw Actuals'!D67))="TAXIS",UPPER(TRIM('Raw Actuals'!D67))="LEARNER TAXI"),"Transport",IF(OR(UPPER(TRIM('Raw Actuals'!D67))="FACILITATION",UPPER(TRIM('Raw Actuals'!D67))="CHAMPION PAYMENTS",UPPER(TRIM('Raw Actuals'!D67))="STIPENDS",UPPER(TRIM('Raw Actuals'!D67))="FACILITATOR FEE"),"Facilitation",IF(OR(UPPER(TRIM('Raw Actuals'!D67))="MATERIALS",UPPER(TRIM('Raw Actuals'!D67))="WORKSHOP MATERIALS",UPPER(TRIM('Raw Actuals'!D67))="MATERIALS / SUPPLIES"),"Materials",IF(OR(UPPER(TRIM('Raw Actuals'!D67))="PRINTING",UPPER(TRIM('Raw Actuals'!D67))="PRINT &amp; CONSENT",UPPER(TRIM('Raw Actuals'!D67))="PRINTING AND CONSENT"),"Printing",IF(OR(UPPER(TRIM('Raw Actuals'!D67))="TRAINING",UPPER(TRIM('Raw Actuals'!D67))="CHAMPION TRAINING",UPPER(TRIM('Raw Actuals'!D67))="FACILITATOR TRAINING"),"Training",IF(OR(UPPER(TRIM('Raw Actuals'!D67))="SITE VISITS",UPPER(TRIM('Raw Actuals'!D67))="SITE VISIT",UPPER(TRIM('Raw Actuals'!D67))="TRAVEL AND SITE VISITS"),"Site visits",IF(OR(UPPER(TRIM('Raw Actuals'!D67))="EVENTS",UPPER(TRIM('Raw Actuals'!D67))="RECOGNITION EVENT",UPPER(TRIM('Raw Actuals'!D67))="BADGE CEREMONY"),"Events",IF(OR(UPPER(TRIM('Raw Actuals'!D67))="VENUE",UPPER(TRIM('Raw Actuals'!D67))="VENUE HIRE",UPPER(TRIM('Raw Actuals'!D67))="TRAINING VENUE"),"Venue",IF(OR(UPPER(TRIM('Raw Actuals'!D67))="ADMINISTRATION",UPPER(TRIM('Raw Actuals'!D67))="ADMIN",UPPER(TRIM('Raw Actuals'!D67))="OPERATIONAL SUPPORT"),"Administration","Review"))))))))))</x:f>
        <x:v>Printing</x:v>
      </x:c>
      <x:c r="E67" t="str">
        <x:f>IF(TRIM('Raw Actuals'!E67)="","Missing",PROPER(TRIM('Raw Actuals'!E67)))</x:f>
        <x:v>Kopano Catering</x:v>
      </x:c>
      <x:c r="F67" t="str">
        <x:f>TRIM('Raw Actuals'!F67)</x:f>
        <x:v>Printing expense 62</x:v>
      </x:c>
      <x:c r="G67" s="26" t="n">
        <x:v>3166</x:v>
      </x:c>
      <x:c r="H67" t="str">
        <x:f>IF(OR(UPPER(TRIM('Raw Actuals'!H67))="PAID",UPPER(TRIM('Raw Actuals'!H67))="PAID "),"Paid",IF(UPPER(TRIM('Raw Actuals'!H67))="APPROVED","Approved",IF(OR(UPPER(TRIM('Raw Actuals'!H67))="SUBMITTED",UPPER(TRIM('Raw Actuals'!H67))="PENDING"),"Submitted",IF(UPPER(TRIM('Raw Actuals'!H67))="REJECTED","Rejected","Review"))))</x:f>
        <x:v>Submitted</x:v>
      </x:c>
      <x:c r="I67" t="str">
        <x:f>IF(OR(H67="Paid",H67="Approved"),"Include","Exclude")</x:f>
        <x:v>Exclude</x:v>
      </x:c>
      <x:c r="J67" t="str">
        <x:f>IF(B67="","Missing invoice",IF(COUNTIF($B$6:B67,B67)&gt;1,"Duplicate","Unique"))</x:f>
        <x:v>Unique</x:v>
      </x:c>
      <x:c r="K67" s="17" t="str">
        <x:f>IF(A67="","Missing ID; ","")&amp;IF(B67="","Missing invoice; ","")&amp;IF(C67="","Invalid date; ","")&amp;IF(D67="Review","Unmapped category; ","")&amp;IF(E67="Missing","Missing supplier; ","")&amp;IF(OR(G67="",G67&lt;=0),"Invalid amount; ","")&amp;IF(H67="Review","Invalid payment state; ","")&amp;IF(J67="Duplicate","Duplicate invoice; ","")</x:f>
      </x:c>
      <x:c r="L67" t="str">
        <x:f>IF(K67="","Ready","Review")</x:f>
        <x:v>Ready</x:v>
      </x:c>
      <x:c r="M67" s="26" t="n">
        <x:f>IF(AND(L67="Ready",I67="Include"),G67,0)</x:f>
        <x:v>0</x:v>
      </x:c>
    </x:row>
    <x:row r="68">
      <x:c r="A68" t="str">
        <x:f>UPPER(TRIM('Raw Actuals'!A68))</x:f>
        <x:v>TXN-27-0063</x:v>
      </x:c>
      <x:c r="B68" t="str">
        <x:f>UPPER(TRIM('Raw Actuals'!B68))</x:f>
        <x:v>INV-27-0063</x:v>
      </x:c>
      <x:c r="C68" s="25" t="n">
        <x:f>IFERROR(IF(OR(MID(TRIM('Raw Actuals'!C68),5,1)="-",MID(TRIM('Raw Actuals'!C68),5,1)="/"),DATE(VALUE(LEFT(TRIM('Raw Actuals'!C68),4)),VALUE(MID(TRIM('Raw Actuals'!C68),6,2)),VALUE(RIGHT(TRIM('Raw Actuals'!C68),2))),IF(LEN(TRIM('Raw Actuals'!C68))=10,DATE(VALUE(RIGHT(TRIM('Raw Actuals'!C68),4)),VALUE(MID(TRIM('Raw Actuals'!C68),4,2)),VALUE(LEFT(TRIM('Raw Actuals'!C68),2))),IF(LEN(TRIM('Raw Actuals'!C68))=8,DATE(2000+VALUE(RIGHT(TRIM('Raw Actuals'!C68),2)),VALUE(MID(TRIM('Raw Actuals'!C68),4,2)),VALUE(LEFT(TRIM('Raw Actuals'!C68),2))),""))),"")</x:f>
        <x:v>46496</x:v>
      </x:c>
      <x:c r="D68" t="str">
        <x:f>IF(OR(UPPER(TRIM('Raw Actuals'!D68))="CATERING",UPPER(TRIM('Raw Actuals'!D68))="WORKSHOP CATERING",UPPER(TRIM('Raw Actuals'!D68))="MEALS",UPPER(TRIM('Raw Actuals'!D68))="CATERNG"),"Catering",IF(OR(UPPER(TRIM('Raw Actuals'!D68))="TRANSPORT",UPPER(TRIM('Raw Actuals'!D68))="LEARNER TRANSPORT",UPPER(TRIM('Raw Actuals'!D68))="TAXIS",UPPER(TRIM('Raw Actuals'!D68))="LEARNER TAXI"),"Transport",IF(OR(UPPER(TRIM('Raw Actuals'!D68))="FACILITATION",UPPER(TRIM('Raw Actuals'!D68))="CHAMPION PAYMENTS",UPPER(TRIM('Raw Actuals'!D68))="STIPENDS",UPPER(TRIM('Raw Actuals'!D68))="FACILITATOR FEE"),"Facilitation",IF(OR(UPPER(TRIM('Raw Actuals'!D68))="MATERIALS",UPPER(TRIM('Raw Actuals'!D68))="WORKSHOP MATERIALS",UPPER(TRIM('Raw Actuals'!D68))="MATERIALS / SUPPLIES"),"Materials",IF(OR(UPPER(TRIM('Raw Actuals'!D68))="PRINTING",UPPER(TRIM('Raw Actuals'!D68))="PRINT &amp; CONSENT",UPPER(TRIM('Raw Actuals'!D68))="PRINTING AND CONSENT"),"Printing",IF(OR(UPPER(TRIM('Raw Actuals'!D68))="TRAINING",UPPER(TRIM('Raw Actuals'!D68))="CHAMPION TRAINING",UPPER(TRIM('Raw Actuals'!D68))="FACILITATOR TRAINING"),"Training",IF(OR(UPPER(TRIM('Raw Actuals'!D68))="SITE VISITS",UPPER(TRIM('Raw Actuals'!D68))="SITE VISIT",UPPER(TRIM('Raw Actuals'!D68))="TRAVEL AND SITE VISITS"),"Site visits",IF(OR(UPPER(TRIM('Raw Actuals'!D68))="EVENTS",UPPER(TRIM('Raw Actuals'!D68))="RECOGNITION EVENT",UPPER(TRIM('Raw Actuals'!D68))="BADGE CEREMONY"),"Events",IF(OR(UPPER(TRIM('Raw Actuals'!D68))="VENUE",UPPER(TRIM('Raw Actuals'!D68))="VENUE HIRE",UPPER(TRIM('Raw Actuals'!D68))="TRAINING VENUE"),"Venue",IF(OR(UPPER(TRIM('Raw Actuals'!D68))="ADMINISTRATION",UPPER(TRIM('Raw Actuals'!D68))="ADMIN",UPPER(TRIM('Raw Actuals'!D68))="OPERATIONAL SUPPORT"),"Administration","Review"))))))))))</x:f>
        <x:v>Transport</x:v>
      </x:c>
      <x:c r="E68" t="str">
        <x:f>IF(TRIM('Raw Actuals'!E68)="","Missing",PROPER(TRIM('Raw Actuals'!E68)))</x:f>
        <x:v>Riverside Venue Hire</x:v>
      </x:c>
      <x:c r="F68" t="str">
        <x:f>TRIM('Raw Actuals'!F68)</x:f>
        <x:v>Transport expense 63</x:v>
      </x:c>
      <x:c r="G68" s="26" t="n">
        <x:v>10422</x:v>
      </x:c>
      <x:c r="H68" t="str">
        <x:f>IF(OR(UPPER(TRIM('Raw Actuals'!H68))="PAID",UPPER(TRIM('Raw Actuals'!H68))="PAID "),"Paid",IF(UPPER(TRIM('Raw Actuals'!H68))="APPROVED","Approved",IF(OR(UPPER(TRIM('Raw Actuals'!H68))="SUBMITTED",UPPER(TRIM('Raw Actuals'!H68))="PENDING"),"Submitted",IF(UPPER(TRIM('Raw Actuals'!H68))="REJECTED","Rejected","Review"))))</x:f>
        <x:v>Rejected</x:v>
      </x:c>
      <x:c r="I68" t="str">
        <x:f>IF(OR(H68="Paid",H68="Approved"),"Include","Exclude")</x:f>
        <x:v>Exclude</x:v>
      </x:c>
      <x:c r="J68" t="str">
        <x:f>IF(B68="","Missing invoice",IF(COUNTIF($B$6:B68,B68)&gt;1,"Duplicate","Unique"))</x:f>
        <x:v>Unique</x:v>
      </x:c>
      <x:c r="K68" s="17" t="str">
        <x:f>IF(A68="","Missing ID; ","")&amp;IF(B68="","Missing invoice; ","")&amp;IF(C68="","Invalid date; ","")&amp;IF(D68="Review","Unmapped category; ","")&amp;IF(E68="Missing","Missing supplier; ","")&amp;IF(OR(G68="",G68&lt;=0),"Invalid amount; ","")&amp;IF(H68="Review","Invalid payment state; ","")&amp;IF(J68="Duplicate","Duplicate invoice; ","")</x:f>
      </x:c>
      <x:c r="L68" t="str">
        <x:f>IF(K68="","Ready","Review")</x:f>
        <x:v>Ready</x:v>
      </x:c>
      <x:c r="M68" s="26" t="n">
        <x:f>IF(AND(L68="Ready",I68="Include"),G68,0)</x:f>
        <x:v>0</x:v>
      </x:c>
    </x:row>
    <x:row r="69">
      <x:c r="A69" t="str">
        <x:f>UPPER(TRIM('Raw Actuals'!A69))</x:f>
        <x:v>TXN-27-0064</x:v>
      </x:c>
      <x:c r="B69" t="str">
        <x:f>UPPER(TRIM('Raw Actuals'!B69))</x:f>
        <x:v>INV-27-0064</x:v>
      </x:c>
      <x:c r="C69" s="25" t="n">
        <x:f>IFERROR(IF(OR(MID(TRIM('Raw Actuals'!C69),5,1)="-",MID(TRIM('Raw Actuals'!C69),5,1)="/"),DATE(VALUE(LEFT(TRIM('Raw Actuals'!C69),4)),VALUE(MID(TRIM('Raw Actuals'!C69),6,2)),VALUE(RIGHT(TRIM('Raw Actuals'!C69),2))),IF(LEN(TRIM('Raw Actuals'!C69))=10,DATE(VALUE(RIGHT(TRIM('Raw Actuals'!C69),4)),VALUE(MID(TRIM('Raw Actuals'!C69),4,2)),VALUE(LEFT(TRIM('Raw Actuals'!C69),2))),IF(LEN(TRIM('Raw Actuals'!C69))=8,DATE(2000+VALUE(RIGHT(TRIM('Raw Actuals'!C69),2)),VALUE(MID(TRIM('Raw Actuals'!C69),4,2)),VALUE(LEFT(TRIM('Raw Actuals'!C69),2))),""))),"")</x:f>
        <x:v>46449</x:v>
      </x:c>
      <x:c r="D69" t="str">
        <x:f>IF(OR(UPPER(TRIM('Raw Actuals'!D69))="CATERING",UPPER(TRIM('Raw Actuals'!D69))="WORKSHOP CATERING",UPPER(TRIM('Raw Actuals'!D69))="MEALS",UPPER(TRIM('Raw Actuals'!D69))="CATERNG"),"Catering",IF(OR(UPPER(TRIM('Raw Actuals'!D69))="TRANSPORT",UPPER(TRIM('Raw Actuals'!D69))="LEARNER TRANSPORT",UPPER(TRIM('Raw Actuals'!D69))="TAXIS",UPPER(TRIM('Raw Actuals'!D69))="LEARNER TAXI"),"Transport",IF(OR(UPPER(TRIM('Raw Actuals'!D69))="FACILITATION",UPPER(TRIM('Raw Actuals'!D69))="CHAMPION PAYMENTS",UPPER(TRIM('Raw Actuals'!D69))="STIPENDS",UPPER(TRIM('Raw Actuals'!D69))="FACILITATOR FEE"),"Facilitation",IF(OR(UPPER(TRIM('Raw Actuals'!D69))="MATERIALS",UPPER(TRIM('Raw Actuals'!D69))="WORKSHOP MATERIALS",UPPER(TRIM('Raw Actuals'!D69))="MATERIALS / SUPPLIES"),"Materials",IF(OR(UPPER(TRIM('Raw Actuals'!D69))="PRINTING",UPPER(TRIM('Raw Actuals'!D69))="PRINT &amp; CONSENT",UPPER(TRIM('Raw Actuals'!D69))="PRINTING AND CONSENT"),"Printing",IF(OR(UPPER(TRIM('Raw Actuals'!D69))="TRAINING",UPPER(TRIM('Raw Actuals'!D69))="CHAMPION TRAINING",UPPER(TRIM('Raw Actuals'!D69))="FACILITATOR TRAINING"),"Training",IF(OR(UPPER(TRIM('Raw Actuals'!D69))="SITE VISITS",UPPER(TRIM('Raw Actuals'!D69))="SITE VISIT",UPPER(TRIM('Raw Actuals'!D69))="TRAVEL AND SITE VISITS"),"Site visits",IF(OR(UPPER(TRIM('Raw Actuals'!D69))="EVENTS",UPPER(TRIM('Raw Actuals'!D69))="RECOGNITION EVENT",UPPER(TRIM('Raw Actuals'!D69))="BADGE CEREMONY"),"Events",IF(OR(UPPER(TRIM('Raw Actuals'!D69))="VENUE",UPPER(TRIM('Raw Actuals'!D69))="VENUE HIRE",UPPER(TRIM('Raw Actuals'!D69))="TRAINING VENUE"),"Venue",IF(OR(UPPER(TRIM('Raw Actuals'!D69))="ADMINISTRATION",UPPER(TRIM('Raw Actuals'!D69))="ADMIN",UPPER(TRIM('Raw Actuals'!D69))="OPERATIONAL SUPPORT"),"Administration","Review"))))))))))</x:f>
        <x:v>Venue</x:v>
      </x:c>
      <x:c r="E69" t="str">
        <x:f>IF(TRIM('Raw Actuals'!E69)="","Missing",PROPER(TRIM('Raw Actuals'!E69)))</x:f>
        <x:v>Bright Print Studio</x:v>
      </x:c>
      <x:c r="F69" t="str">
        <x:f>TRIM('Raw Actuals'!F69)</x:f>
        <x:v>Venue expense 64</x:v>
      </x:c>
      <x:c r="G69" s="26" t="n">
        <x:v>9383</x:v>
      </x:c>
      <x:c r="H69" t="str">
        <x:f>IF(OR(UPPER(TRIM('Raw Actuals'!H69))="PAID",UPPER(TRIM('Raw Actuals'!H69))="PAID "),"Paid",IF(UPPER(TRIM('Raw Actuals'!H69))="APPROVED","Approved",IF(OR(UPPER(TRIM('Raw Actuals'!H69))="SUBMITTED",UPPER(TRIM('Raw Actuals'!H69))="PENDING"),"Submitted",IF(UPPER(TRIM('Raw Actuals'!H69))="REJECTED","Rejected","Review"))))</x:f>
        <x:v>Paid</x:v>
      </x:c>
      <x:c r="I69" t="str">
        <x:f>IF(OR(H69="Paid",H69="Approved"),"Include","Exclude")</x:f>
        <x:v>Include</x:v>
      </x:c>
      <x:c r="J69" t="str">
        <x:f>IF(B69="","Missing invoice",IF(COUNTIF($B$6:B69,B69)&gt;1,"Duplicate","Unique"))</x:f>
        <x:v>Unique</x:v>
      </x:c>
      <x:c r="K69" s="17" t="str">
        <x:f>IF(A69="","Missing ID; ","")&amp;IF(B69="","Missing invoice; ","")&amp;IF(C69="","Invalid date; ","")&amp;IF(D69="Review","Unmapped category; ","")&amp;IF(E69="Missing","Missing supplier; ","")&amp;IF(OR(G69="",G69&lt;=0),"Invalid amount; ","")&amp;IF(H69="Review","Invalid payment state; ","")&amp;IF(J69="Duplicate","Duplicate invoice; ","")</x:f>
      </x:c>
      <x:c r="L69" t="str">
        <x:f>IF(K69="","Ready","Review")</x:f>
        <x:v>Ready</x:v>
      </x:c>
      <x:c r="M69" s="26" t="n">
        <x:f>IF(AND(L69="Ready",I69="Include"),G69,0)</x:f>
        <x:v>9383</x:v>
      </x:c>
    </x:row>
    <x:row r="70">
      <x:c r="A70" t="str">
        <x:f>UPPER(TRIM('Raw Actuals'!A70))</x:f>
        <x:v>TXN-27-0065</x:v>
      </x:c>
      <x:c r="B70" t="str">
        <x:f>UPPER(TRIM('Raw Actuals'!B70))</x:f>
        <x:v>INV-27-0065</x:v>
      </x:c>
      <x:c r="C70" s="25" t="n">
        <x:f>IFERROR(IF(OR(MID(TRIM('Raw Actuals'!C70),5,1)="-",MID(TRIM('Raw Actuals'!C70),5,1)="/"),DATE(VALUE(LEFT(TRIM('Raw Actuals'!C70),4)),VALUE(MID(TRIM('Raw Actuals'!C70),6,2)),VALUE(RIGHT(TRIM('Raw Actuals'!C70),2))),IF(LEN(TRIM('Raw Actuals'!C70))=10,DATE(VALUE(RIGHT(TRIM('Raw Actuals'!C70),4)),VALUE(MID(TRIM('Raw Actuals'!C70),4,2)),VALUE(LEFT(TRIM('Raw Actuals'!C70),2))),IF(LEN(TRIM('Raw Actuals'!C70))=8,DATE(2000+VALUE(RIGHT(TRIM('Raw Actuals'!C70),2)),VALUE(MID(TRIM('Raw Actuals'!C70),4,2)),VALUE(LEFT(TRIM('Raw Actuals'!C70),2))),""))),"")</x:f>
        <x:v>46432</x:v>
      </x:c>
      <x:c r="D70" t="str">
        <x:f>IF(OR(UPPER(TRIM('Raw Actuals'!D70))="CATERING",UPPER(TRIM('Raw Actuals'!D70))="WORKSHOP CATERING",UPPER(TRIM('Raw Actuals'!D70))="MEALS",UPPER(TRIM('Raw Actuals'!D70))="CATERNG"),"Catering",IF(OR(UPPER(TRIM('Raw Actuals'!D70))="TRANSPORT",UPPER(TRIM('Raw Actuals'!D70))="LEARNER TRANSPORT",UPPER(TRIM('Raw Actuals'!D70))="TAXIS",UPPER(TRIM('Raw Actuals'!D70))="LEARNER TAXI"),"Transport",IF(OR(UPPER(TRIM('Raw Actuals'!D70))="FACILITATION",UPPER(TRIM('Raw Actuals'!D70))="CHAMPION PAYMENTS",UPPER(TRIM('Raw Actuals'!D70))="STIPENDS",UPPER(TRIM('Raw Actuals'!D70))="FACILITATOR FEE"),"Facilitation",IF(OR(UPPER(TRIM('Raw Actuals'!D70))="MATERIALS",UPPER(TRIM('Raw Actuals'!D70))="WORKSHOP MATERIALS",UPPER(TRIM('Raw Actuals'!D70))="MATERIALS / SUPPLIES"),"Materials",IF(OR(UPPER(TRIM('Raw Actuals'!D70))="PRINTING",UPPER(TRIM('Raw Actuals'!D70))="PRINT &amp; CONSENT",UPPER(TRIM('Raw Actuals'!D70))="PRINTING AND CONSENT"),"Printing",IF(OR(UPPER(TRIM('Raw Actuals'!D70))="TRAINING",UPPER(TRIM('Raw Actuals'!D70))="CHAMPION TRAINING",UPPER(TRIM('Raw Actuals'!D70))="FACILITATOR TRAINING"),"Training",IF(OR(UPPER(TRIM('Raw Actuals'!D70))="SITE VISITS",UPPER(TRIM('Raw Actuals'!D70))="SITE VISIT",UPPER(TRIM('Raw Actuals'!D70))="TRAVEL AND SITE VISITS"),"Site visits",IF(OR(UPPER(TRIM('Raw Actuals'!D70))="EVENTS",UPPER(TRIM('Raw Actuals'!D70))="RECOGNITION EVENT",UPPER(TRIM('Raw Actuals'!D70))="BADGE CEREMONY"),"Events",IF(OR(UPPER(TRIM('Raw Actuals'!D70))="VENUE",UPPER(TRIM('Raw Actuals'!D70))="VENUE HIRE",UPPER(TRIM('Raw Actuals'!D70))="TRAINING VENUE"),"Venue",IF(OR(UPPER(TRIM('Raw Actuals'!D70))="ADMINISTRATION",UPPER(TRIM('Raw Actuals'!D70))="ADMIN",UPPER(TRIM('Raw Actuals'!D70))="OPERATIONAL SUPPORT"),"Administration","Review"))))))))))</x:f>
        <x:v>Training</x:v>
      </x:c>
      <x:c r="E70" t="str">
        <x:f>IF(TRIM('Raw Actuals'!E70)="","Missing",PROPER(TRIM('Raw Actuals'!E70)))</x:f>
        <x:v>Thuto Facilitation</x:v>
      </x:c>
      <x:c r="F70" t="str">
        <x:f>TRIM('Raw Actuals'!F70)</x:f>
        <x:v>Training expense 65</x:v>
      </x:c>
      <x:c r="G70" s="26" t="n">
        <x:v>10117</x:v>
      </x:c>
      <x:c r="H70" t="str">
        <x:f>IF(OR(UPPER(TRIM('Raw Actuals'!H70))="PAID",UPPER(TRIM('Raw Actuals'!H70))="PAID "),"Paid",IF(UPPER(TRIM('Raw Actuals'!H70))="APPROVED","Approved",IF(OR(UPPER(TRIM('Raw Actuals'!H70))="SUBMITTED",UPPER(TRIM('Raw Actuals'!H70))="PENDING"),"Submitted",IF(UPPER(TRIM('Raw Actuals'!H70))="REJECTED","Rejected","Review"))))</x:f>
        <x:v>Approved</x:v>
      </x:c>
      <x:c r="I70" t="str">
        <x:f>IF(OR(H70="Paid",H70="Approved"),"Include","Exclude")</x:f>
        <x:v>Include</x:v>
      </x:c>
      <x:c r="J70" t="str">
        <x:f>IF(B70="","Missing invoice",IF(COUNTIF($B$6:B70,B70)&gt;1,"Duplicate","Unique"))</x:f>
        <x:v>Unique</x:v>
      </x:c>
      <x:c r="K70" s="17" t="str">
        <x:f>IF(A70="","Missing ID; ","")&amp;IF(B70="","Missing invoice; ","")&amp;IF(C70="","Invalid date; ","")&amp;IF(D70="Review","Unmapped category; ","")&amp;IF(E70="Missing","Missing supplier; ","")&amp;IF(OR(G70="",G70&lt;=0),"Invalid amount; ","")&amp;IF(H70="Review","Invalid payment state; ","")&amp;IF(J70="Duplicate","Duplicate invoice; ","")</x:f>
      </x:c>
      <x:c r="L70" t="str">
        <x:f>IF(K70="","Ready","Review")</x:f>
        <x:v>Ready</x:v>
      </x:c>
      <x:c r="M70" s="26" t="n">
        <x:f>IF(AND(L70="Ready",I70="Include"),G70,0)</x:f>
        <x:v>10117</x:v>
      </x:c>
    </x:row>
    <x:row r="71">
      <x:c r="A71" t="str">
        <x:f>UPPER(TRIM('Raw Actuals'!A71))</x:f>
        <x:v>TXN-27-0066</x:v>
      </x:c>
      <x:c r="B71" t="str">
        <x:f>UPPER(TRIM('Raw Actuals'!B71))</x:f>
        <x:v>INV-27-0066</x:v>
      </x:c>
      <x:c r="C71" s="25" t="n">
        <x:f>IFERROR(IF(OR(MID(TRIM('Raw Actuals'!C71),5,1)="-",MID(TRIM('Raw Actuals'!C71),5,1)="/"),DATE(VALUE(LEFT(TRIM('Raw Actuals'!C71),4)),VALUE(MID(TRIM('Raw Actuals'!C71),6,2)),VALUE(RIGHT(TRIM('Raw Actuals'!C71),2))),IF(LEN(TRIM('Raw Actuals'!C71))=10,DATE(VALUE(RIGHT(TRIM('Raw Actuals'!C71),4)),VALUE(MID(TRIM('Raw Actuals'!C71),4,2)),VALUE(LEFT(TRIM('Raw Actuals'!C71),2))),IF(LEN(TRIM('Raw Actuals'!C71))=8,DATE(2000+VALUE(RIGHT(TRIM('Raw Actuals'!C71),2)),VALUE(MID(TRIM('Raw Actuals'!C71),4,2)),VALUE(LEFT(TRIM('Raw Actuals'!C71),2))),""))),"")</x:f>
        <x:v>46412</x:v>
      </x:c>
      <x:c r="D71" t="str">
        <x:f>IF(OR(UPPER(TRIM('Raw Actuals'!D71))="CATERING",UPPER(TRIM('Raw Actuals'!D71))="WORKSHOP CATERING",UPPER(TRIM('Raw Actuals'!D71))="MEALS",UPPER(TRIM('Raw Actuals'!D71))="CATERNG"),"Catering",IF(OR(UPPER(TRIM('Raw Actuals'!D71))="TRANSPORT",UPPER(TRIM('Raw Actuals'!D71))="LEARNER TRANSPORT",UPPER(TRIM('Raw Actuals'!D71))="TAXIS",UPPER(TRIM('Raw Actuals'!D71))="LEARNER TAXI"),"Transport",IF(OR(UPPER(TRIM('Raw Actuals'!D71))="FACILITATION",UPPER(TRIM('Raw Actuals'!D71))="CHAMPION PAYMENTS",UPPER(TRIM('Raw Actuals'!D71))="STIPENDS",UPPER(TRIM('Raw Actuals'!D71))="FACILITATOR FEE"),"Facilitation",IF(OR(UPPER(TRIM('Raw Actuals'!D71))="MATERIALS",UPPER(TRIM('Raw Actuals'!D71))="WORKSHOP MATERIALS",UPPER(TRIM('Raw Actuals'!D71))="MATERIALS / SUPPLIES"),"Materials",IF(OR(UPPER(TRIM('Raw Actuals'!D71))="PRINTING",UPPER(TRIM('Raw Actuals'!D71))="PRINT &amp; CONSENT",UPPER(TRIM('Raw Actuals'!D71))="PRINTING AND CONSENT"),"Printing",IF(OR(UPPER(TRIM('Raw Actuals'!D71))="TRAINING",UPPER(TRIM('Raw Actuals'!D71))="CHAMPION TRAINING",UPPER(TRIM('Raw Actuals'!D71))="FACILITATOR TRAINING"),"Training",IF(OR(UPPER(TRIM('Raw Actuals'!D71))="SITE VISITS",UPPER(TRIM('Raw Actuals'!D71))="SITE VISIT",UPPER(TRIM('Raw Actuals'!D71))="TRAVEL AND SITE VISITS"),"Site visits",IF(OR(UPPER(TRIM('Raw Actuals'!D71))="EVENTS",UPPER(TRIM('Raw Actuals'!D71))="RECOGNITION EVENT",UPPER(TRIM('Raw Actuals'!D71))="BADGE CEREMONY"),"Events",IF(OR(UPPER(TRIM('Raw Actuals'!D71))="VENUE",UPPER(TRIM('Raw Actuals'!D71))="VENUE HIRE",UPPER(TRIM('Raw Actuals'!D71))="TRAINING VENUE"),"Venue",IF(OR(UPPER(TRIM('Raw Actuals'!D71))="ADMINISTRATION",UPPER(TRIM('Raw Actuals'!D71))="ADMIN",UPPER(TRIM('Raw Actuals'!D71))="OPERATIONAL SUPPORT"),"Administration","Review"))))))))))</x:f>
        <x:v>Facilitation</x:v>
      </x:c>
      <x:c r="E71" t="str">
        <x:f>IF(TRIM('Raw Actuals'!E71)="","Missing",PROPER(TRIM('Raw Actuals'!E71)))</x:f>
        <x:v>Moya Supplies</x:v>
      </x:c>
      <x:c r="F71" t="str">
        <x:f>TRIM('Raw Actuals'!F71)</x:f>
        <x:v>Facilitation expense 66</x:v>
      </x:c>
      <x:c r="G71" s="26" t="n">
        <x:v>10990</x:v>
      </x:c>
      <x:c r="H71" t="str">
        <x:f>IF(OR(UPPER(TRIM('Raw Actuals'!H71))="PAID",UPPER(TRIM('Raw Actuals'!H71))="PAID "),"Paid",IF(UPPER(TRIM('Raw Actuals'!H71))="APPROVED","Approved",IF(OR(UPPER(TRIM('Raw Actuals'!H71))="SUBMITTED",UPPER(TRIM('Raw Actuals'!H71))="PENDING"),"Submitted",IF(UPPER(TRIM('Raw Actuals'!H71))="REJECTED","Rejected","Review"))))</x:f>
        <x:v>Submitted</x:v>
      </x:c>
      <x:c r="I71" t="str">
        <x:f>IF(OR(H71="Paid",H71="Approved"),"Include","Exclude")</x:f>
        <x:v>Exclude</x:v>
      </x:c>
      <x:c r="J71" t="str">
        <x:f>IF(B71="","Missing invoice",IF(COUNTIF($B$6:B71,B71)&gt;1,"Duplicate","Unique"))</x:f>
        <x:v>Unique</x:v>
      </x:c>
      <x:c r="K71" s="17" t="str">
        <x:f>IF(A71="","Missing ID; ","")&amp;IF(B71="","Missing invoice; ","")&amp;IF(C71="","Invalid date; ","")&amp;IF(D71="Review","Unmapped category; ","")&amp;IF(E71="Missing","Missing supplier; ","")&amp;IF(OR(G71="",G71&lt;=0),"Invalid amount; ","")&amp;IF(H71="Review","Invalid payment state; ","")&amp;IF(J71="Duplicate","Duplicate invoice; ","")</x:f>
      </x:c>
      <x:c r="L71" t="str">
        <x:f>IF(K71="","Ready","Review")</x:f>
        <x:v>Ready</x:v>
      </x:c>
      <x:c r="M71" s="26" t="n">
        <x:f>IF(AND(L71="Ready",I71="Include"),G71,0)</x:f>
        <x:v>0</x:v>
      </x:c>
    </x:row>
    <x:row r="72">
      <x:c r="A72" t="str">
        <x:f>UPPER(TRIM('Raw Actuals'!A72))</x:f>
        <x:v>TXN-27-0067</x:v>
      </x:c>
      <x:c r="B72" t="str">
        <x:f>UPPER(TRIM('Raw Actuals'!B72))</x:f>
        <x:v>INV-27-0067</x:v>
      </x:c>
      <x:c r="C72" s="25" t="n">
        <x:f>IFERROR(IF(OR(MID(TRIM('Raw Actuals'!C72),5,1)="-",MID(TRIM('Raw Actuals'!C72),5,1)="/"),DATE(VALUE(LEFT(TRIM('Raw Actuals'!C72),4)),VALUE(MID(TRIM('Raw Actuals'!C72),6,2)),VALUE(RIGHT(TRIM('Raw Actuals'!C72),2))),IF(LEN(TRIM('Raw Actuals'!C72))=10,DATE(VALUE(RIGHT(TRIM('Raw Actuals'!C72),4)),VALUE(MID(TRIM('Raw Actuals'!C72),4,2)),VALUE(LEFT(TRIM('Raw Actuals'!C72),2))),IF(LEN(TRIM('Raw Actuals'!C72))=8,DATE(2000+VALUE(RIGHT(TRIM('Raw Actuals'!C72),2)),VALUE(MID(TRIM('Raw Actuals'!C72),4,2)),VALUE(LEFT(TRIM('Raw Actuals'!C72),2))),""))),"")</x:f>
        <x:v>46547</x:v>
      </x:c>
      <x:c r="D72" t="str">
        <x:f>IF(OR(UPPER(TRIM('Raw Actuals'!D72))="CATERING",UPPER(TRIM('Raw Actuals'!D72))="WORKSHOP CATERING",UPPER(TRIM('Raw Actuals'!D72))="MEALS",UPPER(TRIM('Raw Actuals'!D72))="CATERNG"),"Catering",IF(OR(UPPER(TRIM('Raw Actuals'!D72))="TRANSPORT",UPPER(TRIM('Raw Actuals'!D72))="LEARNER TRANSPORT",UPPER(TRIM('Raw Actuals'!D72))="TAXIS",UPPER(TRIM('Raw Actuals'!D72))="LEARNER TAXI"),"Transport",IF(OR(UPPER(TRIM('Raw Actuals'!D72))="FACILITATION",UPPER(TRIM('Raw Actuals'!D72))="CHAMPION PAYMENTS",UPPER(TRIM('Raw Actuals'!D72))="STIPENDS",UPPER(TRIM('Raw Actuals'!D72))="FACILITATOR FEE"),"Facilitation",IF(OR(UPPER(TRIM('Raw Actuals'!D72))="MATERIALS",UPPER(TRIM('Raw Actuals'!D72))="WORKSHOP MATERIALS",UPPER(TRIM('Raw Actuals'!D72))="MATERIALS / SUPPLIES"),"Materials",IF(OR(UPPER(TRIM('Raw Actuals'!D72))="PRINTING",UPPER(TRIM('Raw Actuals'!D72))="PRINT &amp; CONSENT",UPPER(TRIM('Raw Actuals'!D72))="PRINTING AND CONSENT"),"Printing",IF(OR(UPPER(TRIM('Raw Actuals'!D72))="TRAINING",UPPER(TRIM('Raw Actuals'!D72))="CHAMPION TRAINING",UPPER(TRIM('Raw Actuals'!D72))="FACILITATOR TRAINING"),"Training",IF(OR(UPPER(TRIM('Raw Actuals'!D72))="SITE VISITS",UPPER(TRIM('Raw Actuals'!D72))="SITE VISIT",UPPER(TRIM('Raw Actuals'!D72))="TRAVEL AND SITE VISITS"),"Site visits",IF(OR(UPPER(TRIM('Raw Actuals'!D72))="EVENTS",UPPER(TRIM('Raw Actuals'!D72))="RECOGNITION EVENT",UPPER(TRIM('Raw Actuals'!D72))="BADGE CEREMONY"),"Events",IF(OR(UPPER(TRIM('Raw Actuals'!D72))="VENUE",UPPER(TRIM('Raw Actuals'!D72))="VENUE HIRE",UPPER(TRIM('Raw Actuals'!D72))="TRAINING VENUE"),"Venue",IF(OR(UPPER(TRIM('Raw Actuals'!D72))="ADMINISTRATION",UPPER(TRIM('Raw Actuals'!D72))="ADMIN",UPPER(TRIM('Raw Actuals'!D72))="OPERATIONAL SUPPORT"),"Administration","Review"))))))))))</x:f>
        <x:v>Administration</x:v>
      </x:c>
      <x:c r="E72" t="str">
        <x:f>IF(TRIM('Raw Actuals'!E72)="","Missing",PROPER(TRIM('Raw Actuals'!E72)))</x:f>
        <x:v>Northline Transport</x:v>
      </x:c>
      <x:c r="F72" t="str">
        <x:f>TRIM('Raw Actuals'!F72)</x:f>
        <x:v>Administration expense 67</x:v>
      </x:c>
      <x:c r="G72" s="26" t="n">
        <x:v>11685</x:v>
      </x:c>
      <x:c r="H72" t="str">
        <x:f>IF(OR(UPPER(TRIM('Raw Actuals'!H72))="PAID",UPPER(TRIM('Raw Actuals'!H72))="PAID "),"Paid",IF(UPPER(TRIM('Raw Actuals'!H72))="APPROVED","Approved",IF(OR(UPPER(TRIM('Raw Actuals'!H72))="SUBMITTED",UPPER(TRIM('Raw Actuals'!H72))="PENDING"),"Submitted",IF(UPPER(TRIM('Raw Actuals'!H72))="REJECTED","Rejected","Review"))))</x:f>
        <x:v>Rejected</x:v>
      </x:c>
      <x:c r="I72" t="str">
        <x:f>IF(OR(H72="Paid",H72="Approved"),"Include","Exclude")</x:f>
        <x:v>Exclude</x:v>
      </x:c>
      <x:c r="J72" t="str">
        <x:f>IF(B72="","Missing invoice",IF(COUNTIF($B$6:B72,B72)&gt;1,"Duplicate","Unique"))</x:f>
        <x:v>Unique</x:v>
      </x:c>
      <x:c r="K72" s="17" t="str">
        <x:f>IF(A72="","Missing ID; ","")&amp;IF(B72="","Missing invoice; ","")&amp;IF(C72="","Invalid date; ","")&amp;IF(D72="Review","Unmapped category; ","")&amp;IF(E72="Missing","Missing supplier; ","")&amp;IF(OR(G72="",G72&lt;=0),"Invalid amount; ","")&amp;IF(H72="Review","Invalid payment state; ","")&amp;IF(J72="Duplicate","Duplicate invoice; ","")</x:f>
      </x:c>
      <x:c r="L72" t="str">
        <x:f>IF(K72="","Ready","Review")</x:f>
        <x:v>Ready</x:v>
      </x:c>
      <x:c r="M72" s="26" t="n">
        <x:f>IF(AND(L72="Ready",I72="Include"),G72,0)</x:f>
        <x:v>0</x:v>
      </x:c>
    </x:row>
    <x:row r="73">
      <x:c r="A73" t="str">
        <x:f>UPPER(TRIM('Raw Actuals'!A73))</x:f>
        <x:v>TXN-27-0068</x:v>
      </x:c>
      <x:c r="B73" t="str">
        <x:f>UPPER(TRIM('Raw Actuals'!B73))</x:f>
        <x:v>INV-27-0068</x:v>
      </x:c>
      <x:c r="C73" s="25" t="n">
        <x:f>IFERROR(IF(OR(MID(TRIM('Raw Actuals'!C73),5,1)="-",MID(TRIM('Raw Actuals'!C73),5,1)="/"),DATE(VALUE(LEFT(TRIM('Raw Actuals'!C73),4)),VALUE(MID(TRIM('Raw Actuals'!C73),6,2)),VALUE(RIGHT(TRIM('Raw Actuals'!C73),2))),IF(LEN(TRIM('Raw Actuals'!C73))=10,DATE(VALUE(RIGHT(TRIM('Raw Actuals'!C73),4)),VALUE(MID(TRIM('Raw Actuals'!C73),4,2)),VALUE(LEFT(TRIM('Raw Actuals'!C73),2))),IF(LEN(TRIM('Raw Actuals'!C73))=8,DATE(2000+VALUE(RIGHT(TRIM('Raw Actuals'!C73),2)),VALUE(MID(TRIM('Raw Actuals'!C73),4,2)),VALUE(LEFT(TRIM('Raw Actuals'!C73),2))),""))),"")</x:f>
        <x:v>46527</x:v>
      </x:c>
      <x:c r="D73" t="str">
        <x:f>IF(OR(UPPER(TRIM('Raw Actuals'!D73))="CATERING",UPPER(TRIM('Raw Actuals'!D73))="WORKSHOP CATERING",UPPER(TRIM('Raw Actuals'!D73))="MEALS",UPPER(TRIM('Raw Actuals'!D73))="CATERNG"),"Catering",IF(OR(UPPER(TRIM('Raw Actuals'!D73))="TRANSPORT",UPPER(TRIM('Raw Actuals'!D73))="LEARNER TRANSPORT",UPPER(TRIM('Raw Actuals'!D73))="TAXIS",UPPER(TRIM('Raw Actuals'!D73))="LEARNER TAXI"),"Transport",IF(OR(UPPER(TRIM('Raw Actuals'!D73))="FACILITATION",UPPER(TRIM('Raw Actuals'!D73))="CHAMPION PAYMENTS",UPPER(TRIM('Raw Actuals'!D73))="STIPENDS",UPPER(TRIM('Raw Actuals'!D73))="FACILITATOR FEE"),"Facilitation",IF(OR(UPPER(TRIM('Raw Actuals'!D73))="MATERIALS",UPPER(TRIM('Raw Actuals'!D73))="WORKSHOP MATERIALS",UPPER(TRIM('Raw Actuals'!D73))="MATERIALS / SUPPLIES"),"Materials",IF(OR(UPPER(TRIM('Raw Actuals'!D73))="PRINTING",UPPER(TRIM('Raw Actuals'!D73))="PRINT &amp; CONSENT",UPPER(TRIM('Raw Actuals'!D73))="PRINTING AND CONSENT"),"Printing",IF(OR(UPPER(TRIM('Raw Actuals'!D73))="TRAINING",UPPER(TRIM('Raw Actuals'!D73))="CHAMPION TRAINING",UPPER(TRIM('Raw Actuals'!D73))="FACILITATOR TRAINING"),"Training",IF(OR(UPPER(TRIM('Raw Actuals'!D73))="SITE VISITS",UPPER(TRIM('Raw Actuals'!D73))="SITE VISIT",UPPER(TRIM('Raw Actuals'!D73))="TRAVEL AND SITE VISITS"),"Site visits",IF(OR(UPPER(TRIM('Raw Actuals'!D73))="EVENTS",UPPER(TRIM('Raw Actuals'!D73))="RECOGNITION EVENT",UPPER(TRIM('Raw Actuals'!D73))="BADGE CEREMONY"),"Events",IF(OR(UPPER(TRIM('Raw Actuals'!D73))="VENUE",UPPER(TRIM('Raw Actuals'!D73))="VENUE HIRE",UPPER(TRIM('Raw Actuals'!D73))="TRAINING VENUE"),"Venue",IF(OR(UPPER(TRIM('Raw Actuals'!D73))="ADMINISTRATION",UPPER(TRIM('Raw Actuals'!D73))="ADMIN",UPPER(TRIM('Raw Actuals'!D73))="OPERATIONAL SUPPORT"),"Administration","Review"))))))))))</x:f>
        <x:v>Site visits</x:v>
      </x:c>
      <x:c r="E73" t="str">
        <x:f>IF(TRIM('Raw Actuals'!E73)="","Missing",PROPER(TRIM('Raw Actuals'!E73)))</x:f>
        <x:v>Kopano Catering</x:v>
      </x:c>
      <x:c r="F73" t="str">
        <x:f>TRIM('Raw Actuals'!F73)</x:f>
        <x:v>Site visits expense 68</x:v>
      </x:c>
      <x:c r="G73" s="26" t="n">
        <x:v>10985</x:v>
      </x:c>
      <x:c r="H73" t="str">
        <x:f>IF(OR(UPPER(TRIM('Raw Actuals'!H73))="PAID",UPPER(TRIM('Raw Actuals'!H73))="PAID "),"Paid",IF(UPPER(TRIM('Raw Actuals'!H73))="APPROVED","Approved",IF(OR(UPPER(TRIM('Raw Actuals'!H73))="SUBMITTED",UPPER(TRIM('Raw Actuals'!H73))="PENDING"),"Submitted",IF(UPPER(TRIM('Raw Actuals'!H73))="REJECTED","Rejected","Review"))))</x:f>
        <x:v>Paid</x:v>
      </x:c>
      <x:c r="I73" t="str">
        <x:f>IF(OR(H73="Paid",H73="Approved"),"Include","Exclude")</x:f>
        <x:v>Include</x:v>
      </x:c>
      <x:c r="J73" t="str">
        <x:f>IF(B73="","Missing invoice",IF(COUNTIF($B$6:B73,B73)&gt;1,"Duplicate","Unique"))</x:f>
        <x:v>Unique</x:v>
      </x:c>
      <x:c r="K73" s="17" t="str">
        <x:f>IF(A73="","Missing ID; ","")&amp;IF(B73="","Missing invoice; ","")&amp;IF(C73="","Invalid date; ","")&amp;IF(D73="Review","Unmapped category; ","")&amp;IF(E73="Missing","Missing supplier; ","")&amp;IF(OR(G73="",G73&lt;=0),"Invalid amount; ","")&amp;IF(H73="Review","Invalid payment state; ","")&amp;IF(J73="Duplicate","Duplicate invoice; ","")</x:f>
      </x:c>
      <x:c r="L73" t="str">
        <x:f>IF(K73="","Ready","Review")</x:f>
        <x:v>Ready</x:v>
      </x:c>
      <x:c r="M73" s="26" t="n">
        <x:f>IF(AND(L73="Ready",I73="Include"),G73,0)</x:f>
        <x:v>10985</x:v>
      </x:c>
    </x:row>
    <x:row r="74">
      <x:c r="A74" t="str">
        <x:f>UPPER(TRIM('Raw Actuals'!A74))</x:f>
        <x:v>TXN-27-0069</x:v>
      </x:c>
      <x:c r="B74" t="str">
        <x:f>UPPER(TRIM('Raw Actuals'!B74))</x:f>
        <x:v>INV-27-0068</x:v>
      </x:c>
      <x:c r="C74" s="25" t="n">
        <x:f>IFERROR(IF(OR(MID(TRIM('Raw Actuals'!C74),5,1)="-",MID(TRIM('Raw Actuals'!C74),5,1)="/"),DATE(VALUE(LEFT(TRIM('Raw Actuals'!C74),4)),VALUE(MID(TRIM('Raw Actuals'!C74),6,2)),VALUE(RIGHT(TRIM('Raw Actuals'!C74),2))),IF(LEN(TRIM('Raw Actuals'!C74))=10,DATE(VALUE(RIGHT(TRIM('Raw Actuals'!C74),4)),VALUE(MID(TRIM('Raw Actuals'!C74),4,2)),VALUE(LEFT(TRIM('Raw Actuals'!C74),2))),IF(LEN(TRIM('Raw Actuals'!C74))=8,DATE(2000+VALUE(RIGHT(TRIM('Raw Actuals'!C74),2)),VALUE(MID(TRIM('Raw Actuals'!C74),4,2)),VALUE(LEFT(TRIM('Raw Actuals'!C74),2))),""))),"")</x:f>
        <x:v>46481</x:v>
      </x:c>
      <x:c r="D74" t="str">
        <x:f>IF(OR(UPPER(TRIM('Raw Actuals'!D74))="CATERING",UPPER(TRIM('Raw Actuals'!D74))="WORKSHOP CATERING",UPPER(TRIM('Raw Actuals'!D74))="MEALS",UPPER(TRIM('Raw Actuals'!D74))="CATERNG"),"Catering",IF(OR(UPPER(TRIM('Raw Actuals'!D74))="TRANSPORT",UPPER(TRIM('Raw Actuals'!D74))="LEARNER TRANSPORT",UPPER(TRIM('Raw Actuals'!D74))="TAXIS",UPPER(TRIM('Raw Actuals'!D74))="LEARNER TAXI"),"Transport",IF(OR(UPPER(TRIM('Raw Actuals'!D74))="FACILITATION",UPPER(TRIM('Raw Actuals'!D74))="CHAMPION PAYMENTS",UPPER(TRIM('Raw Actuals'!D74))="STIPENDS",UPPER(TRIM('Raw Actuals'!D74))="FACILITATOR FEE"),"Facilitation",IF(OR(UPPER(TRIM('Raw Actuals'!D74))="MATERIALS",UPPER(TRIM('Raw Actuals'!D74))="WORKSHOP MATERIALS",UPPER(TRIM('Raw Actuals'!D74))="MATERIALS / SUPPLIES"),"Materials",IF(OR(UPPER(TRIM('Raw Actuals'!D74))="PRINTING",UPPER(TRIM('Raw Actuals'!D74))="PRINT &amp; CONSENT",UPPER(TRIM('Raw Actuals'!D74))="PRINTING AND CONSENT"),"Printing",IF(OR(UPPER(TRIM('Raw Actuals'!D74))="TRAINING",UPPER(TRIM('Raw Actuals'!D74))="CHAMPION TRAINING",UPPER(TRIM('Raw Actuals'!D74))="FACILITATOR TRAINING"),"Training",IF(OR(UPPER(TRIM('Raw Actuals'!D74))="SITE VISITS",UPPER(TRIM('Raw Actuals'!D74))="SITE VISIT",UPPER(TRIM('Raw Actuals'!D74))="TRAVEL AND SITE VISITS"),"Site visits",IF(OR(UPPER(TRIM('Raw Actuals'!D74))="EVENTS",UPPER(TRIM('Raw Actuals'!D74))="RECOGNITION EVENT",UPPER(TRIM('Raw Actuals'!D74))="BADGE CEREMONY"),"Events",IF(OR(UPPER(TRIM('Raw Actuals'!D74))="VENUE",UPPER(TRIM('Raw Actuals'!D74))="VENUE HIRE",UPPER(TRIM('Raw Actuals'!D74))="TRAINING VENUE"),"Venue",IF(OR(UPPER(TRIM('Raw Actuals'!D74))="ADMINISTRATION",UPPER(TRIM('Raw Actuals'!D74))="ADMIN",UPPER(TRIM('Raw Actuals'!D74))="OPERATIONAL SUPPORT"),"Administration","Review"))))))))))</x:f>
        <x:v>Materials</x:v>
      </x:c>
      <x:c r="E74" t="str">
        <x:f>IF(TRIM('Raw Actuals'!E74)="","Missing",PROPER(TRIM('Raw Actuals'!E74)))</x:f>
        <x:v>Riverside Venue Hire</x:v>
      </x:c>
      <x:c r="F74" t="str">
        <x:f>TRIM('Raw Actuals'!F74)</x:f>
        <x:v>Materials expense 69</x:v>
      </x:c>
      <x:c r="G74" s="26" t="n">
        <x:v>1824</x:v>
      </x:c>
      <x:c r="H74" t="str">
        <x:f>IF(OR(UPPER(TRIM('Raw Actuals'!H74))="PAID",UPPER(TRIM('Raw Actuals'!H74))="PAID "),"Paid",IF(UPPER(TRIM('Raw Actuals'!H74))="APPROVED","Approved",IF(OR(UPPER(TRIM('Raw Actuals'!H74))="SUBMITTED",UPPER(TRIM('Raw Actuals'!H74))="PENDING"),"Submitted",IF(UPPER(TRIM('Raw Actuals'!H74))="REJECTED","Rejected","Review"))))</x:f>
        <x:v>Approved</x:v>
      </x:c>
      <x:c r="I74" t="str">
        <x:f>IF(OR(H74="Paid",H74="Approved"),"Include","Exclude")</x:f>
        <x:v>Include</x:v>
      </x:c>
      <x:c r="J74" t="str">
        <x:f>IF(B74="","Missing invoice",IF(COUNTIF($B$6:B74,B74)&gt;1,"Duplicate","Unique"))</x:f>
        <x:v>Duplicate</x:v>
      </x:c>
      <x:c r="K74" s="17" t="str">
        <x:f>IF(A74="","Missing ID; ","")&amp;IF(B74="","Missing invoice; ","")&amp;IF(C74="","Invalid date; ","")&amp;IF(D74="Review","Unmapped category; ","")&amp;IF(E74="Missing","Missing supplier; ","")&amp;IF(OR(G74="",G74&lt;=0),"Invalid amount; ","")&amp;IF(H74="Review","Invalid payment state; ","")&amp;IF(J74="Duplicate","Duplicate invoice; ","")</x:f>
        <x:v>Duplicate invoice; </x:v>
      </x:c>
      <x:c r="L74" t="str">
        <x:f>IF(K74="","Ready","Review")</x:f>
        <x:v>Review</x:v>
      </x:c>
      <x:c r="M74" s="26" t="n">
        <x:f>IF(AND(L74="Ready",I74="Include"),G74,0)</x:f>
        <x:v>0</x:v>
      </x:c>
    </x:row>
    <x:row r="75">
      <x:c r="A75" t="str">
        <x:f>UPPER(TRIM('Raw Actuals'!A75))</x:f>
        <x:v>TXN-27-0070</x:v>
      </x:c>
      <x:c r="B75" t="str">
        <x:f>UPPER(TRIM('Raw Actuals'!B75))</x:f>
        <x:v>INV-27-0070</x:v>
      </x:c>
      <x:c r="C75" s="25" t="n">
        <x:f>IFERROR(IF(OR(MID(TRIM('Raw Actuals'!C75),5,1)="-",MID(TRIM('Raw Actuals'!C75),5,1)="/"),DATE(VALUE(LEFT(TRIM('Raw Actuals'!C75),4)),VALUE(MID(TRIM('Raw Actuals'!C75),6,2)),VALUE(RIGHT(TRIM('Raw Actuals'!C75),2))),IF(LEN(TRIM('Raw Actuals'!C75))=10,DATE(VALUE(RIGHT(TRIM('Raw Actuals'!C75),4)),VALUE(MID(TRIM('Raw Actuals'!C75),4,2)),VALUE(LEFT(TRIM('Raw Actuals'!C75),2))),IF(LEN(TRIM('Raw Actuals'!C75))=8,DATE(2000+VALUE(RIGHT(TRIM('Raw Actuals'!C75),2)),VALUE(MID(TRIM('Raw Actuals'!C75),4,2)),VALUE(LEFT(TRIM('Raw Actuals'!C75),2))),""))),"")</x:f>
        <x:v>46461</x:v>
      </x:c>
      <x:c r="D75" t="str">
        <x:f>IF(OR(UPPER(TRIM('Raw Actuals'!D75))="CATERING",UPPER(TRIM('Raw Actuals'!D75))="WORKSHOP CATERING",UPPER(TRIM('Raw Actuals'!D75))="MEALS",UPPER(TRIM('Raw Actuals'!D75))="CATERNG"),"Catering",IF(OR(UPPER(TRIM('Raw Actuals'!D75))="TRANSPORT",UPPER(TRIM('Raw Actuals'!D75))="LEARNER TRANSPORT",UPPER(TRIM('Raw Actuals'!D75))="TAXIS",UPPER(TRIM('Raw Actuals'!D75))="LEARNER TAXI"),"Transport",IF(OR(UPPER(TRIM('Raw Actuals'!D75))="FACILITATION",UPPER(TRIM('Raw Actuals'!D75))="CHAMPION PAYMENTS",UPPER(TRIM('Raw Actuals'!D75))="STIPENDS",UPPER(TRIM('Raw Actuals'!D75))="FACILITATOR FEE"),"Facilitation",IF(OR(UPPER(TRIM('Raw Actuals'!D75))="MATERIALS",UPPER(TRIM('Raw Actuals'!D75))="WORKSHOP MATERIALS",UPPER(TRIM('Raw Actuals'!D75))="MATERIALS / SUPPLIES"),"Materials",IF(OR(UPPER(TRIM('Raw Actuals'!D75))="PRINTING",UPPER(TRIM('Raw Actuals'!D75))="PRINT &amp; CONSENT",UPPER(TRIM('Raw Actuals'!D75))="PRINTING AND CONSENT"),"Printing",IF(OR(UPPER(TRIM('Raw Actuals'!D75))="TRAINING",UPPER(TRIM('Raw Actuals'!D75))="CHAMPION TRAINING",UPPER(TRIM('Raw Actuals'!D75))="FACILITATOR TRAINING"),"Training",IF(OR(UPPER(TRIM('Raw Actuals'!D75))="SITE VISITS",UPPER(TRIM('Raw Actuals'!D75))="SITE VISIT",UPPER(TRIM('Raw Actuals'!D75))="TRAVEL AND SITE VISITS"),"Site visits",IF(OR(UPPER(TRIM('Raw Actuals'!D75))="EVENTS",UPPER(TRIM('Raw Actuals'!D75))="RECOGNITION EVENT",UPPER(TRIM('Raw Actuals'!D75))="BADGE CEREMONY"),"Events",IF(OR(UPPER(TRIM('Raw Actuals'!D75))="VENUE",UPPER(TRIM('Raw Actuals'!D75))="VENUE HIRE",UPPER(TRIM('Raw Actuals'!D75))="TRAINING VENUE"),"Venue",IF(OR(UPPER(TRIM('Raw Actuals'!D75))="ADMINISTRATION",UPPER(TRIM('Raw Actuals'!D75))="ADMIN",UPPER(TRIM('Raw Actuals'!D75))="OPERATIONAL SUPPORT"),"Administration","Review"))))))))))</x:f>
        <x:v>Catering</x:v>
      </x:c>
      <x:c r="E75" t="str">
        <x:f>IF(TRIM('Raw Actuals'!E75)="","Missing",PROPER(TRIM('Raw Actuals'!E75)))</x:f>
        <x:v>Bright Print Studio</x:v>
      </x:c>
      <x:c r="F75" t="str">
        <x:f>TRIM('Raw Actuals'!F75)</x:f>
        <x:v>Catering expense 70</x:v>
      </x:c>
      <x:c r="G75" s="26" t="n">
        <x:v>10602</x:v>
      </x:c>
      <x:c r="H75" t="str">
        <x:f>IF(OR(UPPER(TRIM('Raw Actuals'!H75))="PAID",UPPER(TRIM('Raw Actuals'!H75))="PAID "),"Paid",IF(UPPER(TRIM('Raw Actuals'!H75))="APPROVED","Approved",IF(OR(UPPER(TRIM('Raw Actuals'!H75))="SUBMITTED",UPPER(TRIM('Raw Actuals'!H75))="PENDING"),"Submitted",IF(UPPER(TRIM('Raw Actuals'!H75))="REJECTED","Rejected","Review"))))</x:f>
        <x:v>Submitted</x:v>
      </x:c>
      <x:c r="I75" t="str">
        <x:f>IF(OR(H75="Paid",H75="Approved"),"Include","Exclude")</x:f>
        <x:v>Exclude</x:v>
      </x:c>
      <x:c r="J75" t="str">
        <x:f>IF(B75="","Missing invoice",IF(COUNTIF($B$6:B75,B75)&gt;1,"Duplicate","Unique"))</x:f>
        <x:v>Unique</x:v>
      </x:c>
      <x:c r="K75" s="17" t="str">
        <x:f>IF(A75="","Missing ID; ","")&amp;IF(B75="","Missing invoice; ","")&amp;IF(C75="","Invalid date; ","")&amp;IF(D75="Review","Unmapped category; ","")&amp;IF(E75="Missing","Missing supplier; ","")&amp;IF(OR(G75="",G75&lt;=0),"Invalid amount; ","")&amp;IF(H75="Review","Invalid payment state; ","")&amp;IF(J75="Duplicate","Duplicate invoice; ","")</x:f>
      </x:c>
      <x:c r="L75" t="str">
        <x:f>IF(K75="","Ready","Review")</x:f>
        <x:v>Ready</x:v>
      </x:c>
      <x:c r="M75" s="26" t="n">
        <x:f>IF(AND(L75="Ready",I75="Include"),G75,0)</x:f>
        <x:v>0</x:v>
      </x:c>
    </x:row>
    <x:row r="76">
      <x:c r="A76" t="str">
        <x:f>UPPER(TRIM('Raw Actuals'!A76))</x:f>
        <x:v>TXN-27-0071</x:v>
      </x:c>
      <x:c r="B76" t="str">
        <x:f>UPPER(TRIM('Raw Actuals'!B76))</x:f>
        <x:v>INV-27-0071</x:v>
      </x:c>
      <x:c r="C76" s="25" t="n">
        <x:f>IFERROR(IF(OR(MID(TRIM('Raw Actuals'!C76),5,1)="-",MID(TRIM('Raw Actuals'!C76),5,1)="/"),DATE(VALUE(LEFT(TRIM('Raw Actuals'!C76),4)),VALUE(MID(TRIM('Raw Actuals'!C76),6,2)),VALUE(RIGHT(TRIM('Raw Actuals'!C76),2))),IF(LEN(TRIM('Raw Actuals'!C76))=10,DATE(VALUE(RIGHT(TRIM('Raw Actuals'!C76),4)),VALUE(MID(TRIM('Raw Actuals'!C76),4,2)),VALUE(LEFT(TRIM('Raw Actuals'!C76),2))),IF(LEN(TRIM('Raw Actuals'!C76))=8,DATE(2000+VALUE(RIGHT(TRIM('Raw Actuals'!C76),2)),VALUE(MID(TRIM('Raw Actuals'!C76),4,2)),VALUE(LEFT(TRIM('Raw Actuals'!C76),2))),""))),"")</x:f>
        <x:v>46444</x:v>
      </x:c>
      <x:c r="D76" t="str">
        <x:f>IF(OR(UPPER(TRIM('Raw Actuals'!D76))="CATERING",UPPER(TRIM('Raw Actuals'!D76))="WORKSHOP CATERING",UPPER(TRIM('Raw Actuals'!D76))="MEALS",UPPER(TRIM('Raw Actuals'!D76))="CATERNG"),"Catering",IF(OR(UPPER(TRIM('Raw Actuals'!D76))="TRANSPORT",UPPER(TRIM('Raw Actuals'!D76))="LEARNER TRANSPORT",UPPER(TRIM('Raw Actuals'!D76))="TAXIS",UPPER(TRIM('Raw Actuals'!D76))="LEARNER TAXI"),"Transport",IF(OR(UPPER(TRIM('Raw Actuals'!D76))="FACILITATION",UPPER(TRIM('Raw Actuals'!D76))="CHAMPION PAYMENTS",UPPER(TRIM('Raw Actuals'!D76))="STIPENDS",UPPER(TRIM('Raw Actuals'!D76))="FACILITATOR FEE"),"Facilitation",IF(OR(UPPER(TRIM('Raw Actuals'!D76))="MATERIALS",UPPER(TRIM('Raw Actuals'!D76))="WORKSHOP MATERIALS",UPPER(TRIM('Raw Actuals'!D76))="MATERIALS / SUPPLIES"),"Materials",IF(OR(UPPER(TRIM('Raw Actuals'!D76))="PRINTING",UPPER(TRIM('Raw Actuals'!D76))="PRINT &amp; CONSENT",UPPER(TRIM('Raw Actuals'!D76))="PRINTING AND CONSENT"),"Printing",IF(OR(UPPER(TRIM('Raw Actuals'!D76))="TRAINING",UPPER(TRIM('Raw Actuals'!D76))="CHAMPION TRAINING",UPPER(TRIM('Raw Actuals'!D76))="FACILITATOR TRAINING"),"Training",IF(OR(UPPER(TRIM('Raw Actuals'!D76))="SITE VISITS",UPPER(TRIM('Raw Actuals'!D76))="SITE VISIT",UPPER(TRIM('Raw Actuals'!D76))="TRAVEL AND SITE VISITS"),"Site visits",IF(OR(UPPER(TRIM('Raw Actuals'!D76))="EVENTS",UPPER(TRIM('Raw Actuals'!D76))="RECOGNITION EVENT",UPPER(TRIM('Raw Actuals'!D76))="BADGE CEREMONY"),"Events",IF(OR(UPPER(TRIM('Raw Actuals'!D76))="VENUE",UPPER(TRIM('Raw Actuals'!D76))="VENUE HIRE",UPPER(TRIM('Raw Actuals'!D76))="TRAINING VENUE"),"Venue",IF(OR(UPPER(TRIM('Raw Actuals'!D76))="ADMINISTRATION",UPPER(TRIM('Raw Actuals'!D76))="ADMIN",UPPER(TRIM('Raw Actuals'!D76))="OPERATIONAL SUPPORT"),"Administration","Review"))))))))))</x:f>
        <x:v>Events</x:v>
      </x:c>
      <x:c r="E76" t="str">
        <x:f>IF(TRIM('Raw Actuals'!E76)="","Missing",PROPER(TRIM('Raw Actuals'!E76)))</x:f>
        <x:v>Thuto Facilitation</x:v>
      </x:c>
      <x:c r="F76" t="str">
        <x:f>TRIM('Raw Actuals'!F76)</x:f>
        <x:v>Events expense 71</x:v>
      </x:c>
      <x:c r="G76" s="26" t="n">
        <x:v>10741</x:v>
      </x:c>
      <x:c r="H76" t="str">
        <x:f>IF(OR(UPPER(TRIM('Raw Actuals'!H76))="PAID",UPPER(TRIM('Raw Actuals'!H76))="PAID "),"Paid",IF(UPPER(TRIM('Raw Actuals'!H76))="APPROVED","Approved",IF(OR(UPPER(TRIM('Raw Actuals'!H76))="SUBMITTED",UPPER(TRIM('Raw Actuals'!H76))="PENDING"),"Submitted",IF(UPPER(TRIM('Raw Actuals'!H76))="REJECTED","Rejected","Review"))))</x:f>
        <x:v>Rejected</x:v>
      </x:c>
      <x:c r="I76" t="str">
        <x:f>IF(OR(H76="Paid",H76="Approved"),"Include","Exclude")</x:f>
        <x:v>Exclude</x:v>
      </x:c>
      <x:c r="J76" t="str">
        <x:f>IF(B76="","Missing invoice",IF(COUNTIF($B$6:B76,B76)&gt;1,"Duplicate","Unique"))</x:f>
        <x:v>Unique</x:v>
      </x:c>
      <x:c r="K76" s="17" t="str">
        <x:f>IF(A76="","Missing ID; ","")&amp;IF(B76="","Missing invoice; ","")&amp;IF(C76="","Invalid date; ","")&amp;IF(D76="Review","Unmapped category; ","")&amp;IF(E76="Missing","Missing supplier; ","")&amp;IF(OR(G76="",G76&lt;=0),"Invalid amount; ","")&amp;IF(H76="Review","Invalid payment state; ","")&amp;IF(J76="Duplicate","Duplicate invoice; ","")</x:f>
      </x:c>
      <x:c r="L76" t="str">
        <x:f>IF(K76="","Ready","Review")</x:f>
        <x:v>Ready</x:v>
      </x:c>
      <x:c r="M76" s="26" t="n">
        <x:f>IF(AND(L76="Ready",I76="Include"),G76,0)</x:f>
        <x:v>0</x:v>
      </x:c>
    </x:row>
    <x:row r="77">
      <x:c r="A77" t="str">
        <x:f>UPPER(TRIM('Raw Actuals'!A77))</x:f>
        <x:v>TXN-27-0072</x:v>
      </x:c>
      <x:c r="B77" t="str">
        <x:f>UPPER(TRIM('Raw Actuals'!B77))</x:f>
        <x:v>INV-27-0072</x:v>
      </x:c>
      <x:c r="C77" s="25" t="n">
        <x:f>IFERROR(IF(OR(MID(TRIM('Raw Actuals'!C77),5,1)="-",MID(TRIM('Raw Actuals'!C77),5,1)="/"),DATE(VALUE(LEFT(TRIM('Raw Actuals'!C77),4)),VALUE(MID(TRIM('Raw Actuals'!C77),6,2)),VALUE(RIGHT(TRIM('Raw Actuals'!C77),2))),IF(LEN(TRIM('Raw Actuals'!C77))=10,DATE(VALUE(RIGHT(TRIM('Raw Actuals'!C77),4)),VALUE(MID(TRIM('Raw Actuals'!C77),4,2)),VALUE(LEFT(TRIM('Raw Actuals'!C77),2))),IF(LEN(TRIM('Raw Actuals'!C77))=8,DATE(2000+VALUE(RIGHT(TRIM('Raw Actuals'!C77),2)),VALUE(MID(TRIM('Raw Actuals'!C77),4,2)),VALUE(LEFT(TRIM('Raw Actuals'!C77),2))),""))),"")</x:f>
        <x:v>46397</x:v>
      </x:c>
      <x:c r="D77" t="str">
        <x:f>IF(OR(UPPER(TRIM('Raw Actuals'!D77))="CATERING",UPPER(TRIM('Raw Actuals'!D77))="WORKSHOP CATERING",UPPER(TRIM('Raw Actuals'!D77))="MEALS",UPPER(TRIM('Raw Actuals'!D77))="CATERNG"),"Catering",IF(OR(UPPER(TRIM('Raw Actuals'!D77))="TRANSPORT",UPPER(TRIM('Raw Actuals'!D77))="LEARNER TRANSPORT",UPPER(TRIM('Raw Actuals'!D77))="TAXIS",UPPER(TRIM('Raw Actuals'!D77))="LEARNER TAXI"),"Transport",IF(OR(UPPER(TRIM('Raw Actuals'!D77))="FACILITATION",UPPER(TRIM('Raw Actuals'!D77))="CHAMPION PAYMENTS",UPPER(TRIM('Raw Actuals'!D77))="STIPENDS",UPPER(TRIM('Raw Actuals'!D77))="FACILITATOR FEE"),"Facilitation",IF(OR(UPPER(TRIM('Raw Actuals'!D77))="MATERIALS",UPPER(TRIM('Raw Actuals'!D77))="WORKSHOP MATERIALS",UPPER(TRIM('Raw Actuals'!D77))="MATERIALS / SUPPLIES"),"Materials",IF(OR(UPPER(TRIM('Raw Actuals'!D77))="PRINTING",UPPER(TRIM('Raw Actuals'!D77))="PRINT &amp; CONSENT",UPPER(TRIM('Raw Actuals'!D77))="PRINTING AND CONSENT"),"Printing",IF(OR(UPPER(TRIM('Raw Actuals'!D77))="TRAINING",UPPER(TRIM('Raw Actuals'!D77))="CHAMPION TRAINING",UPPER(TRIM('Raw Actuals'!D77))="FACILITATOR TRAINING"),"Training",IF(OR(UPPER(TRIM('Raw Actuals'!D77))="SITE VISITS",UPPER(TRIM('Raw Actuals'!D77))="SITE VISIT",UPPER(TRIM('Raw Actuals'!D77))="TRAVEL AND SITE VISITS"),"Site visits",IF(OR(UPPER(TRIM('Raw Actuals'!D77))="EVENTS",UPPER(TRIM('Raw Actuals'!D77))="RECOGNITION EVENT",UPPER(TRIM('Raw Actuals'!D77))="BADGE CEREMONY"),"Events",IF(OR(UPPER(TRIM('Raw Actuals'!D77))="VENUE",UPPER(TRIM('Raw Actuals'!D77))="VENUE HIRE",UPPER(TRIM('Raw Actuals'!D77))="TRAINING VENUE"),"Venue",IF(OR(UPPER(TRIM('Raw Actuals'!D77))="ADMINISTRATION",UPPER(TRIM('Raw Actuals'!D77))="ADMIN",UPPER(TRIM('Raw Actuals'!D77))="OPERATIONAL SUPPORT"),"Administration","Review"))))))))))</x:f>
        <x:v>Printing</x:v>
      </x:c>
      <x:c r="E77" t="str">
        <x:f>IF(TRIM('Raw Actuals'!E77)="","Missing",PROPER(TRIM('Raw Actuals'!E77)))</x:f>
        <x:v>Moya Supplies</x:v>
      </x:c>
      <x:c r="F77" t="str">
        <x:f>TRIM('Raw Actuals'!F77)</x:f>
        <x:v>Printing expense 72</x:v>
      </x:c>
      <x:c r="G77" s="26" t="n">
        <x:v>4336</x:v>
      </x:c>
      <x:c r="H77" t="str">
        <x:f>IF(OR(UPPER(TRIM('Raw Actuals'!H77))="PAID",UPPER(TRIM('Raw Actuals'!H77))="PAID "),"Paid",IF(UPPER(TRIM('Raw Actuals'!H77))="APPROVED","Approved",IF(OR(UPPER(TRIM('Raw Actuals'!H77))="SUBMITTED",UPPER(TRIM('Raw Actuals'!H77))="PENDING"),"Submitted",IF(UPPER(TRIM('Raw Actuals'!H77))="REJECTED","Rejected","Review"))))</x:f>
        <x:v>Paid</x:v>
      </x:c>
      <x:c r="I77" t="str">
        <x:f>IF(OR(H77="Paid",H77="Approved"),"Include","Exclude")</x:f>
        <x:v>Include</x:v>
      </x:c>
      <x:c r="J77" t="str">
        <x:f>IF(B77="","Missing invoice",IF(COUNTIF($B$6:B77,B77)&gt;1,"Duplicate","Unique"))</x:f>
        <x:v>Unique</x:v>
      </x:c>
      <x:c r="K77" s="17" t="str">
        <x:f>IF(A77="","Missing ID; ","")&amp;IF(B77="","Missing invoice; ","")&amp;IF(C77="","Invalid date; ","")&amp;IF(D77="Review","Unmapped category; ","")&amp;IF(E77="Missing","Missing supplier; ","")&amp;IF(OR(G77="",G77&lt;=0),"Invalid amount; ","")&amp;IF(H77="Review","Invalid payment state; ","")&amp;IF(J77="Duplicate","Duplicate invoice; ","")</x:f>
      </x:c>
      <x:c r="L77" t="str">
        <x:f>IF(K77="","Ready","Review")</x:f>
        <x:v>Ready</x:v>
      </x:c>
      <x:c r="M77" s="26" t="n">
        <x:f>IF(AND(L77="Ready",I77="Include"),G77,0)</x:f>
        <x:v>4336</x:v>
      </x:c>
    </x:row>
    <x:row r="78">
      <x:c r="A78" t="str">
        <x:f>UPPER(TRIM('Raw Actuals'!A78))</x:f>
        <x:v>TXN-27-0073</x:v>
      </x:c>
      <x:c r="B78" t="str">
        <x:f>UPPER(TRIM('Raw Actuals'!B78))</x:f>
        <x:v>INV-27-0073</x:v>
      </x:c>
      <x:c r="C78" s="25" t="n">
        <x:f>IFERROR(IF(OR(MID(TRIM('Raw Actuals'!C78),5,1)="-",MID(TRIM('Raw Actuals'!C78),5,1)="/"),DATE(VALUE(LEFT(TRIM('Raw Actuals'!C78),4)),VALUE(MID(TRIM('Raw Actuals'!C78),6,2)),VALUE(RIGHT(TRIM('Raw Actuals'!C78),2))),IF(LEN(TRIM('Raw Actuals'!C78))=10,DATE(VALUE(RIGHT(TRIM('Raw Actuals'!C78),4)),VALUE(MID(TRIM('Raw Actuals'!C78),4,2)),VALUE(LEFT(TRIM('Raw Actuals'!C78),2))),IF(LEN(TRIM('Raw Actuals'!C78))=8,DATE(2000+VALUE(RIGHT(TRIM('Raw Actuals'!C78),2)),VALUE(MID(TRIM('Raw Actuals'!C78),4,2)),VALUE(LEFT(TRIM('Raw Actuals'!C78),2))),""))),"")</x:f>
        <x:v>46559</x:v>
      </x:c>
      <x:c r="D78" t="str">
        <x:f>IF(OR(UPPER(TRIM('Raw Actuals'!D78))="CATERING",UPPER(TRIM('Raw Actuals'!D78))="WORKSHOP CATERING",UPPER(TRIM('Raw Actuals'!D78))="MEALS",UPPER(TRIM('Raw Actuals'!D78))="CATERNG"),"Catering",IF(OR(UPPER(TRIM('Raw Actuals'!D78))="TRANSPORT",UPPER(TRIM('Raw Actuals'!D78))="LEARNER TRANSPORT",UPPER(TRIM('Raw Actuals'!D78))="TAXIS",UPPER(TRIM('Raw Actuals'!D78))="LEARNER TAXI"),"Transport",IF(OR(UPPER(TRIM('Raw Actuals'!D78))="FACILITATION",UPPER(TRIM('Raw Actuals'!D78))="CHAMPION PAYMENTS",UPPER(TRIM('Raw Actuals'!D78))="STIPENDS",UPPER(TRIM('Raw Actuals'!D78))="FACILITATOR FEE"),"Facilitation",IF(OR(UPPER(TRIM('Raw Actuals'!D78))="MATERIALS",UPPER(TRIM('Raw Actuals'!D78))="WORKSHOP MATERIALS",UPPER(TRIM('Raw Actuals'!D78))="MATERIALS / SUPPLIES"),"Materials",IF(OR(UPPER(TRIM('Raw Actuals'!D78))="PRINTING",UPPER(TRIM('Raw Actuals'!D78))="PRINT &amp; CONSENT",UPPER(TRIM('Raw Actuals'!D78))="PRINTING AND CONSENT"),"Printing",IF(OR(UPPER(TRIM('Raw Actuals'!D78))="TRAINING",UPPER(TRIM('Raw Actuals'!D78))="CHAMPION TRAINING",UPPER(TRIM('Raw Actuals'!D78))="FACILITATOR TRAINING"),"Training",IF(OR(UPPER(TRIM('Raw Actuals'!D78))="SITE VISITS",UPPER(TRIM('Raw Actuals'!D78))="SITE VISIT",UPPER(TRIM('Raw Actuals'!D78))="TRAVEL AND SITE VISITS"),"Site visits",IF(OR(UPPER(TRIM('Raw Actuals'!D78))="EVENTS",UPPER(TRIM('Raw Actuals'!D78))="RECOGNITION EVENT",UPPER(TRIM('Raw Actuals'!D78))="BADGE CEREMONY"),"Events",IF(OR(UPPER(TRIM('Raw Actuals'!D78))="VENUE",UPPER(TRIM('Raw Actuals'!D78))="VENUE HIRE",UPPER(TRIM('Raw Actuals'!D78))="TRAINING VENUE"),"Venue",IF(OR(UPPER(TRIM('Raw Actuals'!D78))="ADMINISTRATION",UPPER(TRIM('Raw Actuals'!D78))="ADMIN",UPPER(TRIM('Raw Actuals'!D78))="OPERATIONAL SUPPORT"),"Administration","Review"))))))))))</x:f>
        <x:v>Transport</x:v>
      </x:c>
      <x:c r="E78" t="str">
        <x:f>IF(TRIM('Raw Actuals'!E78)="","Missing",PROPER(TRIM('Raw Actuals'!E78)))</x:f>
        <x:v>Northline Transport</x:v>
      </x:c>
      <x:c r="F78" t="str">
        <x:f>TRIM('Raw Actuals'!F78)</x:f>
        <x:v>Transport expense 73</x:v>
      </x:c>
      <x:c r="G78" s="26" t="n">
        <x:v>11592</x:v>
      </x:c>
      <x:c r="H78" t="str">
        <x:f>IF(OR(UPPER(TRIM('Raw Actuals'!H78))="PAID",UPPER(TRIM('Raw Actuals'!H78))="PAID "),"Paid",IF(UPPER(TRIM('Raw Actuals'!H78))="APPROVED","Approved",IF(OR(UPPER(TRIM('Raw Actuals'!H78))="SUBMITTED",UPPER(TRIM('Raw Actuals'!H78))="PENDING"),"Submitted",IF(UPPER(TRIM('Raw Actuals'!H78))="REJECTED","Rejected","Review"))))</x:f>
        <x:v>Approved</x:v>
      </x:c>
      <x:c r="I78" t="str">
        <x:f>IF(OR(H78="Paid",H78="Approved"),"Include","Exclude")</x:f>
        <x:v>Include</x:v>
      </x:c>
      <x:c r="J78" t="str">
        <x:f>IF(B78="","Missing invoice",IF(COUNTIF($B$6:B78,B78)&gt;1,"Duplicate","Unique"))</x:f>
        <x:v>Unique</x:v>
      </x:c>
      <x:c r="K78" s="17" t="str">
        <x:f>IF(A78="","Missing ID; ","")&amp;IF(B78="","Missing invoice; ","")&amp;IF(C78="","Invalid date; ","")&amp;IF(D78="Review","Unmapped category; ","")&amp;IF(E78="Missing","Missing supplier; ","")&amp;IF(OR(G78="",G78&lt;=0),"Invalid amount; ","")&amp;IF(H78="Review","Invalid payment state; ","")&amp;IF(J78="Duplicate","Duplicate invoice; ","")</x:f>
      </x:c>
      <x:c r="L78" t="str">
        <x:f>IF(K78="","Ready","Review")</x:f>
        <x:v>Ready</x:v>
      </x:c>
      <x:c r="M78" s="26" t="n">
        <x:f>IF(AND(L78="Ready",I78="Include"),G78,0)</x:f>
        <x:v>11592</x:v>
      </x:c>
    </x:row>
    <x:row r="79">
      <x:c r="A79" t="str">
        <x:f>UPPER(TRIM('Raw Actuals'!A79))</x:f>
        <x:v>TXN-27-0074</x:v>
      </x:c>
      <x:c r="B79" t="str">
        <x:f>UPPER(TRIM('Raw Actuals'!B79))</x:f>
        <x:v>INV-27-0074</x:v>
      </x:c>
      <x:c r="C79" s="25" t="n">
        <x:f>IFERROR(IF(OR(MID(TRIM('Raw Actuals'!C79),5,1)="-",MID(TRIM('Raw Actuals'!C79),5,1)="/"),DATE(VALUE(LEFT(TRIM('Raw Actuals'!C79),4)),VALUE(MID(TRIM('Raw Actuals'!C79),6,2)),VALUE(RIGHT(TRIM('Raw Actuals'!C79),2))),IF(LEN(TRIM('Raw Actuals'!C79))=10,DATE(VALUE(RIGHT(TRIM('Raw Actuals'!C79),4)),VALUE(MID(TRIM('Raw Actuals'!C79),4,2)),VALUE(LEFT(TRIM('Raw Actuals'!C79),2))),IF(LEN(TRIM('Raw Actuals'!C79))=8,DATE(2000+VALUE(RIGHT(TRIM('Raw Actuals'!C79),2)),VALUE(MID(TRIM('Raw Actuals'!C79),4,2)),VALUE(LEFT(TRIM('Raw Actuals'!C79),2))),""))),"")</x:f>
        <x:v>46512</x:v>
      </x:c>
      <x:c r="D79" t="str">
        <x:f>IF(OR(UPPER(TRIM('Raw Actuals'!D79))="CATERING",UPPER(TRIM('Raw Actuals'!D79))="WORKSHOP CATERING",UPPER(TRIM('Raw Actuals'!D79))="MEALS",UPPER(TRIM('Raw Actuals'!D79))="CATERNG"),"Catering",IF(OR(UPPER(TRIM('Raw Actuals'!D79))="TRANSPORT",UPPER(TRIM('Raw Actuals'!D79))="LEARNER TRANSPORT",UPPER(TRIM('Raw Actuals'!D79))="TAXIS",UPPER(TRIM('Raw Actuals'!D79))="LEARNER TAXI"),"Transport",IF(OR(UPPER(TRIM('Raw Actuals'!D79))="FACILITATION",UPPER(TRIM('Raw Actuals'!D79))="CHAMPION PAYMENTS",UPPER(TRIM('Raw Actuals'!D79))="STIPENDS",UPPER(TRIM('Raw Actuals'!D79))="FACILITATOR FEE"),"Facilitation",IF(OR(UPPER(TRIM('Raw Actuals'!D79))="MATERIALS",UPPER(TRIM('Raw Actuals'!D79))="WORKSHOP MATERIALS",UPPER(TRIM('Raw Actuals'!D79))="MATERIALS / SUPPLIES"),"Materials",IF(OR(UPPER(TRIM('Raw Actuals'!D79))="PRINTING",UPPER(TRIM('Raw Actuals'!D79))="PRINT &amp; CONSENT",UPPER(TRIM('Raw Actuals'!D79))="PRINTING AND CONSENT"),"Printing",IF(OR(UPPER(TRIM('Raw Actuals'!D79))="TRAINING",UPPER(TRIM('Raw Actuals'!D79))="CHAMPION TRAINING",UPPER(TRIM('Raw Actuals'!D79))="FACILITATOR TRAINING"),"Training",IF(OR(UPPER(TRIM('Raw Actuals'!D79))="SITE VISITS",UPPER(TRIM('Raw Actuals'!D79))="SITE VISIT",UPPER(TRIM('Raw Actuals'!D79))="TRAVEL AND SITE VISITS"),"Site visits",IF(OR(UPPER(TRIM('Raw Actuals'!D79))="EVENTS",UPPER(TRIM('Raw Actuals'!D79))="RECOGNITION EVENT",UPPER(TRIM('Raw Actuals'!D79))="BADGE CEREMONY"),"Events",IF(OR(UPPER(TRIM('Raw Actuals'!D79))="VENUE",UPPER(TRIM('Raw Actuals'!D79))="VENUE HIRE",UPPER(TRIM('Raw Actuals'!D79))="TRAINING VENUE"),"Venue",IF(OR(UPPER(TRIM('Raw Actuals'!D79))="ADMINISTRATION",UPPER(TRIM('Raw Actuals'!D79))="ADMIN",UPPER(TRIM('Raw Actuals'!D79))="OPERATIONAL SUPPORT"),"Administration","Review"))))))))))</x:f>
        <x:v>Venue</x:v>
      </x:c>
      <x:c r="E79" t="str">
        <x:f>IF(TRIM('Raw Actuals'!E79)="","Missing",PROPER(TRIM('Raw Actuals'!E79)))</x:f>
        <x:v>Kopano Catering</x:v>
      </x:c>
      <x:c r="F79" t="str">
        <x:f>TRIM('Raw Actuals'!F79)</x:f>
        <x:v>Venue expense 74</x:v>
      </x:c>
      <x:c r="G79" s="26" t="n">
        <x:v>10553</x:v>
      </x:c>
      <x:c r="H79" t="str">
        <x:f>IF(OR(UPPER(TRIM('Raw Actuals'!H79))="PAID",UPPER(TRIM('Raw Actuals'!H79))="PAID "),"Paid",IF(UPPER(TRIM('Raw Actuals'!H79))="APPROVED","Approved",IF(OR(UPPER(TRIM('Raw Actuals'!H79))="SUBMITTED",UPPER(TRIM('Raw Actuals'!H79))="PENDING"),"Submitted",IF(UPPER(TRIM('Raw Actuals'!H79))="REJECTED","Rejected","Review"))))</x:f>
        <x:v>Submitted</x:v>
      </x:c>
      <x:c r="I79" t="str">
        <x:f>IF(OR(H79="Paid",H79="Approved"),"Include","Exclude")</x:f>
        <x:v>Exclude</x:v>
      </x:c>
      <x:c r="J79" t="str">
        <x:f>IF(B79="","Missing invoice",IF(COUNTIF($B$6:B79,B79)&gt;1,"Duplicate","Unique"))</x:f>
        <x:v>Unique</x:v>
      </x:c>
      <x:c r="K79" s="17" t="str">
        <x:f>IF(A79="","Missing ID; ","")&amp;IF(B79="","Missing invoice; ","")&amp;IF(C79="","Invalid date; ","")&amp;IF(D79="Review","Unmapped category; ","")&amp;IF(E79="Missing","Missing supplier; ","")&amp;IF(OR(G79="",G79&lt;=0),"Invalid amount; ","")&amp;IF(H79="Review","Invalid payment state; ","")&amp;IF(J79="Duplicate","Duplicate invoice; ","")</x:f>
      </x:c>
      <x:c r="L79" t="str">
        <x:f>IF(K79="","Ready","Review")</x:f>
        <x:v>Ready</x:v>
      </x:c>
      <x:c r="M79" s="26" t="n">
        <x:f>IF(AND(L79="Ready",I79="Include"),G79,0)</x:f>
        <x:v>0</x:v>
      </x:c>
    </x:row>
    <x:row r="80">
      <x:c r="A80" t="str">
        <x:f>UPPER(TRIM('Raw Actuals'!A80))</x:f>
        <x:v>TXN-27-0075</x:v>
      </x:c>
      <x:c r="B80" t="str">
        <x:f>UPPER(TRIM('Raw Actuals'!B80))</x:f>
        <x:v>INV-27-0075</x:v>
      </x:c>
      <x:c r="C80" s="25" t="n">
        <x:f>IFERROR(IF(OR(MID(TRIM('Raw Actuals'!C80),5,1)="-",MID(TRIM('Raw Actuals'!C80),5,1)="/"),DATE(VALUE(LEFT(TRIM('Raw Actuals'!C80),4)),VALUE(MID(TRIM('Raw Actuals'!C80),6,2)),VALUE(RIGHT(TRIM('Raw Actuals'!C80),2))),IF(LEN(TRIM('Raw Actuals'!C80))=10,DATE(VALUE(RIGHT(TRIM('Raw Actuals'!C80),4)),VALUE(MID(TRIM('Raw Actuals'!C80),4,2)),VALUE(LEFT(TRIM('Raw Actuals'!C80),2))),IF(LEN(TRIM('Raw Actuals'!C80))=8,DATE(2000+VALUE(RIGHT(TRIM('Raw Actuals'!C80),2)),VALUE(MID(TRIM('Raw Actuals'!C80),4,2)),VALUE(LEFT(TRIM('Raw Actuals'!C80),2))),""))),"")</x:f>
        <x:v>46493</x:v>
      </x:c>
      <x:c r="D80" t="str">
        <x:f>IF(OR(UPPER(TRIM('Raw Actuals'!D80))="CATERING",UPPER(TRIM('Raw Actuals'!D80))="WORKSHOP CATERING",UPPER(TRIM('Raw Actuals'!D80))="MEALS",UPPER(TRIM('Raw Actuals'!D80))="CATERNG"),"Catering",IF(OR(UPPER(TRIM('Raw Actuals'!D80))="TRANSPORT",UPPER(TRIM('Raw Actuals'!D80))="LEARNER TRANSPORT",UPPER(TRIM('Raw Actuals'!D80))="TAXIS",UPPER(TRIM('Raw Actuals'!D80))="LEARNER TAXI"),"Transport",IF(OR(UPPER(TRIM('Raw Actuals'!D80))="FACILITATION",UPPER(TRIM('Raw Actuals'!D80))="CHAMPION PAYMENTS",UPPER(TRIM('Raw Actuals'!D80))="STIPENDS",UPPER(TRIM('Raw Actuals'!D80))="FACILITATOR FEE"),"Facilitation",IF(OR(UPPER(TRIM('Raw Actuals'!D80))="MATERIALS",UPPER(TRIM('Raw Actuals'!D80))="WORKSHOP MATERIALS",UPPER(TRIM('Raw Actuals'!D80))="MATERIALS / SUPPLIES"),"Materials",IF(OR(UPPER(TRIM('Raw Actuals'!D80))="PRINTING",UPPER(TRIM('Raw Actuals'!D80))="PRINT &amp; CONSENT",UPPER(TRIM('Raw Actuals'!D80))="PRINTING AND CONSENT"),"Printing",IF(OR(UPPER(TRIM('Raw Actuals'!D80))="TRAINING",UPPER(TRIM('Raw Actuals'!D80))="CHAMPION TRAINING",UPPER(TRIM('Raw Actuals'!D80))="FACILITATOR TRAINING"),"Training",IF(OR(UPPER(TRIM('Raw Actuals'!D80))="SITE VISITS",UPPER(TRIM('Raw Actuals'!D80))="SITE VISIT",UPPER(TRIM('Raw Actuals'!D80))="TRAVEL AND SITE VISITS"),"Site visits",IF(OR(UPPER(TRIM('Raw Actuals'!D80))="EVENTS",UPPER(TRIM('Raw Actuals'!D80))="RECOGNITION EVENT",UPPER(TRIM('Raw Actuals'!D80))="BADGE CEREMONY"),"Events",IF(OR(UPPER(TRIM('Raw Actuals'!D80))="VENUE",UPPER(TRIM('Raw Actuals'!D80))="VENUE HIRE",UPPER(TRIM('Raw Actuals'!D80))="TRAINING VENUE"),"Venue",IF(OR(UPPER(TRIM('Raw Actuals'!D80))="ADMINISTRATION",UPPER(TRIM('Raw Actuals'!D80))="ADMIN",UPPER(TRIM('Raw Actuals'!D80))="OPERATIONAL SUPPORT"),"Administration","Review"))))))))))</x:f>
        <x:v>Training</x:v>
      </x:c>
      <x:c r="E80" t="str">
        <x:f>IF(TRIM('Raw Actuals'!E80)="","Missing",PROPER(TRIM('Raw Actuals'!E80)))</x:f>
        <x:v>Riverside Venue Hire</x:v>
      </x:c>
      <x:c r="F80" t="str">
        <x:f>TRIM('Raw Actuals'!F80)</x:f>
        <x:v>Training expense 75</x:v>
      </x:c>
      <x:c r="G80" s="26" t="n">
        <x:v>11287</x:v>
      </x:c>
      <x:c r="H80" t="str">
        <x:f>IF(OR(UPPER(TRIM('Raw Actuals'!H80))="PAID",UPPER(TRIM('Raw Actuals'!H80))="PAID "),"Paid",IF(UPPER(TRIM('Raw Actuals'!H80))="APPROVED","Approved",IF(OR(UPPER(TRIM('Raw Actuals'!H80))="SUBMITTED",UPPER(TRIM('Raw Actuals'!H80))="PENDING"),"Submitted",IF(UPPER(TRIM('Raw Actuals'!H80))="REJECTED","Rejected","Review"))))</x:f>
        <x:v>Rejected</x:v>
      </x:c>
      <x:c r="I80" t="str">
        <x:f>IF(OR(H80="Paid",H80="Approved"),"Include","Exclude")</x:f>
        <x:v>Exclude</x:v>
      </x:c>
      <x:c r="J80" t="str">
        <x:f>IF(B80="","Missing invoice",IF(COUNTIF($B$6:B80,B80)&gt;1,"Duplicate","Unique"))</x:f>
        <x:v>Unique</x:v>
      </x:c>
      <x:c r="K80" s="17" t="str">
        <x:f>IF(A80="","Missing ID; ","")&amp;IF(B80="","Missing invoice; ","")&amp;IF(C80="","Invalid date; ","")&amp;IF(D80="Review","Unmapped category; ","")&amp;IF(E80="Missing","Missing supplier; ","")&amp;IF(OR(G80="",G80&lt;=0),"Invalid amount; ","")&amp;IF(H80="Review","Invalid payment state; ","")&amp;IF(J80="Duplicate","Duplicate invoice; ","")</x:f>
      </x:c>
      <x:c r="L80" t="str">
        <x:f>IF(K80="","Ready","Review")</x:f>
        <x:v>Ready</x:v>
      </x:c>
      <x:c r="M80" s="26" t="n">
        <x:f>IF(AND(L80="Ready",I80="Include"),G80,0)</x:f>
        <x:v>0</x:v>
      </x:c>
    </x:row>
    <x:row r="81">
      <x:c r="A81" t="str">
        <x:f>UPPER(TRIM('Raw Actuals'!A81))</x:f>
        <x:v>TXN-27-0076</x:v>
      </x:c>
      <x:c r="B81" t="str">
        <x:f>UPPER(TRIM('Raw Actuals'!B81))</x:f>
        <x:v>INV-27-0076</x:v>
      </x:c>
      <x:c r="C81" s="25" t="n">
        <x:f>IFERROR(IF(OR(MID(TRIM('Raw Actuals'!C81),5,1)="-",MID(TRIM('Raw Actuals'!C81),5,1)="/"),DATE(VALUE(LEFT(TRIM('Raw Actuals'!C81),4)),VALUE(MID(TRIM('Raw Actuals'!C81),6,2)),VALUE(RIGHT(TRIM('Raw Actuals'!C81),2))),IF(LEN(TRIM('Raw Actuals'!C81))=10,DATE(VALUE(RIGHT(TRIM('Raw Actuals'!C81),4)),VALUE(MID(TRIM('Raw Actuals'!C81),4,2)),VALUE(LEFT(TRIM('Raw Actuals'!C81),2))),IF(LEN(TRIM('Raw Actuals'!C81))=8,DATE(2000+VALUE(RIGHT(TRIM('Raw Actuals'!C81),2)),VALUE(MID(TRIM('Raw Actuals'!C81),4,2)),VALUE(LEFT(TRIM('Raw Actuals'!C81),2))),""))),"")</x:f>
        <x:v>46473</x:v>
      </x:c>
      <x:c r="D81" t="str">
        <x:f>IF(OR(UPPER(TRIM('Raw Actuals'!D81))="CATERING",UPPER(TRIM('Raw Actuals'!D81))="WORKSHOP CATERING",UPPER(TRIM('Raw Actuals'!D81))="MEALS",UPPER(TRIM('Raw Actuals'!D81))="CATERNG"),"Catering",IF(OR(UPPER(TRIM('Raw Actuals'!D81))="TRANSPORT",UPPER(TRIM('Raw Actuals'!D81))="LEARNER TRANSPORT",UPPER(TRIM('Raw Actuals'!D81))="TAXIS",UPPER(TRIM('Raw Actuals'!D81))="LEARNER TAXI"),"Transport",IF(OR(UPPER(TRIM('Raw Actuals'!D81))="FACILITATION",UPPER(TRIM('Raw Actuals'!D81))="CHAMPION PAYMENTS",UPPER(TRIM('Raw Actuals'!D81))="STIPENDS",UPPER(TRIM('Raw Actuals'!D81))="FACILITATOR FEE"),"Facilitation",IF(OR(UPPER(TRIM('Raw Actuals'!D81))="MATERIALS",UPPER(TRIM('Raw Actuals'!D81))="WORKSHOP MATERIALS",UPPER(TRIM('Raw Actuals'!D81))="MATERIALS / SUPPLIES"),"Materials",IF(OR(UPPER(TRIM('Raw Actuals'!D81))="PRINTING",UPPER(TRIM('Raw Actuals'!D81))="PRINT &amp; CONSENT",UPPER(TRIM('Raw Actuals'!D81))="PRINTING AND CONSENT"),"Printing",IF(OR(UPPER(TRIM('Raw Actuals'!D81))="TRAINING",UPPER(TRIM('Raw Actuals'!D81))="CHAMPION TRAINING",UPPER(TRIM('Raw Actuals'!D81))="FACILITATOR TRAINING"),"Training",IF(OR(UPPER(TRIM('Raw Actuals'!D81))="SITE VISITS",UPPER(TRIM('Raw Actuals'!D81))="SITE VISIT",UPPER(TRIM('Raw Actuals'!D81))="TRAVEL AND SITE VISITS"),"Site visits",IF(OR(UPPER(TRIM('Raw Actuals'!D81))="EVENTS",UPPER(TRIM('Raw Actuals'!D81))="RECOGNITION EVENT",UPPER(TRIM('Raw Actuals'!D81))="BADGE CEREMONY"),"Events",IF(OR(UPPER(TRIM('Raw Actuals'!D81))="VENUE",UPPER(TRIM('Raw Actuals'!D81))="VENUE HIRE",UPPER(TRIM('Raw Actuals'!D81))="TRAINING VENUE"),"Venue",IF(OR(UPPER(TRIM('Raw Actuals'!D81))="ADMINISTRATION",UPPER(TRIM('Raw Actuals'!D81))="ADMIN",UPPER(TRIM('Raw Actuals'!D81))="OPERATIONAL SUPPORT"),"Administration","Review"))))))))))</x:f>
        <x:v>Facilitation</x:v>
      </x:c>
      <x:c r="E81" t="str">
        <x:f>IF(TRIM('Raw Actuals'!E81)="","Missing",PROPER(TRIM('Raw Actuals'!E81)))</x:f>
        <x:v>Bright Print Studio</x:v>
      </x:c>
      <x:c r="F81" t="str">
        <x:f>TRIM('Raw Actuals'!F81)</x:f>
        <x:v>Facilitation expense 76</x:v>
      </x:c>
      <x:c r="G81" s="26"/>
      <x:c r="H81" t="str">
        <x:f>IF(OR(UPPER(TRIM('Raw Actuals'!H81))="PAID",UPPER(TRIM('Raw Actuals'!H81))="PAID "),"Paid",IF(UPPER(TRIM('Raw Actuals'!H81))="APPROVED","Approved",IF(OR(UPPER(TRIM('Raw Actuals'!H81))="SUBMITTED",UPPER(TRIM('Raw Actuals'!H81))="PENDING"),"Submitted",IF(UPPER(TRIM('Raw Actuals'!H81))="REJECTED","Rejected","Review"))))</x:f>
        <x:v>Paid</x:v>
      </x:c>
      <x:c r="I81" t="str">
        <x:f>IF(OR(H81="Paid",H81="Approved"),"Include","Exclude")</x:f>
        <x:v>Include</x:v>
      </x:c>
      <x:c r="J81" t="str">
        <x:f>IF(B81="","Missing invoice",IF(COUNTIF($B$6:B81,B81)&gt;1,"Duplicate","Unique"))</x:f>
        <x:v>Unique</x:v>
      </x:c>
      <x:c r="K81" s="17" t="str">
        <x:f>IF(A81="","Missing ID; ","")&amp;IF(B81="","Missing invoice; ","")&amp;IF(C81="","Invalid date; ","")&amp;IF(D81="Review","Unmapped category; ","")&amp;IF(E81="Missing","Missing supplier; ","")&amp;IF(OR(G81="",G81&lt;=0),"Invalid amount; ","")&amp;IF(H81="Review","Invalid payment state; ","")&amp;IF(J81="Duplicate","Duplicate invoice; ","")</x:f>
        <x:v>Invalid amount; </x:v>
      </x:c>
      <x:c r="L81" t="str">
        <x:f>IF(K81="","Ready","Review")</x:f>
        <x:v>Review</x:v>
      </x:c>
      <x:c r="M81" s="26" t="n">
        <x:f>IF(AND(L81="Ready",I81="Include"),G81,0)</x:f>
        <x:v>0</x:v>
      </x:c>
    </x:row>
    <x:row r="82">
      <x:c r="A82" t="str">
        <x:f>UPPER(TRIM('Raw Actuals'!A82))</x:f>
        <x:v>TXN-27-0077</x:v>
      </x:c>
      <x:c r="B82" t="str">
        <x:f>UPPER(TRIM('Raw Actuals'!B82))</x:f>
        <x:v>INV-27-0077</x:v>
      </x:c>
      <x:c r="C82" s="25" t="n">
        <x:f>IFERROR(IF(OR(MID(TRIM('Raw Actuals'!C82),5,1)="-",MID(TRIM('Raw Actuals'!C82),5,1)="/"),DATE(VALUE(LEFT(TRIM('Raw Actuals'!C82),4)),VALUE(MID(TRIM('Raw Actuals'!C82),6,2)),VALUE(RIGHT(TRIM('Raw Actuals'!C82),2))),IF(LEN(TRIM('Raw Actuals'!C82))=10,DATE(VALUE(RIGHT(TRIM('Raw Actuals'!C82),4)),VALUE(MID(TRIM('Raw Actuals'!C82),4,2)),VALUE(LEFT(TRIM('Raw Actuals'!C82),2))),IF(LEN(TRIM('Raw Actuals'!C82))=8,DATE(2000+VALUE(RIGHT(TRIM('Raw Actuals'!C82),2)),VALUE(MID(TRIM('Raw Actuals'!C82),4,2)),VALUE(LEFT(TRIM('Raw Actuals'!C82),2))),""))),"")</x:f>
        <x:v>46429</x:v>
      </x:c>
      <x:c r="D82" t="str">
        <x:f>IF(OR(UPPER(TRIM('Raw Actuals'!D82))="CATERING",UPPER(TRIM('Raw Actuals'!D82))="WORKSHOP CATERING",UPPER(TRIM('Raw Actuals'!D82))="MEALS",UPPER(TRIM('Raw Actuals'!D82))="CATERNG"),"Catering",IF(OR(UPPER(TRIM('Raw Actuals'!D82))="TRANSPORT",UPPER(TRIM('Raw Actuals'!D82))="LEARNER TRANSPORT",UPPER(TRIM('Raw Actuals'!D82))="TAXIS",UPPER(TRIM('Raw Actuals'!D82))="LEARNER TAXI"),"Transport",IF(OR(UPPER(TRIM('Raw Actuals'!D82))="FACILITATION",UPPER(TRIM('Raw Actuals'!D82))="CHAMPION PAYMENTS",UPPER(TRIM('Raw Actuals'!D82))="STIPENDS",UPPER(TRIM('Raw Actuals'!D82))="FACILITATOR FEE"),"Facilitation",IF(OR(UPPER(TRIM('Raw Actuals'!D82))="MATERIALS",UPPER(TRIM('Raw Actuals'!D82))="WORKSHOP MATERIALS",UPPER(TRIM('Raw Actuals'!D82))="MATERIALS / SUPPLIES"),"Materials",IF(OR(UPPER(TRIM('Raw Actuals'!D82))="PRINTING",UPPER(TRIM('Raw Actuals'!D82))="PRINT &amp; CONSENT",UPPER(TRIM('Raw Actuals'!D82))="PRINTING AND CONSENT"),"Printing",IF(OR(UPPER(TRIM('Raw Actuals'!D82))="TRAINING",UPPER(TRIM('Raw Actuals'!D82))="CHAMPION TRAINING",UPPER(TRIM('Raw Actuals'!D82))="FACILITATOR TRAINING"),"Training",IF(OR(UPPER(TRIM('Raw Actuals'!D82))="SITE VISITS",UPPER(TRIM('Raw Actuals'!D82))="SITE VISIT",UPPER(TRIM('Raw Actuals'!D82))="TRAVEL AND SITE VISITS"),"Site visits",IF(OR(UPPER(TRIM('Raw Actuals'!D82))="EVENTS",UPPER(TRIM('Raw Actuals'!D82))="RECOGNITION EVENT",UPPER(TRIM('Raw Actuals'!D82))="BADGE CEREMONY"),"Events",IF(OR(UPPER(TRIM('Raw Actuals'!D82))="VENUE",UPPER(TRIM('Raw Actuals'!D82))="VENUE HIRE",UPPER(TRIM('Raw Actuals'!D82))="TRAINING VENUE"),"Venue",IF(OR(UPPER(TRIM('Raw Actuals'!D82))="ADMINISTRATION",UPPER(TRIM('Raw Actuals'!D82))="ADMIN",UPPER(TRIM('Raw Actuals'!D82))="OPERATIONAL SUPPORT"),"Administration","Review"))))))))))</x:f>
        <x:v>Administration</x:v>
      </x:c>
      <x:c r="E82" t="str">
        <x:f>IF(TRIM('Raw Actuals'!E82)="","Missing",PROPER(TRIM('Raw Actuals'!E82)))</x:f>
        <x:v>Thuto Facilitation</x:v>
      </x:c>
      <x:c r="F82" t="str">
        <x:f>TRIM('Raw Actuals'!F82)</x:f>
        <x:v>Administration expense 77</x:v>
      </x:c>
      <x:c r="G82" s="26" t="n">
        <x:v>12855</x:v>
      </x:c>
      <x:c r="H82" t="str">
        <x:f>IF(OR(UPPER(TRIM('Raw Actuals'!H82))="PAID",UPPER(TRIM('Raw Actuals'!H82))="PAID "),"Paid",IF(UPPER(TRIM('Raw Actuals'!H82))="APPROVED","Approved",IF(OR(UPPER(TRIM('Raw Actuals'!H82))="SUBMITTED",UPPER(TRIM('Raw Actuals'!H82))="PENDING"),"Submitted",IF(UPPER(TRIM('Raw Actuals'!H82))="REJECTED","Rejected","Review"))))</x:f>
        <x:v>Approved</x:v>
      </x:c>
      <x:c r="I82" t="str">
        <x:f>IF(OR(H82="Paid",H82="Approved"),"Include","Exclude")</x:f>
        <x:v>Include</x:v>
      </x:c>
      <x:c r="J82" t="str">
        <x:f>IF(B82="","Missing invoice",IF(COUNTIF($B$6:B82,B82)&gt;1,"Duplicate","Unique"))</x:f>
        <x:v>Unique</x:v>
      </x:c>
      <x:c r="K82" s="17" t="str">
        <x:f>IF(A82="","Missing ID; ","")&amp;IF(B82="","Missing invoice; ","")&amp;IF(C82="","Invalid date; ","")&amp;IF(D82="Review","Unmapped category; ","")&amp;IF(E82="Missing","Missing supplier; ","")&amp;IF(OR(G82="",G82&lt;=0),"Invalid amount; ","")&amp;IF(H82="Review","Invalid payment state; ","")&amp;IF(J82="Duplicate","Duplicate invoice; ","")</x:f>
      </x:c>
      <x:c r="L82" t="str">
        <x:f>IF(K82="","Ready","Review")</x:f>
        <x:v>Ready</x:v>
      </x:c>
      <x:c r="M82" s="26" t="n">
        <x:f>IF(AND(L82="Ready",I82="Include"),G82,0)</x:f>
        <x:v>12855</x:v>
      </x:c>
    </x:row>
    <x:row r="83">
      <x:c r="A83" t="str">
        <x:f>UPPER(TRIM('Raw Actuals'!A83))</x:f>
        <x:v>TXN-27-0078</x:v>
      </x:c>
      <x:c r="B83" t="str">
        <x:f>UPPER(TRIM('Raw Actuals'!B83))</x:f>
        <x:v>INV-27-0078</x:v>
      </x:c>
      <x:c r="C83" s="25" t="n">
        <x:f>IFERROR(IF(OR(MID(TRIM('Raw Actuals'!C83),5,1)="-",MID(TRIM('Raw Actuals'!C83),5,1)="/"),DATE(VALUE(LEFT(TRIM('Raw Actuals'!C83),4)),VALUE(MID(TRIM('Raw Actuals'!C83),6,2)),VALUE(RIGHT(TRIM('Raw Actuals'!C83),2))),IF(LEN(TRIM('Raw Actuals'!C83))=10,DATE(VALUE(RIGHT(TRIM('Raw Actuals'!C83),4)),VALUE(MID(TRIM('Raw Actuals'!C83),4,2)),VALUE(LEFT(TRIM('Raw Actuals'!C83),2))),IF(LEN(TRIM('Raw Actuals'!C83))=8,DATE(2000+VALUE(RIGHT(TRIM('Raw Actuals'!C83),2)),VALUE(MID(TRIM('Raw Actuals'!C83),4,2)),VALUE(LEFT(TRIM('Raw Actuals'!C83),2))),""))),"")</x:f>
        <x:v>46409</x:v>
      </x:c>
      <x:c r="D83" t="str">
        <x:f>IF(OR(UPPER(TRIM('Raw Actuals'!D83))="CATERING",UPPER(TRIM('Raw Actuals'!D83))="WORKSHOP CATERING",UPPER(TRIM('Raw Actuals'!D83))="MEALS",UPPER(TRIM('Raw Actuals'!D83))="CATERNG"),"Catering",IF(OR(UPPER(TRIM('Raw Actuals'!D83))="TRANSPORT",UPPER(TRIM('Raw Actuals'!D83))="LEARNER TRANSPORT",UPPER(TRIM('Raw Actuals'!D83))="TAXIS",UPPER(TRIM('Raw Actuals'!D83))="LEARNER TAXI"),"Transport",IF(OR(UPPER(TRIM('Raw Actuals'!D83))="FACILITATION",UPPER(TRIM('Raw Actuals'!D83))="CHAMPION PAYMENTS",UPPER(TRIM('Raw Actuals'!D83))="STIPENDS",UPPER(TRIM('Raw Actuals'!D83))="FACILITATOR FEE"),"Facilitation",IF(OR(UPPER(TRIM('Raw Actuals'!D83))="MATERIALS",UPPER(TRIM('Raw Actuals'!D83))="WORKSHOP MATERIALS",UPPER(TRIM('Raw Actuals'!D83))="MATERIALS / SUPPLIES"),"Materials",IF(OR(UPPER(TRIM('Raw Actuals'!D83))="PRINTING",UPPER(TRIM('Raw Actuals'!D83))="PRINT &amp; CONSENT",UPPER(TRIM('Raw Actuals'!D83))="PRINTING AND CONSENT"),"Printing",IF(OR(UPPER(TRIM('Raw Actuals'!D83))="TRAINING",UPPER(TRIM('Raw Actuals'!D83))="CHAMPION TRAINING",UPPER(TRIM('Raw Actuals'!D83))="FACILITATOR TRAINING"),"Training",IF(OR(UPPER(TRIM('Raw Actuals'!D83))="SITE VISITS",UPPER(TRIM('Raw Actuals'!D83))="SITE VISIT",UPPER(TRIM('Raw Actuals'!D83))="TRAVEL AND SITE VISITS"),"Site visits",IF(OR(UPPER(TRIM('Raw Actuals'!D83))="EVENTS",UPPER(TRIM('Raw Actuals'!D83))="RECOGNITION EVENT",UPPER(TRIM('Raw Actuals'!D83))="BADGE CEREMONY"),"Events",IF(OR(UPPER(TRIM('Raw Actuals'!D83))="VENUE",UPPER(TRIM('Raw Actuals'!D83))="VENUE HIRE",UPPER(TRIM('Raw Actuals'!D83))="TRAINING VENUE"),"Venue",IF(OR(UPPER(TRIM('Raw Actuals'!D83))="ADMINISTRATION",UPPER(TRIM('Raw Actuals'!D83))="ADMIN",UPPER(TRIM('Raw Actuals'!D83))="OPERATIONAL SUPPORT"),"Administration","Review"))))))))))</x:f>
        <x:v>Site visits</x:v>
      </x:c>
      <x:c r="E83" t="str">
        <x:f>IF(TRIM('Raw Actuals'!E83)="","Missing",PROPER(TRIM('Raw Actuals'!E83)))</x:f>
        <x:v>Moya Supplies</x:v>
      </x:c>
      <x:c r="F83" t="str">
        <x:f>TRIM('Raw Actuals'!F83)</x:f>
        <x:v>Site visits expense 78</x:v>
      </x:c>
      <x:c r="G83" s="26" t="n">
        <x:v>1555</x:v>
      </x:c>
      <x:c r="H83" t="str">
        <x:f>IF(OR(UPPER(TRIM('Raw Actuals'!H83))="PAID",UPPER(TRIM('Raw Actuals'!H83))="PAID "),"Paid",IF(UPPER(TRIM('Raw Actuals'!H83))="APPROVED","Approved",IF(OR(UPPER(TRIM('Raw Actuals'!H83))="SUBMITTED",UPPER(TRIM('Raw Actuals'!H83))="PENDING"),"Submitted",IF(UPPER(TRIM('Raw Actuals'!H83))="REJECTED","Rejected","Review"))))</x:f>
        <x:v>Submitted</x:v>
      </x:c>
      <x:c r="I83" t="str">
        <x:f>IF(OR(H83="Paid",H83="Approved"),"Include","Exclude")</x:f>
        <x:v>Exclude</x:v>
      </x:c>
      <x:c r="J83" t="str">
        <x:f>IF(B83="","Missing invoice",IF(COUNTIF($B$6:B83,B83)&gt;1,"Duplicate","Unique"))</x:f>
        <x:v>Unique</x:v>
      </x:c>
      <x:c r="K83" s="17" t="str">
        <x:f>IF(A83="","Missing ID; ","")&amp;IF(B83="","Missing invoice; ","")&amp;IF(C83="","Invalid date; ","")&amp;IF(D83="Review","Unmapped category; ","")&amp;IF(E83="Missing","Missing supplier; ","")&amp;IF(OR(G83="",G83&lt;=0),"Invalid amount; ","")&amp;IF(H83="Review","Invalid payment state; ","")&amp;IF(J83="Duplicate","Duplicate invoice; ","")</x:f>
      </x:c>
      <x:c r="L83" t="str">
        <x:f>IF(K83="","Ready","Review")</x:f>
        <x:v>Ready</x:v>
      </x:c>
      <x:c r="M83" s="26" t="n">
        <x:f>IF(AND(L83="Ready",I83="Include"),G83,0)</x:f>
        <x:v>0</x:v>
      </x:c>
    </x:row>
    <x:row r="84">
      <x:c r="A84" t="str">
        <x:f>UPPER(TRIM('Raw Actuals'!A84))</x:f>
        <x:v>TXN-27-0079</x:v>
      </x:c>
      <x:c r="B84" t="str">
        <x:f>UPPER(TRIM('Raw Actuals'!B84))</x:f>
        <x:v>INV-27-0079</x:v>
      </x:c>
      <x:c r="C84" s="25" t="n">
        <x:f>IFERROR(IF(OR(MID(TRIM('Raw Actuals'!C84),5,1)="-",MID(TRIM('Raw Actuals'!C84),5,1)="/"),DATE(VALUE(LEFT(TRIM('Raw Actuals'!C84),4)),VALUE(MID(TRIM('Raw Actuals'!C84),6,2)),VALUE(RIGHT(TRIM('Raw Actuals'!C84),2))),IF(LEN(TRIM('Raw Actuals'!C84))=10,DATE(VALUE(RIGHT(TRIM('Raw Actuals'!C84),4)),VALUE(MID(TRIM('Raw Actuals'!C84),4,2)),VALUE(LEFT(TRIM('Raw Actuals'!C84),2))),IF(LEN(TRIM('Raw Actuals'!C84))=8,DATE(2000+VALUE(RIGHT(TRIM('Raw Actuals'!C84),2)),VALUE(MID(TRIM('Raw Actuals'!C84),4,2)),VALUE(LEFT(TRIM('Raw Actuals'!C84),2))),""))),"")</x:f>
        <x:v>46544</x:v>
      </x:c>
      <x:c r="D84" t="str">
        <x:f>IF(OR(UPPER(TRIM('Raw Actuals'!D84))="CATERING",UPPER(TRIM('Raw Actuals'!D84))="WORKSHOP CATERING",UPPER(TRIM('Raw Actuals'!D84))="MEALS",UPPER(TRIM('Raw Actuals'!D84))="CATERNG"),"Catering",IF(OR(UPPER(TRIM('Raw Actuals'!D84))="TRANSPORT",UPPER(TRIM('Raw Actuals'!D84))="LEARNER TRANSPORT",UPPER(TRIM('Raw Actuals'!D84))="TAXIS",UPPER(TRIM('Raw Actuals'!D84))="LEARNER TAXI"),"Transport",IF(OR(UPPER(TRIM('Raw Actuals'!D84))="FACILITATION",UPPER(TRIM('Raw Actuals'!D84))="CHAMPION PAYMENTS",UPPER(TRIM('Raw Actuals'!D84))="STIPENDS",UPPER(TRIM('Raw Actuals'!D84))="FACILITATOR FEE"),"Facilitation",IF(OR(UPPER(TRIM('Raw Actuals'!D84))="MATERIALS",UPPER(TRIM('Raw Actuals'!D84))="WORKSHOP MATERIALS",UPPER(TRIM('Raw Actuals'!D84))="MATERIALS / SUPPLIES"),"Materials",IF(OR(UPPER(TRIM('Raw Actuals'!D84))="PRINTING",UPPER(TRIM('Raw Actuals'!D84))="PRINT &amp; CONSENT",UPPER(TRIM('Raw Actuals'!D84))="PRINTING AND CONSENT"),"Printing",IF(OR(UPPER(TRIM('Raw Actuals'!D84))="TRAINING",UPPER(TRIM('Raw Actuals'!D84))="CHAMPION TRAINING",UPPER(TRIM('Raw Actuals'!D84))="FACILITATOR TRAINING"),"Training",IF(OR(UPPER(TRIM('Raw Actuals'!D84))="SITE VISITS",UPPER(TRIM('Raw Actuals'!D84))="SITE VISIT",UPPER(TRIM('Raw Actuals'!D84))="TRAVEL AND SITE VISITS"),"Site visits",IF(OR(UPPER(TRIM('Raw Actuals'!D84))="EVENTS",UPPER(TRIM('Raw Actuals'!D84))="RECOGNITION EVENT",UPPER(TRIM('Raw Actuals'!D84))="BADGE CEREMONY"),"Events",IF(OR(UPPER(TRIM('Raw Actuals'!D84))="VENUE",UPPER(TRIM('Raw Actuals'!D84))="VENUE HIRE",UPPER(TRIM('Raw Actuals'!D84))="TRAINING VENUE"),"Venue",IF(OR(UPPER(TRIM('Raw Actuals'!D84))="ADMINISTRATION",UPPER(TRIM('Raw Actuals'!D84))="ADMIN",UPPER(TRIM('Raw Actuals'!D84))="OPERATIONAL SUPPORT"),"Administration","Review"))))))))))</x:f>
        <x:v>Materials</x:v>
      </x:c>
      <x:c r="E84" t="str">
        <x:f>IF(TRIM('Raw Actuals'!E84)="","Missing",PROPER(TRIM('Raw Actuals'!E84)))</x:f>
        <x:v>Northline Transport</x:v>
      </x:c>
      <x:c r="F84" t="str">
        <x:f>TRIM('Raw Actuals'!F84)</x:f>
        <x:v>Materials expense 79</x:v>
      </x:c>
      <x:c r="G84" s="26" t="n">
        <x:v>2994</x:v>
      </x:c>
      <x:c r="H84" t="str">
        <x:f>IF(OR(UPPER(TRIM('Raw Actuals'!H84))="PAID",UPPER(TRIM('Raw Actuals'!H84))="PAID "),"Paid",IF(UPPER(TRIM('Raw Actuals'!H84))="APPROVED","Approved",IF(OR(UPPER(TRIM('Raw Actuals'!H84))="SUBMITTED",UPPER(TRIM('Raw Actuals'!H84))="PENDING"),"Submitted",IF(UPPER(TRIM('Raw Actuals'!H84))="REJECTED","Rejected","Review"))))</x:f>
        <x:v>Rejected</x:v>
      </x:c>
      <x:c r="I84" t="str">
        <x:f>IF(OR(H84="Paid",H84="Approved"),"Include","Exclude")</x:f>
        <x:v>Exclude</x:v>
      </x:c>
      <x:c r="J84" t="str">
        <x:f>IF(B84="","Missing invoice",IF(COUNTIF($B$6:B84,B84)&gt;1,"Duplicate","Unique"))</x:f>
        <x:v>Unique</x:v>
      </x:c>
      <x:c r="K84" s="17" t="str">
        <x:f>IF(A84="","Missing ID; ","")&amp;IF(B84="","Missing invoice; ","")&amp;IF(C84="","Invalid date; ","")&amp;IF(D84="Review","Unmapped category; ","")&amp;IF(E84="Missing","Missing supplier; ","")&amp;IF(OR(G84="",G84&lt;=0),"Invalid amount; ","")&amp;IF(H84="Review","Invalid payment state; ","")&amp;IF(J84="Duplicate","Duplicate invoice; ","")</x:f>
      </x:c>
      <x:c r="L84" t="str">
        <x:f>IF(K84="","Ready","Review")</x:f>
        <x:v>Ready</x:v>
      </x:c>
      <x:c r="M84" s="26" t="n">
        <x:f>IF(AND(L84="Ready",I84="Include"),G84,0)</x:f>
        <x:v>0</x:v>
      </x:c>
    </x:row>
    <x:row r="85">
      <x:c r="A85" t="str">
        <x:f>UPPER(TRIM('Raw Actuals'!A85))</x:f>
        <x:v>TXN-27-0080</x:v>
      </x:c>
      <x:c r="B85" t="str">
        <x:f>UPPER(TRIM('Raw Actuals'!B85))</x:f>
        <x:v>INV-27-0080</x:v>
      </x:c>
      <x:c r="C85" s="25" t="n">
        <x:f>IFERROR(IF(OR(MID(TRIM('Raw Actuals'!C85),5,1)="-",MID(TRIM('Raw Actuals'!C85),5,1)="/"),DATE(VALUE(LEFT(TRIM('Raw Actuals'!C85),4)),VALUE(MID(TRIM('Raw Actuals'!C85),6,2)),VALUE(RIGHT(TRIM('Raw Actuals'!C85),2))),IF(LEN(TRIM('Raw Actuals'!C85))=10,DATE(VALUE(RIGHT(TRIM('Raw Actuals'!C85),4)),VALUE(MID(TRIM('Raw Actuals'!C85),4,2)),VALUE(LEFT(TRIM('Raw Actuals'!C85),2))),IF(LEN(TRIM('Raw Actuals'!C85))=8,DATE(2000+VALUE(RIGHT(TRIM('Raw Actuals'!C85),2)),VALUE(MID(TRIM('Raw Actuals'!C85),4,2)),VALUE(LEFT(TRIM('Raw Actuals'!C85),2))),""))),"")</x:f>
        <x:v>46524</x:v>
      </x:c>
      <x:c r="D85" t="str">
        <x:f>IF(OR(UPPER(TRIM('Raw Actuals'!D85))="CATERING",UPPER(TRIM('Raw Actuals'!D85))="WORKSHOP CATERING",UPPER(TRIM('Raw Actuals'!D85))="MEALS",UPPER(TRIM('Raw Actuals'!D85))="CATERNG"),"Catering",IF(OR(UPPER(TRIM('Raw Actuals'!D85))="TRANSPORT",UPPER(TRIM('Raw Actuals'!D85))="LEARNER TRANSPORT",UPPER(TRIM('Raw Actuals'!D85))="TAXIS",UPPER(TRIM('Raw Actuals'!D85))="LEARNER TAXI"),"Transport",IF(OR(UPPER(TRIM('Raw Actuals'!D85))="FACILITATION",UPPER(TRIM('Raw Actuals'!D85))="CHAMPION PAYMENTS",UPPER(TRIM('Raw Actuals'!D85))="STIPENDS",UPPER(TRIM('Raw Actuals'!D85))="FACILITATOR FEE"),"Facilitation",IF(OR(UPPER(TRIM('Raw Actuals'!D85))="MATERIALS",UPPER(TRIM('Raw Actuals'!D85))="WORKSHOP MATERIALS",UPPER(TRIM('Raw Actuals'!D85))="MATERIALS / SUPPLIES"),"Materials",IF(OR(UPPER(TRIM('Raw Actuals'!D85))="PRINTING",UPPER(TRIM('Raw Actuals'!D85))="PRINT &amp; CONSENT",UPPER(TRIM('Raw Actuals'!D85))="PRINTING AND CONSENT"),"Printing",IF(OR(UPPER(TRIM('Raw Actuals'!D85))="TRAINING",UPPER(TRIM('Raw Actuals'!D85))="CHAMPION TRAINING",UPPER(TRIM('Raw Actuals'!D85))="FACILITATOR TRAINING"),"Training",IF(OR(UPPER(TRIM('Raw Actuals'!D85))="SITE VISITS",UPPER(TRIM('Raw Actuals'!D85))="SITE VISIT",UPPER(TRIM('Raw Actuals'!D85))="TRAVEL AND SITE VISITS"),"Site visits",IF(OR(UPPER(TRIM('Raw Actuals'!D85))="EVENTS",UPPER(TRIM('Raw Actuals'!D85))="RECOGNITION EVENT",UPPER(TRIM('Raw Actuals'!D85))="BADGE CEREMONY"),"Events",IF(OR(UPPER(TRIM('Raw Actuals'!D85))="VENUE",UPPER(TRIM('Raw Actuals'!D85))="VENUE HIRE",UPPER(TRIM('Raw Actuals'!D85))="TRAINING VENUE"),"Venue",IF(OR(UPPER(TRIM('Raw Actuals'!D85))="ADMINISTRATION",UPPER(TRIM('Raw Actuals'!D85))="ADMIN",UPPER(TRIM('Raw Actuals'!D85))="OPERATIONAL SUPPORT"),"Administration","Review"))))))))))</x:f>
        <x:v>Catering</x:v>
      </x:c>
      <x:c r="E85" t="str">
        <x:f>IF(TRIM('Raw Actuals'!E85)="","Missing",PROPER(TRIM('Raw Actuals'!E85)))</x:f>
        <x:v>Kopano Catering</x:v>
      </x:c>
      <x:c r="F85" t="str">
        <x:f>TRIM('Raw Actuals'!F85)</x:f>
        <x:v>Catering expense 80</x:v>
      </x:c>
      <x:c r="G85" s="26" t="n">
        <x:v>11772</x:v>
      </x:c>
      <x:c r="H85" t="str">
        <x:f>IF(OR(UPPER(TRIM('Raw Actuals'!H85))="PAID",UPPER(TRIM('Raw Actuals'!H85))="PAID "),"Paid",IF(UPPER(TRIM('Raw Actuals'!H85))="APPROVED","Approved",IF(OR(UPPER(TRIM('Raw Actuals'!H85))="SUBMITTED",UPPER(TRIM('Raw Actuals'!H85))="PENDING"),"Submitted",IF(UPPER(TRIM('Raw Actuals'!H85))="REJECTED","Rejected","Review"))))</x:f>
        <x:v>Paid</x:v>
      </x:c>
      <x:c r="I85" t="str">
        <x:f>IF(OR(H85="Paid",H85="Approved"),"Include","Exclude")</x:f>
        <x:v>Include</x:v>
      </x:c>
      <x:c r="J85" t="str">
        <x:f>IF(B85="","Missing invoice",IF(COUNTIF($B$6:B85,B85)&gt;1,"Duplicate","Unique"))</x:f>
        <x:v>Unique</x:v>
      </x:c>
      <x:c r="K85" s="17" t="str">
        <x:f>IF(A85="","Missing ID; ","")&amp;IF(B85="","Missing invoice; ","")&amp;IF(C85="","Invalid date; ","")&amp;IF(D85="Review","Unmapped category; ","")&amp;IF(E85="Missing","Missing supplier; ","")&amp;IF(OR(G85="",G85&lt;=0),"Invalid amount; ","")&amp;IF(H85="Review","Invalid payment state; ","")&amp;IF(J85="Duplicate","Duplicate invoice; ","")</x:f>
      </x:c>
      <x:c r="L85" t="str">
        <x:f>IF(K85="","Ready","Review")</x:f>
        <x:v>Ready</x:v>
      </x:c>
      <x:c r="M85" s="26" t="n">
        <x:f>IF(AND(L85="Ready",I85="Include"),G85,0)</x:f>
        <x:v>11772</x:v>
      </x:c>
    </x:row>
    <x:row r="86">
      <x:c r="A86" t="str">
        <x:f>UPPER(TRIM('Raw Actuals'!A86))</x:f>
        <x:v>TXN-27-0081</x:v>
      </x:c>
      <x:c r="B86" t="str">
        <x:f>UPPER(TRIM('Raw Actuals'!B86))</x:f>
        <x:v>INV-27-0081</x:v>
      </x:c>
      <x:c r="C86" s="25" t="n">
        <x:f>IFERROR(IF(OR(MID(TRIM('Raw Actuals'!C86),5,1)="-",MID(TRIM('Raw Actuals'!C86),5,1)="/"),DATE(VALUE(LEFT(TRIM('Raw Actuals'!C86),4)),VALUE(MID(TRIM('Raw Actuals'!C86),6,2)),VALUE(RIGHT(TRIM('Raw Actuals'!C86),2))),IF(LEN(TRIM('Raw Actuals'!C86))=10,DATE(VALUE(RIGHT(TRIM('Raw Actuals'!C86),4)),VALUE(MID(TRIM('Raw Actuals'!C86),4,2)),VALUE(LEFT(TRIM('Raw Actuals'!C86),2))),IF(LEN(TRIM('Raw Actuals'!C86))=8,DATE(2000+VALUE(RIGHT(TRIM('Raw Actuals'!C86),2)),VALUE(MID(TRIM('Raw Actuals'!C86),4,2)),VALUE(LEFT(TRIM('Raw Actuals'!C86),2))),""))),"")</x:f>
        <x:v>46478</x:v>
      </x:c>
      <x:c r="D86" t="str">
        <x:f>IF(OR(UPPER(TRIM('Raw Actuals'!D86))="CATERING",UPPER(TRIM('Raw Actuals'!D86))="WORKSHOP CATERING",UPPER(TRIM('Raw Actuals'!D86))="MEALS",UPPER(TRIM('Raw Actuals'!D86))="CATERNG"),"Catering",IF(OR(UPPER(TRIM('Raw Actuals'!D86))="TRANSPORT",UPPER(TRIM('Raw Actuals'!D86))="LEARNER TRANSPORT",UPPER(TRIM('Raw Actuals'!D86))="TAXIS",UPPER(TRIM('Raw Actuals'!D86))="LEARNER TAXI"),"Transport",IF(OR(UPPER(TRIM('Raw Actuals'!D86))="FACILITATION",UPPER(TRIM('Raw Actuals'!D86))="CHAMPION PAYMENTS",UPPER(TRIM('Raw Actuals'!D86))="STIPENDS",UPPER(TRIM('Raw Actuals'!D86))="FACILITATOR FEE"),"Facilitation",IF(OR(UPPER(TRIM('Raw Actuals'!D86))="MATERIALS",UPPER(TRIM('Raw Actuals'!D86))="WORKSHOP MATERIALS",UPPER(TRIM('Raw Actuals'!D86))="MATERIALS / SUPPLIES"),"Materials",IF(OR(UPPER(TRIM('Raw Actuals'!D86))="PRINTING",UPPER(TRIM('Raw Actuals'!D86))="PRINT &amp; CONSENT",UPPER(TRIM('Raw Actuals'!D86))="PRINTING AND CONSENT"),"Printing",IF(OR(UPPER(TRIM('Raw Actuals'!D86))="TRAINING",UPPER(TRIM('Raw Actuals'!D86))="CHAMPION TRAINING",UPPER(TRIM('Raw Actuals'!D86))="FACILITATOR TRAINING"),"Training",IF(OR(UPPER(TRIM('Raw Actuals'!D86))="SITE VISITS",UPPER(TRIM('Raw Actuals'!D86))="SITE VISIT",UPPER(TRIM('Raw Actuals'!D86))="TRAVEL AND SITE VISITS"),"Site visits",IF(OR(UPPER(TRIM('Raw Actuals'!D86))="EVENTS",UPPER(TRIM('Raw Actuals'!D86))="RECOGNITION EVENT",UPPER(TRIM('Raw Actuals'!D86))="BADGE CEREMONY"),"Events",IF(OR(UPPER(TRIM('Raw Actuals'!D86))="VENUE",UPPER(TRIM('Raw Actuals'!D86))="VENUE HIRE",UPPER(TRIM('Raw Actuals'!D86))="TRAINING VENUE"),"Venue",IF(OR(UPPER(TRIM('Raw Actuals'!D86))="ADMINISTRATION",UPPER(TRIM('Raw Actuals'!D86))="ADMIN",UPPER(TRIM('Raw Actuals'!D86))="OPERATIONAL SUPPORT"),"Administration","Review"))))))))))</x:f>
        <x:v>Events</x:v>
      </x:c>
      <x:c r="E86" t="str">
        <x:f>IF(TRIM('Raw Actuals'!E86)="","Missing",PROPER(TRIM('Raw Actuals'!E86)))</x:f>
        <x:v>Riverside Venue Hire</x:v>
      </x:c>
      <x:c r="F86" t="str">
        <x:f>TRIM('Raw Actuals'!F86)</x:f>
        <x:v>Events expense 81</x:v>
      </x:c>
      <x:c r="G86" s="26" t="n">
        <x:v>11911</x:v>
      </x:c>
      <x:c r="H86" t="str">
        <x:f>IF(OR(UPPER(TRIM('Raw Actuals'!H86))="PAID",UPPER(TRIM('Raw Actuals'!H86))="PAID "),"Paid",IF(UPPER(TRIM('Raw Actuals'!H86))="APPROVED","Approved",IF(OR(UPPER(TRIM('Raw Actuals'!H86))="SUBMITTED",UPPER(TRIM('Raw Actuals'!H86))="PENDING"),"Submitted",IF(UPPER(TRIM('Raw Actuals'!H86))="REJECTED","Rejected","Review"))))</x:f>
        <x:v>Approved</x:v>
      </x:c>
      <x:c r="I86" t="str">
        <x:f>IF(OR(H86="Paid",H86="Approved"),"Include","Exclude")</x:f>
        <x:v>Include</x:v>
      </x:c>
      <x:c r="J86" t="str">
        <x:f>IF(B86="","Missing invoice",IF(COUNTIF($B$6:B86,B86)&gt;1,"Duplicate","Unique"))</x:f>
        <x:v>Unique</x:v>
      </x:c>
      <x:c r="K86" s="17" t="str">
        <x:f>IF(A86="","Missing ID; ","")&amp;IF(B86="","Missing invoice; ","")&amp;IF(C86="","Invalid date; ","")&amp;IF(D86="Review","Unmapped category; ","")&amp;IF(E86="Missing","Missing supplier; ","")&amp;IF(OR(G86="",G86&lt;=0),"Invalid amount; ","")&amp;IF(H86="Review","Invalid payment state; ","")&amp;IF(J86="Duplicate","Duplicate invoice; ","")</x:f>
      </x:c>
      <x:c r="L86" t="str">
        <x:f>IF(K86="","Ready","Review")</x:f>
        <x:v>Ready</x:v>
      </x:c>
      <x:c r="M86" s="26" t="n">
        <x:f>IF(AND(L86="Ready",I86="Include"),G86,0)</x:f>
        <x:v>11911</x:v>
      </x:c>
    </x:row>
    <x:row r="87">
      <x:c r="A87" t="str">
        <x:f>UPPER(TRIM('Raw Actuals'!A87))</x:f>
        <x:v>TXN-27-0082</x:v>
      </x:c>
      <x:c r="B87" t="str">
        <x:f>UPPER(TRIM('Raw Actuals'!B87))</x:f>
      </x:c>
      <x:c r="C87" s="25" t="n">
        <x:f>IFERROR(IF(OR(MID(TRIM('Raw Actuals'!C87),5,1)="-",MID(TRIM('Raw Actuals'!C87),5,1)="/"),DATE(VALUE(LEFT(TRIM('Raw Actuals'!C87),4)),VALUE(MID(TRIM('Raw Actuals'!C87),6,2)),VALUE(RIGHT(TRIM('Raw Actuals'!C87),2))),IF(LEN(TRIM('Raw Actuals'!C87))=10,DATE(VALUE(RIGHT(TRIM('Raw Actuals'!C87),4)),VALUE(MID(TRIM('Raw Actuals'!C87),4,2)),VALUE(LEFT(TRIM('Raw Actuals'!C87),2))),IF(LEN(TRIM('Raw Actuals'!C87))=8,DATE(2000+VALUE(RIGHT(TRIM('Raw Actuals'!C87),2)),VALUE(MID(TRIM('Raw Actuals'!C87),4,2)),VALUE(LEFT(TRIM('Raw Actuals'!C87),2))),""))),"")</x:f>
        <x:v>46458</x:v>
      </x:c>
      <x:c r="D87" t="str">
        <x:f>IF(OR(UPPER(TRIM('Raw Actuals'!D87))="CATERING",UPPER(TRIM('Raw Actuals'!D87))="WORKSHOP CATERING",UPPER(TRIM('Raw Actuals'!D87))="MEALS",UPPER(TRIM('Raw Actuals'!D87))="CATERNG"),"Catering",IF(OR(UPPER(TRIM('Raw Actuals'!D87))="TRANSPORT",UPPER(TRIM('Raw Actuals'!D87))="LEARNER TRANSPORT",UPPER(TRIM('Raw Actuals'!D87))="TAXIS",UPPER(TRIM('Raw Actuals'!D87))="LEARNER TAXI"),"Transport",IF(OR(UPPER(TRIM('Raw Actuals'!D87))="FACILITATION",UPPER(TRIM('Raw Actuals'!D87))="CHAMPION PAYMENTS",UPPER(TRIM('Raw Actuals'!D87))="STIPENDS",UPPER(TRIM('Raw Actuals'!D87))="FACILITATOR FEE"),"Facilitation",IF(OR(UPPER(TRIM('Raw Actuals'!D87))="MATERIALS",UPPER(TRIM('Raw Actuals'!D87))="WORKSHOP MATERIALS",UPPER(TRIM('Raw Actuals'!D87))="MATERIALS / SUPPLIES"),"Materials",IF(OR(UPPER(TRIM('Raw Actuals'!D87))="PRINTING",UPPER(TRIM('Raw Actuals'!D87))="PRINT &amp; CONSENT",UPPER(TRIM('Raw Actuals'!D87))="PRINTING AND CONSENT"),"Printing",IF(OR(UPPER(TRIM('Raw Actuals'!D87))="TRAINING",UPPER(TRIM('Raw Actuals'!D87))="CHAMPION TRAINING",UPPER(TRIM('Raw Actuals'!D87))="FACILITATOR TRAINING"),"Training",IF(OR(UPPER(TRIM('Raw Actuals'!D87))="SITE VISITS",UPPER(TRIM('Raw Actuals'!D87))="SITE VISIT",UPPER(TRIM('Raw Actuals'!D87))="TRAVEL AND SITE VISITS"),"Site visits",IF(OR(UPPER(TRIM('Raw Actuals'!D87))="EVENTS",UPPER(TRIM('Raw Actuals'!D87))="RECOGNITION EVENT",UPPER(TRIM('Raw Actuals'!D87))="BADGE CEREMONY"),"Events",IF(OR(UPPER(TRIM('Raw Actuals'!D87))="VENUE",UPPER(TRIM('Raw Actuals'!D87))="VENUE HIRE",UPPER(TRIM('Raw Actuals'!D87))="TRAINING VENUE"),"Venue",IF(OR(UPPER(TRIM('Raw Actuals'!D87))="ADMINISTRATION",UPPER(TRIM('Raw Actuals'!D87))="ADMIN",UPPER(TRIM('Raw Actuals'!D87))="OPERATIONAL SUPPORT"),"Administration","Review"))))))))))</x:f>
        <x:v>Printing</x:v>
      </x:c>
      <x:c r="E87" t="str">
        <x:f>IF(TRIM('Raw Actuals'!E87)="","Missing",PROPER(TRIM('Raw Actuals'!E87)))</x:f>
        <x:v>Bright Print Studio</x:v>
      </x:c>
      <x:c r="F87" t="str">
        <x:f>TRIM('Raw Actuals'!F87)</x:f>
        <x:v>Printing expense 82</x:v>
      </x:c>
      <x:c r="G87" s="26" t="n">
        <x:v>5506</x:v>
      </x:c>
      <x:c r="H87" t="str">
        <x:f>IF(OR(UPPER(TRIM('Raw Actuals'!H87))="PAID",UPPER(TRIM('Raw Actuals'!H87))="PAID "),"Paid",IF(UPPER(TRIM('Raw Actuals'!H87))="APPROVED","Approved",IF(OR(UPPER(TRIM('Raw Actuals'!H87))="SUBMITTED",UPPER(TRIM('Raw Actuals'!H87))="PENDING"),"Submitted",IF(UPPER(TRIM('Raw Actuals'!H87))="REJECTED","Rejected","Review"))))</x:f>
        <x:v>Submitted</x:v>
      </x:c>
      <x:c r="I87" t="str">
        <x:f>IF(OR(H87="Paid",H87="Approved"),"Include","Exclude")</x:f>
        <x:v>Exclude</x:v>
      </x:c>
      <x:c r="J87" t="str">
        <x:f>IF(B87="","Missing invoice",IF(COUNTIF($B$6:B87,B87)&gt;1,"Duplicate","Unique"))</x:f>
        <x:v>Missing invoice</x:v>
      </x:c>
      <x:c r="K87" s="17" t="str">
        <x:f>IF(A87="","Missing ID; ","")&amp;IF(B87="","Missing invoice; ","")&amp;IF(C87="","Invalid date; ","")&amp;IF(D87="Review","Unmapped category; ","")&amp;IF(E87="Missing","Missing supplier; ","")&amp;IF(OR(G87="",G87&lt;=0),"Invalid amount; ","")&amp;IF(H87="Review","Invalid payment state; ","")&amp;IF(J87="Duplicate","Duplicate invoice; ","")</x:f>
        <x:v>Missing invoice; </x:v>
      </x:c>
      <x:c r="L87" t="str">
        <x:f>IF(K87="","Ready","Review")</x:f>
        <x:v>Review</x:v>
      </x:c>
      <x:c r="M87" s="26" t="n">
        <x:f>IF(AND(L87="Ready",I87="Include"),G87,0)</x:f>
        <x:v>0</x:v>
      </x:c>
    </x:row>
    <x:row r="88">
      <x:c r="A88" t="str">
        <x:f>UPPER(TRIM('Raw Actuals'!A88))</x:f>
        <x:v>TXN-27-0083</x:v>
      </x:c>
      <x:c r="B88" t="str">
        <x:f>UPPER(TRIM('Raw Actuals'!B88))</x:f>
        <x:v>INV-27-0083</x:v>
      </x:c>
      <x:c r="C88" s="25" t="n">
        <x:f>IFERROR(IF(OR(MID(TRIM('Raw Actuals'!C88),5,1)="-",MID(TRIM('Raw Actuals'!C88),5,1)="/"),DATE(VALUE(LEFT(TRIM('Raw Actuals'!C88),4)),VALUE(MID(TRIM('Raw Actuals'!C88),6,2)),VALUE(RIGHT(TRIM('Raw Actuals'!C88),2))),IF(LEN(TRIM('Raw Actuals'!C88))=10,DATE(VALUE(RIGHT(TRIM('Raw Actuals'!C88),4)),VALUE(MID(TRIM('Raw Actuals'!C88),4,2)),VALUE(LEFT(TRIM('Raw Actuals'!C88),2))),IF(LEN(TRIM('Raw Actuals'!C88))=8,DATE(2000+VALUE(RIGHT(TRIM('Raw Actuals'!C88),2)),VALUE(MID(TRIM('Raw Actuals'!C88),4,2)),VALUE(LEFT(TRIM('Raw Actuals'!C88),2))),""))),"")</x:f>
        <x:v>46441</x:v>
      </x:c>
      <x:c r="D88" t="str">
        <x:f>IF(OR(UPPER(TRIM('Raw Actuals'!D88))="CATERING",UPPER(TRIM('Raw Actuals'!D88))="WORKSHOP CATERING",UPPER(TRIM('Raw Actuals'!D88))="MEALS",UPPER(TRIM('Raw Actuals'!D88))="CATERNG"),"Catering",IF(OR(UPPER(TRIM('Raw Actuals'!D88))="TRANSPORT",UPPER(TRIM('Raw Actuals'!D88))="LEARNER TRANSPORT",UPPER(TRIM('Raw Actuals'!D88))="TAXIS",UPPER(TRIM('Raw Actuals'!D88))="LEARNER TAXI"),"Transport",IF(OR(UPPER(TRIM('Raw Actuals'!D88))="FACILITATION",UPPER(TRIM('Raw Actuals'!D88))="CHAMPION PAYMENTS",UPPER(TRIM('Raw Actuals'!D88))="STIPENDS",UPPER(TRIM('Raw Actuals'!D88))="FACILITATOR FEE"),"Facilitation",IF(OR(UPPER(TRIM('Raw Actuals'!D88))="MATERIALS",UPPER(TRIM('Raw Actuals'!D88))="WORKSHOP MATERIALS",UPPER(TRIM('Raw Actuals'!D88))="MATERIALS / SUPPLIES"),"Materials",IF(OR(UPPER(TRIM('Raw Actuals'!D88))="PRINTING",UPPER(TRIM('Raw Actuals'!D88))="PRINT &amp; CONSENT",UPPER(TRIM('Raw Actuals'!D88))="PRINTING AND CONSENT"),"Printing",IF(OR(UPPER(TRIM('Raw Actuals'!D88))="TRAINING",UPPER(TRIM('Raw Actuals'!D88))="CHAMPION TRAINING",UPPER(TRIM('Raw Actuals'!D88))="FACILITATOR TRAINING"),"Training",IF(OR(UPPER(TRIM('Raw Actuals'!D88))="SITE VISITS",UPPER(TRIM('Raw Actuals'!D88))="SITE VISIT",UPPER(TRIM('Raw Actuals'!D88))="TRAVEL AND SITE VISITS"),"Site visits",IF(OR(UPPER(TRIM('Raw Actuals'!D88))="EVENTS",UPPER(TRIM('Raw Actuals'!D88))="RECOGNITION EVENT",UPPER(TRIM('Raw Actuals'!D88))="BADGE CEREMONY"),"Events",IF(OR(UPPER(TRIM('Raw Actuals'!D88))="VENUE",UPPER(TRIM('Raw Actuals'!D88))="VENUE HIRE",UPPER(TRIM('Raw Actuals'!D88))="TRAINING VENUE"),"Venue",IF(OR(UPPER(TRIM('Raw Actuals'!D88))="ADMINISTRATION",UPPER(TRIM('Raw Actuals'!D88))="ADMIN",UPPER(TRIM('Raw Actuals'!D88))="OPERATIONAL SUPPORT"),"Administration","Review"))))))))))</x:f>
        <x:v>Transport</x:v>
      </x:c>
      <x:c r="E88" t="str">
        <x:f>IF(TRIM('Raw Actuals'!E88)="","Missing",PROPER(TRIM('Raw Actuals'!E88)))</x:f>
        <x:v>Thuto Facilitation</x:v>
      </x:c>
      <x:c r="F88" t="str">
        <x:f>TRIM('Raw Actuals'!F88)</x:f>
        <x:v>Transport expense 83</x:v>
      </x:c>
      <x:c r="G88" s="26" t="n">
        <x:v>12762</x:v>
      </x:c>
      <x:c r="H88" t="str">
        <x:f>IF(OR(UPPER(TRIM('Raw Actuals'!H88))="PAID",UPPER(TRIM('Raw Actuals'!H88))="PAID "),"Paid",IF(UPPER(TRIM('Raw Actuals'!H88))="APPROVED","Approved",IF(OR(UPPER(TRIM('Raw Actuals'!H88))="SUBMITTED",UPPER(TRIM('Raw Actuals'!H88))="PENDING"),"Submitted",IF(UPPER(TRIM('Raw Actuals'!H88))="REJECTED","Rejected","Review"))))</x:f>
        <x:v>Rejected</x:v>
      </x:c>
      <x:c r="I88" t="str">
        <x:f>IF(OR(H88="Paid",H88="Approved"),"Include","Exclude")</x:f>
        <x:v>Exclude</x:v>
      </x:c>
      <x:c r="J88" t="str">
        <x:f>IF(B88="","Missing invoice",IF(COUNTIF($B$6:B88,B88)&gt;1,"Duplicate","Unique"))</x:f>
        <x:v>Unique</x:v>
      </x:c>
      <x:c r="K88" s="17" t="str">
        <x:f>IF(A88="","Missing ID; ","")&amp;IF(B88="","Missing invoice; ","")&amp;IF(C88="","Invalid date; ","")&amp;IF(D88="Review","Unmapped category; ","")&amp;IF(E88="Missing","Missing supplier; ","")&amp;IF(OR(G88="",G88&lt;=0),"Invalid amount; ","")&amp;IF(H88="Review","Invalid payment state; ","")&amp;IF(J88="Duplicate","Duplicate invoice; ","")</x:f>
      </x:c>
      <x:c r="L88" t="str">
        <x:f>IF(K88="","Ready","Review")</x:f>
        <x:v>Ready</x:v>
      </x:c>
      <x:c r="M88" s="26" t="n">
        <x:f>IF(AND(L88="Ready",I88="Include"),G88,0)</x:f>
        <x:v>0</x:v>
      </x:c>
    </x:row>
    <x:row r="89">
      <x:c r="A89" t="str">
        <x:f>UPPER(TRIM('Raw Actuals'!A89))</x:f>
        <x:v>TXN-27-0084</x:v>
      </x:c>
      <x:c r="B89" t="str">
        <x:f>UPPER(TRIM('Raw Actuals'!B89))</x:f>
        <x:v>INV-27-0084</x:v>
      </x:c>
      <x:c r="C89" s="25" t="n">
        <x:f>IFERROR(IF(OR(MID(TRIM('Raw Actuals'!C89),5,1)="-",MID(TRIM('Raw Actuals'!C89),5,1)="/"),DATE(VALUE(LEFT(TRIM('Raw Actuals'!C89),4)),VALUE(MID(TRIM('Raw Actuals'!C89),6,2)),VALUE(RIGHT(TRIM('Raw Actuals'!C89),2))),IF(LEN(TRIM('Raw Actuals'!C89))=10,DATE(VALUE(RIGHT(TRIM('Raw Actuals'!C89),4)),VALUE(MID(TRIM('Raw Actuals'!C89),4,2)),VALUE(LEFT(TRIM('Raw Actuals'!C89),2))),IF(LEN(TRIM('Raw Actuals'!C89))=8,DATE(2000+VALUE(RIGHT(TRIM('Raw Actuals'!C89),2)),VALUE(MID(TRIM('Raw Actuals'!C89),4,2)),VALUE(LEFT(TRIM('Raw Actuals'!C89),2))),""))),"")</x:f>
        <x:v>46394</x:v>
      </x:c>
      <x:c r="D89" t="str">
        <x:f>IF(OR(UPPER(TRIM('Raw Actuals'!D89))="CATERING",UPPER(TRIM('Raw Actuals'!D89))="WORKSHOP CATERING",UPPER(TRIM('Raw Actuals'!D89))="MEALS",UPPER(TRIM('Raw Actuals'!D89))="CATERNG"),"Catering",IF(OR(UPPER(TRIM('Raw Actuals'!D89))="TRANSPORT",UPPER(TRIM('Raw Actuals'!D89))="LEARNER TRANSPORT",UPPER(TRIM('Raw Actuals'!D89))="TAXIS",UPPER(TRIM('Raw Actuals'!D89))="LEARNER TAXI"),"Transport",IF(OR(UPPER(TRIM('Raw Actuals'!D89))="FACILITATION",UPPER(TRIM('Raw Actuals'!D89))="CHAMPION PAYMENTS",UPPER(TRIM('Raw Actuals'!D89))="STIPENDS",UPPER(TRIM('Raw Actuals'!D89))="FACILITATOR FEE"),"Facilitation",IF(OR(UPPER(TRIM('Raw Actuals'!D89))="MATERIALS",UPPER(TRIM('Raw Actuals'!D89))="WORKSHOP MATERIALS",UPPER(TRIM('Raw Actuals'!D89))="MATERIALS / SUPPLIES"),"Materials",IF(OR(UPPER(TRIM('Raw Actuals'!D89))="PRINTING",UPPER(TRIM('Raw Actuals'!D89))="PRINT &amp; CONSENT",UPPER(TRIM('Raw Actuals'!D89))="PRINTING AND CONSENT"),"Printing",IF(OR(UPPER(TRIM('Raw Actuals'!D89))="TRAINING",UPPER(TRIM('Raw Actuals'!D89))="CHAMPION TRAINING",UPPER(TRIM('Raw Actuals'!D89))="FACILITATOR TRAINING"),"Training",IF(OR(UPPER(TRIM('Raw Actuals'!D89))="SITE VISITS",UPPER(TRIM('Raw Actuals'!D89))="SITE VISIT",UPPER(TRIM('Raw Actuals'!D89))="TRAVEL AND SITE VISITS"),"Site visits",IF(OR(UPPER(TRIM('Raw Actuals'!D89))="EVENTS",UPPER(TRIM('Raw Actuals'!D89))="RECOGNITION EVENT",UPPER(TRIM('Raw Actuals'!D89))="BADGE CEREMONY"),"Events",IF(OR(UPPER(TRIM('Raw Actuals'!D89))="VENUE",UPPER(TRIM('Raw Actuals'!D89))="VENUE HIRE",UPPER(TRIM('Raw Actuals'!D89))="TRAINING VENUE"),"Venue",IF(OR(UPPER(TRIM('Raw Actuals'!D89))="ADMINISTRATION",UPPER(TRIM('Raw Actuals'!D89))="ADMIN",UPPER(TRIM('Raw Actuals'!D89))="OPERATIONAL SUPPORT"),"Administration","Review"))))))))))</x:f>
        <x:v>Venue</x:v>
      </x:c>
      <x:c r="E89" t="str">
        <x:f>IF(TRIM('Raw Actuals'!E89)="","Missing",PROPER(TRIM('Raw Actuals'!E89)))</x:f>
        <x:v>Moya Supplies</x:v>
      </x:c>
      <x:c r="F89" t="str">
        <x:f>TRIM('Raw Actuals'!F89)</x:f>
        <x:v>Venue expense 84</x:v>
      </x:c>
      <x:c r="G89" s="26" t="n">
        <x:v>11723</x:v>
      </x:c>
      <x:c r="H89" t="str">
        <x:f>IF(OR(UPPER(TRIM('Raw Actuals'!H89))="PAID",UPPER(TRIM('Raw Actuals'!H89))="PAID "),"Paid",IF(UPPER(TRIM('Raw Actuals'!H89))="APPROVED","Approved",IF(OR(UPPER(TRIM('Raw Actuals'!H89))="SUBMITTED",UPPER(TRIM('Raw Actuals'!H89))="PENDING"),"Submitted",IF(UPPER(TRIM('Raw Actuals'!H89))="REJECTED","Rejected","Review"))))</x:f>
        <x:v>Paid</x:v>
      </x:c>
      <x:c r="I89" t="str">
        <x:f>IF(OR(H89="Paid",H89="Approved"),"Include","Exclude")</x:f>
        <x:v>Include</x:v>
      </x:c>
      <x:c r="J89" t="str">
        <x:f>IF(B89="","Missing invoice",IF(COUNTIF($B$6:B89,B89)&gt;1,"Duplicate","Unique"))</x:f>
        <x:v>Unique</x:v>
      </x:c>
      <x:c r="K89" s="17" t="str">
        <x:f>IF(A89="","Missing ID; ","")&amp;IF(B89="","Missing invoice; ","")&amp;IF(C89="","Invalid date; ","")&amp;IF(D89="Review","Unmapped category; ","")&amp;IF(E89="Missing","Missing supplier; ","")&amp;IF(OR(G89="",G89&lt;=0),"Invalid amount; ","")&amp;IF(H89="Review","Invalid payment state; ","")&amp;IF(J89="Duplicate","Duplicate invoice; ","")</x:f>
      </x:c>
      <x:c r="L89" t="str">
        <x:f>IF(K89="","Ready","Review")</x:f>
        <x:v>Ready</x:v>
      </x:c>
      <x:c r="M89" s="26" t="n">
        <x:f>IF(AND(L89="Ready",I89="Include"),G89,0)</x:f>
        <x:v>11723</x:v>
      </x:c>
    </x:row>
    <x:row r="90">
      <x:c r="A90" t="str">
        <x:f>UPPER(TRIM('Raw Actuals'!A90))</x:f>
        <x:v>TXN-27-0085</x:v>
      </x:c>
      <x:c r="B90" t="str">
        <x:f>UPPER(TRIM('Raw Actuals'!B90))</x:f>
        <x:v>INV-27-0085</x:v>
      </x:c>
      <x:c r="C90" s="25" t="n">
        <x:f>IFERROR(IF(OR(MID(TRIM('Raw Actuals'!C90),5,1)="-",MID(TRIM('Raw Actuals'!C90),5,1)="/"),DATE(VALUE(LEFT(TRIM('Raw Actuals'!C90),4)),VALUE(MID(TRIM('Raw Actuals'!C90),6,2)),VALUE(RIGHT(TRIM('Raw Actuals'!C90),2))),IF(LEN(TRIM('Raw Actuals'!C90))=10,DATE(VALUE(RIGHT(TRIM('Raw Actuals'!C90),4)),VALUE(MID(TRIM('Raw Actuals'!C90),4,2)),VALUE(LEFT(TRIM('Raw Actuals'!C90),2))),IF(LEN(TRIM('Raw Actuals'!C90))=8,DATE(2000+VALUE(RIGHT(TRIM('Raw Actuals'!C90),2)),VALUE(MID(TRIM('Raw Actuals'!C90),4,2)),VALUE(LEFT(TRIM('Raw Actuals'!C90),2))),""))),"")</x:f>
        <x:v>46556</x:v>
      </x:c>
      <x:c r="D90" t="str">
        <x:f>IF(OR(UPPER(TRIM('Raw Actuals'!D90))="CATERING",UPPER(TRIM('Raw Actuals'!D90))="WORKSHOP CATERING",UPPER(TRIM('Raw Actuals'!D90))="MEALS",UPPER(TRIM('Raw Actuals'!D90))="CATERNG"),"Catering",IF(OR(UPPER(TRIM('Raw Actuals'!D90))="TRANSPORT",UPPER(TRIM('Raw Actuals'!D90))="LEARNER TRANSPORT",UPPER(TRIM('Raw Actuals'!D90))="TAXIS",UPPER(TRIM('Raw Actuals'!D90))="LEARNER TAXI"),"Transport",IF(OR(UPPER(TRIM('Raw Actuals'!D90))="FACILITATION",UPPER(TRIM('Raw Actuals'!D90))="CHAMPION PAYMENTS",UPPER(TRIM('Raw Actuals'!D90))="STIPENDS",UPPER(TRIM('Raw Actuals'!D90))="FACILITATOR FEE"),"Facilitation",IF(OR(UPPER(TRIM('Raw Actuals'!D90))="MATERIALS",UPPER(TRIM('Raw Actuals'!D90))="WORKSHOP MATERIALS",UPPER(TRIM('Raw Actuals'!D90))="MATERIALS / SUPPLIES"),"Materials",IF(OR(UPPER(TRIM('Raw Actuals'!D90))="PRINTING",UPPER(TRIM('Raw Actuals'!D90))="PRINT &amp; CONSENT",UPPER(TRIM('Raw Actuals'!D90))="PRINTING AND CONSENT"),"Printing",IF(OR(UPPER(TRIM('Raw Actuals'!D90))="TRAINING",UPPER(TRIM('Raw Actuals'!D90))="CHAMPION TRAINING",UPPER(TRIM('Raw Actuals'!D90))="FACILITATOR TRAINING"),"Training",IF(OR(UPPER(TRIM('Raw Actuals'!D90))="SITE VISITS",UPPER(TRIM('Raw Actuals'!D90))="SITE VISIT",UPPER(TRIM('Raw Actuals'!D90))="TRAVEL AND SITE VISITS"),"Site visits",IF(OR(UPPER(TRIM('Raw Actuals'!D90))="EVENTS",UPPER(TRIM('Raw Actuals'!D90))="RECOGNITION EVENT",UPPER(TRIM('Raw Actuals'!D90))="BADGE CEREMONY"),"Events",IF(OR(UPPER(TRIM('Raw Actuals'!D90))="VENUE",UPPER(TRIM('Raw Actuals'!D90))="VENUE HIRE",UPPER(TRIM('Raw Actuals'!D90))="TRAINING VENUE"),"Venue",IF(OR(UPPER(TRIM('Raw Actuals'!D90))="ADMINISTRATION",UPPER(TRIM('Raw Actuals'!D90))="ADMIN",UPPER(TRIM('Raw Actuals'!D90))="OPERATIONAL SUPPORT"),"Administration","Review"))))))))))</x:f>
        <x:v>Training</x:v>
      </x:c>
      <x:c r="E90" t="str">
        <x:f>IF(TRIM('Raw Actuals'!E90)="","Missing",PROPER(TRIM('Raw Actuals'!E90)))</x:f>
        <x:v>Northline Transport</x:v>
      </x:c>
      <x:c r="F90" t="str">
        <x:f>TRIM('Raw Actuals'!F90)</x:f>
        <x:v>Training expense 85</x:v>
      </x:c>
      <x:c r="G90" s="26" t="n">
        <x:v>12457</x:v>
      </x:c>
      <x:c r="H90" t="str">
        <x:f>IF(OR(UPPER(TRIM('Raw Actuals'!H90))="PAID",UPPER(TRIM('Raw Actuals'!H90))="PAID "),"Paid",IF(UPPER(TRIM('Raw Actuals'!H90))="APPROVED","Approved",IF(OR(UPPER(TRIM('Raw Actuals'!H90))="SUBMITTED",UPPER(TRIM('Raw Actuals'!H90))="PENDING"),"Submitted",IF(UPPER(TRIM('Raw Actuals'!H90))="REJECTED","Rejected","Review"))))</x:f>
        <x:v>Paid</x:v>
      </x:c>
      <x:c r="I90" t="str">
        <x:f>IF(OR(H90="Paid",H90="Approved"),"Include","Exclude")</x:f>
        <x:v>Include</x:v>
      </x:c>
      <x:c r="J90" t="str">
        <x:f>IF(B90="","Missing invoice",IF(COUNTIF($B$6:B90,B90)&gt;1,"Duplicate","Unique"))</x:f>
        <x:v>Unique</x:v>
      </x:c>
      <x:c r="K90" s="17" t="str">
        <x:f>IF(A90="","Missing ID; ","")&amp;IF(B90="","Missing invoice; ","")&amp;IF(C90="","Invalid date; ","")&amp;IF(D90="Review","Unmapped category; ","")&amp;IF(E90="Missing","Missing supplier; ","")&amp;IF(OR(G90="",G90&lt;=0),"Invalid amount; ","")&amp;IF(H90="Review","Invalid payment state; ","")&amp;IF(J90="Duplicate","Duplicate invoice; ","")</x:f>
      </x:c>
      <x:c r="L90" t="str">
        <x:f>IF(K90="","Ready","Review")</x:f>
        <x:v>Ready</x:v>
      </x:c>
      <x:c r="M90" s="26" t="n">
        <x:f>IF(AND(L90="Ready",I90="Include"),G90,0)</x:f>
        <x:v>12457</x:v>
      </x:c>
    </x:row>
    <x:row r="91">
      <x:c r="A91" t="str">
        <x:f>UPPER(TRIM('Raw Actuals'!A91))</x:f>
        <x:v>TXN-27-0086</x:v>
      </x:c>
      <x:c r="B91" t="str">
        <x:f>UPPER(TRIM('Raw Actuals'!B91))</x:f>
        <x:v>INV-27-0086</x:v>
      </x:c>
      <x:c r="C91" s="25" t="n">
        <x:f>IFERROR(IF(OR(MID(TRIM('Raw Actuals'!C91),5,1)="-",MID(TRIM('Raw Actuals'!C91),5,1)="/"),DATE(VALUE(LEFT(TRIM('Raw Actuals'!C91),4)),VALUE(MID(TRIM('Raw Actuals'!C91),6,2)),VALUE(RIGHT(TRIM('Raw Actuals'!C91),2))),IF(LEN(TRIM('Raw Actuals'!C91))=10,DATE(VALUE(RIGHT(TRIM('Raw Actuals'!C91),4)),VALUE(MID(TRIM('Raw Actuals'!C91),4,2)),VALUE(LEFT(TRIM('Raw Actuals'!C91),2))),IF(LEN(TRIM('Raw Actuals'!C91))=8,DATE(2000+VALUE(RIGHT(TRIM('Raw Actuals'!C91),2)),VALUE(MID(TRIM('Raw Actuals'!C91),4,2)),VALUE(LEFT(TRIM('Raw Actuals'!C91),2))),""))),"")</x:f>
        <x:v>46509</x:v>
      </x:c>
      <x:c r="D91" t="str">
        <x:f>IF(OR(UPPER(TRIM('Raw Actuals'!D91))="CATERING",UPPER(TRIM('Raw Actuals'!D91))="WORKSHOP CATERING",UPPER(TRIM('Raw Actuals'!D91))="MEALS",UPPER(TRIM('Raw Actuals'!D91))="CATERNG"),"Catering",IF(OR(UPPER(TRIM('Raw Actuals'!D91))="TRANSPORT",UPPER(TRIM('Raw Actuals'!D91))="LEARNER TRANSPORT",UPPER(TRIM('Raw Actuals'!D91))="TAXIS",UPPER(TRIM('Raw Actuals'!D91))="LEARNER TAXI"),"Transport",IF(OR(UPPER(TRIM('Raw Actuals'!D91))="FACILITATION",UPPER(TRIM('Raw Actuals'!D91))="CHAMPION PAYMENTS",UPPER(TRIM('Raw Actuals'!D91))="STIPENDS",UPPER(TRIM('Raw Actuals'!D91))="FACILITATOR FEE"),"Facilitation",IF(OR(UPPER(TRIM('Raw Actuals'!D91))="MATERIALS",UPPER(TRIM('Raw Actuals'!D91))="WORKSHOP MATERIALS",UPPER(TRIM('Raw Actuals'!D91))="MATERIALS / SUPPLIES"),"Materials",IF(OR(UPPER(TRIM('Raw Actuals'!D91))="PRINTING",UPPER(TRIM('Raw Actuals'!D91))="PRINT &amp; CONSENT",UPPER(TRIM('Raw Actuals'!D91))="PRINTING AND CONSENT"),"Printing",IF(OR(UPPER(TRIM('Raw Actuals'!D91))="TRAINING",UPPER(TRIM('Raw Actuals'!D91))="CHAMPION TRAINING",UPPER(TRIM('Raw Actuals'!D91))="FACILITATOR TRAINING"),"Training",IF(OR(UPPER(TRIM('Raw Actuals'!D91))="SITE VISITS",UPPER(TRIM('Raw Actuals'!D91))="SITE VISIT",UPPER(TRIM('Raw Actuals'!D91))="TRAVEL AND SITE VISITS"),"Site visits",IF(OR(UPPER(TRIM('Raw Actuals'!D91))="EVENTS",UPPER(TRIM('Raw Actuals'!D91))="RECOGNITION EVENT",UPPER(TRIM('Raw Actuals'!D91))="BADGE CEREMONY"),"Events",IF(OR(UPPER(TRIM('Raw Actuals'!D91))="VENUE",UPPER(TRIM('Raw Actuals'!D91))="VENUE HIRE",UPPER(TRIM('Raw Actuals'!D91))="TRAINING VENUE"),"Venue",IF(OR(UPPER(TRIM('Raw Actuals'!D91))="ADMINISTRATION",UPPER(TRIM('Raw Actuals'!D91))="ADMIN",UPPER(TRIM('Raw Actuals'!D91))="OPERATIONAL SUPPORT"),"Administration","Review"))))))))))</x:f>
        <x:v>Facilitation</x:v>
      </x:c>
      <x:c r="E91" t="str">
        <x:f>IF(TRIM('Raw Actuals'!E91)="","Missing",PROPER(TRIM('Raw Actuals'!E91)))</x:f>
        <x:v>Kopano Catering</x:v>
      </x:c>
      <x:c r="F91" t="str">
        <x:f>TRIM('Raw Actuals'!F91)</x:f>
        <x:v>Facilitation expense 86</x:v>
      </x:c>
      <x:c r="G91" s="26" t="n">
        <x:v>1730</x:v>
      </x:c>
      <x:c r="H91" t="str">
        <x:f>IF(OR(UPPER(TRIM('Raw Actuals'!H91))="PAID",UPPER(TRIM('Raw Actuals'!H91))="PAID "),"Paid",IF(UPPER(TRIM('Raw Actuals'!H91))="APPROVED","Approved",IF(OR(UPPER(TRIM('Raw Actuals'!H91))="SUBMITTED",UPPER(TRIM('Raw Actuals'!H91))="PENDING"),"Submitted",IF(UPPER(TRIM('Raw Actuals'!H91))="REJECTED","Rejected","Review"))))</x:f>
        <x:v>Submitted</x:v>
      </x:c>
      <x:c r="I91" t="str">
        <x:f>IF(OR(H91="Paid",H91="Approved"),"Include","Exclude")</x:f>
        <x:v>Exclude</x:v>
      </x:c>
      <x:c r="J91" t="str">
        <x:f>IF(B91="","Missing invoice",IF(COUNTIF($B$6:B91,B91)&gt;1,"Duplicate","Unique"))</x:f>
        <x:v>Unique</x:v>
      </x:c>
      <x:c r="K91" s="17" t="str">
        <x:f>IF(A91="","Missing ID; ","")&amp;IF(B91="","Missing invoice; ","")&amp;IF(C91="","Invalid date; ","")&amp;IF(D91="Review","Unmapped category; ","")&amp;IF(E91="Missing","Missing supplier; ","")&amp;IF(OR(G91="",G91&lt;=0),"Invalid amount; ","")&amp;IF(H91="Review","Invalid payment state; ","")&amp;IF(J91="Duplicate","Duplicate invoice; ","")</x:f>
      </x:c>
      <x:c r="L91" t="str">
        <x:f>IF(K91="","Ready","Review")</x:f>
        <x:v>Ready</x:v>
      </x:c>
      <x:c r="M91" s="26" t="n">
        <x:f>IF(AND(L91="Ready",I91="Include"),G91,0)</x:f>
        <x:v>0</x:v>
      </x:c>
    </x:row>
    <x:row r="92">
      <x:c r="A92" t="str">
        <x:f>UPPER(TRIM('Raw Actuals'!A92))</x:f>
        <x:v>TXN-27-0087</x:v>
      </x:c>
      <x:c r="B92" t="str">
        <x:f>UPPER(TRIM('Raw Actuals'!B92))</x:f>
        <x:v>INV-27-0087</x:v>
      </x:c>
      <x:c r="C92" s="25" t="n">
        <x:f>IFERROR(IF(OR(MID(TRIM('Raw Actuals'!C92),5,1)="-",MID(TRIM('Raw Actuals'!C92),5,1)="/"),DATE(VALUE(LEFT(TRIM('Raw Actuals'!C92),4)),VALUE(MID(TRIM('Raw Actuals'!C92),6,2)),VALUE(RIGHT(TRIM('Raw Actuals'!C92),2))),IF(LEN(TRIM('Raw Actuals'!C92))=10,DATE(VALUE(RIGHT(TRIM('Raw Actuals'!C92),4)),VALUE(MID(TRIM('Raw Actuals'!C92),4,2)),VALUE(LEFT(TRIM('Raw Actuals'!C92),2))),IF(LEN(TRIM('Raw Actuals'!C92))=8,DATE(2000+VALUE(RIGHT(TRIM('Raw Actuals'!C92),2)),VALUE(MID(TRIM('Raw Actuals'!C92),4,2)),VALUE(LEFT(TRIM('Raw Actuals'!C92),2))),""))),"")</x:f>
        <x:v>46490</x:v>
      </x:c>
      <x:c r="D92" t="str">
        <x:f>IF(OR(UPPER(TRIM('Raw Actuals'!D92))="CATERING",UPPER(TRIM('Raw Actuals'!D92))="WORKSHOP CATERING",UPPER(TRIM('Raw Actuals'!D92))="MEALS",UPPER(TRIM('Raw Actuals'!D92))="CATERNG"),"Catering",IF(OR(UPPER(TRIM('Raw Actuals'!D92))="TRANSPORT",UPPER(TRIM('Raw Actuals'!D92))="LEARNER TRANSPORT",UPPER(TRIM('Raw Actuals'!D92))="TAXIS",UPPER(TRIM('Raw Actuals'!D92))="LEARNER TAXI"),"Transport",IF(OR(UPPER(TRIM('Raw Actuals'!D92))="FACILITATION",UPPER(TRIM('Raw Actuals'!D92))="CHAMPION PAYMENTS",UPPER(TRIM('Raw Actuals'!D92))="STIPENDS",UPPER(TRIM('Raw Actuals'!D92))="FACILITATOR FEE"),"Facilitation",IF(OR(UPPER(TRIM('Raw Actuals'!D92))="MATERIALS",UPPER(TRIM('Raw Actuals'!D92))="WORKSHOP MATERIALS",UPPER(TRIM('Raw Actuals'!D92))="MATERIALS / SUPPLIES"),"Materials",IF(OR(UPPER(TRIM('Raw Actuals'!D92))="PRINTING",UPPER(TRIM('Raw Actuals'!D92))="PRINT &amp; CONSENT",UPPER(TRIM('Raw Actuals'!D92))="PRINTING AND CONSENT"),"Printing",IF(OR(UPPER(TRIM('Raw Actuals'!D92))="TRAINING",UPPER(TRIM('Raw Actuals'!D92))="CHAMPION TRAINING",UPPER(TRIM('Raw Actuals'!D92))="FACILITATOR TRAINING"),"Training",IF(OR(UPPER(TRIM('Raw Actuals'!D92))="SITE VISITS",UPPER(TRIM('Raw Actuals'!D92))="SITE VISIT",UPPER(TRIM('Raw Actuals'!D92))="TRAVEL AND SITE VISITS"),"Site visits",IF(OR(UPPER(TRIM('Raw Actuals'!D92))="EVENTS",UPPER(TRIM('Raw Actuals'!D92))="RECOGNITION EVENT",UPPER(TRIM('Raw Actuals'!D92))="BADGE CEREMONY"),"Events",IF(OR(UPPER(TRIM('Raw Actuals'!D92))="VENUE",UPPER(TRIM('Raw Actuals'!D92))="VENUE HIRE",UPPER(TRIM('Raw Actuals'!D92))="TRAINING VENUE"),"Venue",IF(OR(UPPER(TRIM('Raw Actuals'!D92))="ADMINISTRATION",UPPER(TRIM('Raw Actuals'!D92))="ADMIN",UPPER(TRIM('Raw Actuals'!D92))="OPERATIONAL SUPPORT"),"Administration","Review"))))))))))</x:f>
        <x:v>Administration</x:v>
      </x:c>
      <x:c r="E92" t="str">
        <x:f>IF(TRIM('Raw Actuals'!E92)="","Missing",PROPER(TRIM('Raw Actuals'!E92)))</x:f>
        <x:v>Riverside Venue Hire</x:v>
      </x:c>
      <x:c r="F92" t="str">
        <x:f>TRIM('Raw Actuals'!F92)</x:f>
        <x:v>Administration expense 87</x:v>
      </x:c>
      <x:c r="G92" s="26" t="n">
        <x:v>-14025</x:v>
      </x:c>
      <x:c r="H92" t="str">
        <x:f>IF(OR(UPPER(TRIM('Raw Actuals'!H92))="PAID",UPPER(TRIM('Raw Actuals'!H92))="PAID "),"Paid",IF(UPPER(TRIM('Raw Actuals'!H92))="APPROVED","Approved",IF(OR(UPPER(TRIM('Raw Actuals'!H92))="SUBMITTED",UPPER(TRIM('Raw Actuals'!H92))="PENDING"),"Submitted",IF(UPPER(TRIM('Raw Actuals'!H92))="REJECTED","Rejected","Review"))))</x:f>
        <x:v>Rejected</x:v>
      </x:c>
      <x:c r="I92" t="str">
        <x:f>IF(OR(H92="Paid",H92="Approved"),"Include","Exclude")</x:f>
        <x:v>Exclude</x:v>
      </x:c>
      <x:c r="J92" t="str">
        <x:f>IF(B92="","Missing invoice",IF(COUNTIF($B$6:B92,B92)&gt;1,"Duplicate","Unique"))</x:f>
        <x:v>Unique</x:v>
      </x:c>
      <x:c r="K92" s="17" t="str">
        <x:f>IF(A92="","Missing ID; ","")&amp;IF(B92="","Missing invoice; ","")&amp;IF(C92="","Invalid date; ","")&amp;IF(D92="Review","Unmapped category; ","")&amp;IF(E92="Missing","Missing supplier; ","")&amp;IF(OR(G92="",G92&lt;=0),"Invalid amount; ","")&amp;IF(H92="Review","Invalid payment state; ","")&amp;IF(J92="Duplicate","Duplicate invoice; ","")</x:f>
        <x:v>Invalid amount; </x:v>
      </x:c>
      <x:c r="L92" t="str">
        <x:f>IF(K92="","Ready","Review")</x:f>
        <x:v>Review</x:v>
      </x:c>
      <x:c r="M92" s="26" t="n">
        <x:f>IF(AND(L92="Ready",I92="Include"),G92,0)</x:f>
        <x:v>0</x:v>
      </x:c>
    </x:row>
    <x:row r="93">
      <x:c r="A93" t="str">
        <x:f>UPPER(TRIM('Raw Actuals'!A93))</x:f>
        <x:v>TXN-27-0088</x:v>
      </x:c>
      <x:c r="B93" t="str">
        <x:f>UPPER(TRIM('Raw Actuals'!B93))</x:f>
        <x:v>INV-27-0088</x:v>
      </x:c>
      <x:c r="C93" s="25" t="n">
        <x:f>IFERROR(IF(OR(MID(TRIM('Raw Actuals'!C93),5,1)="-",MID(TRIM('Raw Actuals'!C93),5,1)="/"),DATE(VALUE(LEFT(TRIM('Raw Actuals'!C93),4)),VALUE(MID(TRIM('Raw Actuals'!C93),6,2)),VALUE(RIGHT(TRIM('Raw Actuals'!C93),2))),IF(LEN(TRIM('Raw Actuals'!C93))=10,DATE(VALUE(RIGHT(TRIM('Raw Actuals'!C93),4)),VALUE(MID(TRIM('Raw Actuals'!C93),4,2)),VALUE(LEFT(TRIM('Raw Actuals'!C93),2))),IF(LEN(TRIM('Raw Actuals'!C93))=8,DATE(2000+VALUE(RIGHT(TRIM('Raw Actuals'!C93),2)),VALUE(MID(TRIM('Raw Actuals'!C93),4,2)),VALUE(LEFT(TRIM('Raw Actuals'!C93),2))),""))),"")</x:f>
        <x:v>46470</x:v>
      </x:c>
      <x:c r="D93" t="str">
        <x:f>IF(OR(UPPER(TRIM('Raw Actuals'!D93))="CATERING",UPPER(TRIM('Raw Actuals'!D93))="WORKSHOP CATERING",UPPER(TRIM('Raw Actuals'!D93))="MEALS",UPPER(TRIM('Raw Actuals'!D93))="CATERNG"),"Catering",IF(OR(UPPER(TRIM('Raw Actuals'!D93))="TRANSPORT",UPPER(TRIM('Raw Actuals'!D93))="LEARNER TRANSPORT",UPPER(TRIM('Raw Actuals'!D93))="TAXIS",UPPER(TRIM('Raw Actuals'!D93))="LEARNER TAXI"),"Transport",IF(OR(UPPER(TRIM('Raw Actuals'!D93))="FACILITATION",UPPER(TRIM('Raw Actuals'!D93))="CHAMPION PAYMENTS",UPPER(TRIM('Raw Actuals'!D93))="STIPENDS",UPPER(TRIM('Raw Actuals'!D93))="FACILITATOR FEE"),"Facilitation",IF(OR(UPPER(TRIM('Raw Actuals'!D93))="MATERIALS",UPPER(TRIM('Raw Actuals'!D93))="WORKSHOP MATERIALS",UPPER(TRIM('Raw Actuals'!D93))="MATERIALS / SUPPLIES"),"Materials",IF(OR(UPPER(TRIM('Raw Actuals'!D93))="PRINTING",UPPER(TRIM('Raw Actuals'!D93))="PRINT &amp; CONSENT",UPPER(TRIM('Raw Actuals'!D93))="PRINTING AND CONSENT"),"Printing",IF(OR(UPPER(TRIM('Raw Actuals'!D93))="TRAINING",UPPER(TRIM('Raw Actuals'!D93))="CHAMPION TRAINING",UPPER(TRIM('Raw Actuals'!D93))="FACILITATOR TRAINING"),"Training",IF(OR(UPPER(TRIM('Raw Actuals'!D93))="SITE VISITS",UPPER(TRIM('Raw Actuals'!D93))="SITE VISIT",UPPER(TRIM('Raw Actuals'!D93))="TRAVEL AND SITE VISITS"),"Site visits",IF(OR(UPPER(TRIM('Raw Actuals'!D93))="EVENTS",UPPER(TRIM('Raw Actuals'!D93))="RECOGNITION EVENT",UPPER(TRIM('Raw Actuals'!D93))="BADGE CEREMONY"),"Events",IF(OR(UPPER(TRIM('Raw Actuals'!D93))="VENUE",UPPER(TRIM('Raw Actuals'!D93))="VENUE HIRE",UPPER(TRIM('Raw Actuals'!D93))="TRAINING VENUE"),"Venue",IF(OR(UPPER(TRIM('Raw Actuals'!D93))="ADMINISTRATION",UPPER(TRIM('Raw Actuals'!D93))="ADMIN",UPPER(TRIM('Raw Actuals'!D93))="OPERATIONAL SUPPORT"),"Administration","Review"))))))))))</x:f>
        <x:v>Site visits</x:v>
      </x:c>
      <x:c r="E93" t="str">
        <x:f>IF(TRIM('Raw Actuals'!E93)="","Missing",PROPER(TRIM('Raw Actuals'!E93)))</x:f>
        <x:v>Bright Print Studio</x:v>
      </x:c>
      <x:c r="F93" t="str">
        <x:f>TRIM('Raw Actuals'!F93)</x:f>
        <x:v>Site visits expense 88</x:v>
      </x:c>
      <x:c r="G93" s="26" t="n">
        <x:v>2725</x:v>
      </x:c>
      <x:c r="H93" t="str">
        <x:f>IF(OR(UPPER(TRIM('Raw Actuals'!H93))="PAID",UPPER(TRIM('Raw Actuals'!H93))="PAID "),"Paid",IF(UPPER(TRIM('Raw Actuals'!H93))="APPROVED","Approved",IF(OR(UPPER(TRIM('Raw Actuals'!H93))="SUBMITTED",UPPER(TRIM('Raw Actuals'!H93))="PENDING"),"Submitted",IF(UPPER(TRIM('Raw Actuals'!H93))="REJECTED","Rejected","Review"))))</x:f>
        <x:v>Paid</x:v>
      </x:c>
      <x:c r="I93" t="str">
        <x:f>IF(OR(H93="Paid",H93="Approved"),"Include","Exclude")</x:f>
        <x:v>Include</x:v>
      </x:c>
      <x:c r="J93" t="str">
        <x:f>IF(B93="","Missing invoice",IF(COUNTIF($B$6:B93,B93)&gt;1,"Duplicate","Unique"))</x:f>
        <x:v>Unique</x:v>
      </x:c>
      <x:c r="K93" s="17" t="str">
        <x:f>IF(A93="","Missing ID; ","")&amp;IF(B93="","Missing invoice; ","")&amp;IF(C93="","Invalid date; ","")&amp;IF(D93="Review","Unmapped category; ","")&amp;IF(E93="Missing","Missing supplier; ","")&amp;IF(OR(G93="",G93&lt;=0),"Invalid amount; ","")&amp;IF(H93="Review","Invalid payment state; ","")&amp;IF(J93="Duplicate","Duplicate invoice; ","")</x:f>
      </x:c>
      <x:c r="L93" t="str">
        <x:f>IF(K93="","Ready","Review")</x:f>
        <x:v>Ready</x:v>
      </x:c>
      <x:c r="M93" s="26" t="n">
        <x:f>IF(AND(L93="Ready",I93="Include"),G93,0)</x:f>
        <x:v>2725</x:v>
      </x:c>
    </x:row>
    <x:row r="94">
      <x:c r="A94" t="str">
        <x:f>UPPER(TRIM('Raw Actuals'!A94))</x:f>
        <x:v>TXN-27-0089</x:v>
      </x:c>
      <x:c r="B94" t="str">
        <x:f>UPPER(TRIM('Raw Actuals'!B94))</x:f>
        <x:v>INV-27-0089</x:v>
      </x:c>
      <x:c r="C94" s="25" t="n">
        <x:f>IFERROR(IF(OR(MID(TRIM('Raw Actuals'!C94),5,1)="-",MID(TRIM('Raw Actuals'!C94),5,1)="/"),DATE(VALUE(LEFT(TRIM('Raw Actuals'!C94),4)),VALUE(MID(TRIM('Raw Actuals'!C94),6,2)),VALUE(RIGHT(TRIM('Raw Actuals'!C94),2))),IF(LEN(TRIM('Raw Actuals'!C94))=10,DATE(VALUE(RIGHT(TRIM('Raw Actuals'!C94),4)),VALUE(MID(TRIM('Raw Actuals'!C94),4,2)),VALUE(LEFT(TRIM('Raw Actuals'!C94),2))),IF(LEN(TRIM('Raw Actuals'!C94))=8,DATE(2000+VALUE(RIGHT(TRIM('Raw Actuals'!C94),2)),VALUE(MID(TRIM('Raw Actuals'!C94),4,2)),VALUE(LEFT(TRIM('Raw Actuals'!C94),2))),""))),"")</x:f>
        <x:v>46426</x:v>
      </x:c>
      <x:c r="D94" t="str">
        <x:f>IF(OR(UPPER(TRIM('Raw Actuals'!D94))="CATERING",UPPER(TRIM('Raw Actuals'!D94))="WORKSHOP CATERING",UPPER(TRIM('Raw Actuals'!D94))="MEALS",UPPER(TRIM('Raw Actuals'!D94))="CATERNG"),"Catering",IF(OR(UPPER(TRIM('Raw Actuals'!D94))="TRANSPORT",UPPER(TRIM('Raw Actuals'!D94))="LEARNER TRANSPORT",UPPER(TRIM('Raw Actuals'!D94))="TAXIS",UPPER(TRIM('Raw Actuals'!D94))="LEARNER TAXI"),"Transport",IF(OR(UPPER(TRIM('Raw Actuals'!D94))="FACILITATION",UPPER(TRIM('Raw Actuals'!D94))="CHAMPION PAYMENTS",UPPER(TRIM('Raw Actuals'!D94))="STIPENDS",UPPER(TRIM('Raw Actuals'!D94))="FACILITATOR FEE"),"Facilitation",IF(OR(UPPER(TRIM('Raw Actuals'!D94))="MATERIALS",UPPER(TRIM('Raw Actuals'!D94))="WORKSHOP MATERIALS",UPPER(TRIM('Raw Actuals'!D94))="MATERIALS / SUPPLIES"),"Materials",IF(OR(UPPER(TRIM('Raw Actuals'!D94))="PRINTING",UPPER(TRIM('Raw Actuals'!D94))="PRINT &amp; CONSENT",UPPER(TRIM('Raw Actuals'!D94))="PRINTING AND CONSENT"),"Printing",IF(OR(UPPER(TRIM('Raw Actuals'!D94))="TRAINING",UPPER(TRIM('Raw Actuals'!D94))="CHAMPION TRAINING",UPPER(TRIM('Raw Actuals'!D94))="FACILITATOR TRAINING"),"Training",IF(OR(UPPER(TRIM('Raw Actuals'!D94))="SITE VISITS",UPPER(TRIM('Raw Actuals'!D94))="SITE VISIT",UPPER(TRIM('Raw Actuals'!D94))="TRAVEL AND SITE VISITS"),"Site visits",IF(OR(UPPER(TRIM('Raw Actuals'!D94))="EVENTS",UPPER(TRIM('Raw Actuals'!D94))="RECOGNITION EVENT",UPPER(TRIM('Raw Actuals'!D94))="BADGE CEREMONY"),"Events",IF(OR(UPPER(TRIM('Raw Actuals'!D94))="VENUE",UPPER(TRIM('Raw Actuals'!D94))="VENUE HIRE",UPPER(TRIM('Raw Actuals'!D94))="TRAINING VENUE"),"Venue",IF(OR(UPPER(TRIM('Raw Actuals'!D94))="ADMINISTRATION",UPPER(TRIM('Raw Actuals'!D94))="ADMIN",UPPER(TRIM('Raw Actuals'!D94))="OPERATIONAL SUPPORT"),"Administration","Review"))))))))))</x:f>
        <x:v>Materials</x:v>
      </x:c>
      <x:c r="E94" t="str">
        <x:f>IF(TRIM('Raw Actuals'!E94)="","Missing",PROPER(TRIM('Raw Actuals'!E94)))</x:f>
        <x:v>Thuto Facilitation</x:v>
      </x:c>
      <x:c r="F94" t="str">
        <x:f>TRIM('Raw Actuals'!F94)</x:f>
        <x:v>Materials expense 89</x:v>
      </x:c>
      <x:c r="G94" s="26" t="n">
        <x:v>4164</x:v>
      </x:c>
      <x:c r="H94" t="str">
        <x:f>IF(OR(UPPER(TRIM('Raw Actuals'!H94))="PAID",UPPER(TRIM('Raw Actuals'!H94))="PAID "),"Paid",IF(UPPER(TRIM('Raw Actuals'!H94))="APPROVED","Approved",IF(OR(UPPER(TRIM('Raw Actuals'!H94))="SUBMITTED",UPPER(TRIM('Raw Actuals'!H94))="PENDING"),"Submitted",IF(UPPER(TRIM('Raw Actuals'!H94))="REJECTED","Rejected","Review"))))</x:f>
        <x:v>Approved</x:v>
      </x:c>
      <x:c r="I94" t="str">
        <x:f>IF(OR(H94="Paid",H94="Approved"),"Include","Exclude")</x:f>
        <x:v>Include</x:v>
      </x:c>
      <x:c r="J94" t="str">
        <x:f>IF(B94="","Missing invoice",IF(COUNTIF($B$6:B94,B94)&gt;1,"Duplicate","Unique"))</x:f>
        <x:v>Unique</x:v>
      </x:c>
      <x:c r="K94" s="17" t="str">
        <x:f>IF(A94="","Missing ID; ","")&amp;IF(B94="","Missing invoice; ","")&amp;IF(C94="","Invalid date; ","")&amp;IF(D94="Review","Unmapped category; ","")&amp;IF(E94="Missing","Missing supplier; ","")&amp;IF(OR(G94="",G94&lt;=0),"Invalid amount; ","")&amp;IF(H94="Review","Invalid payment state; ","")&amp;IF(J94="Duplicate","Duplicate invoice; ","")</x:f>
      </x:c>
      <x:c r="L94" t="str">
        <x:f>IF(K94="","Ready","Review")</x:f>
        <x:v>Ready</x:v>
      </x:c>
      <x:c r="M94" s="26" t="n">
        <x:f>IF(AND(L94="Ready",I94="Include"),G94,0)</x:f>
        <x:v>4164</x:v>
      </x:c>
    </x:row>
    <x:row r="95">
      <x:c r="A95" t="str">
        <x:f>UPPER(TRIM('Raw Actuals'!A95))</x:f>
        <x:v>TXN-27-0090</x:v>
      </x:c>
      <x:c r="B95" t="str">
        <x:f>UPPER(TRIM('Raw Actuals'!B95))</x:f>
        <x:v>INV-27-0090</x:v>
      </x:c>
      <x:c r="C95" s="25" t="n">
        <x:f>IFERROR(IF(OR(MID(TRIM('Raw Actuals'!C95),5,1)="-",MID(TRIM('Raw Actuals'!C95),5,1)="/"),DATE(VALUE(LEFT(TRIM('Raw Actuals'!C95),4)),VALUE(MID(TRIM('Raw Actuals'!C95),6,2)),VALUE(RIGHT(TRIM('Raw Actuals'!C95),2))),IF(LEN(TRIM('Raw Actuals'!C95))=10,DATE(VALUE(RIGHT(TRIM('Raw Actuals'!C95),4)),VALUE(MID(TRIM('Raw Actuals'!C95),4,2)),VALUE(LEFT(TRIM('Raw Actuals'!C95),2))),IF(LEN(TRIM('Raw Actuals'!C95))=8,DATE(2000+VALUE(RIGHT(TRIM('Raw Actuals'!C95),2)),VALUE(MID(TRIM('Raw Actuals'!C95),4,2)),VALUE(LEFT(TRIM('Raw Actuals'!C95),2))),""))),"")</x:f>
        <x:v>46406</x:v>
      </x:c>
      <x:c r="D95" t="str">
        <x:f>IF(OR(UPPER(TRIM('Raw Actuals'!D95))="CATERING",UPPER(TRIM('Raw Actuals'!D95))="WORKSHOP CATERING",UPPER(TRIM('Raw Actuals'!D95))="MEALS",UPPER(TRIM('Raw Actuals'!D95))="CATERNG"),"Catering",IF(OR(UPPER(TRIM('Raw Actuals'!D95))="TRANSPORT",UPPER(TRIM('Raw Actuals'!D95))="LEARNER TRANSPORT",UPPER(TRIM('Raw Actuals'!D95))="TAXIS",UPPER(TRIM('Raw Actuals'!D95))="LEARNER TAXI"),"Transport",IF(OR(UPPER(TRIM('Raw Actuals'!D95))="FACILITATION",UPPER(TRIM('Raw Actuals'!D95))="CHAMPION PAYMENTS",UPPER(TRIM('Raw Actuals'!D95))="STIPENDS",UPPER(TRIM('Raw Actuals'!D95))="FACILITATOR FEE"),"Facilitation",IF(OR(UPPER(TRIM('Raw Actuals'!D95))="MATERIALS",UPPER(TRIM('Raw Actuals'!D95))="WORKSHOP MATERIALS",UPPER(TRIM('Raw Actuals'!D95))="MATERIALS / SUPPLIES"),"Materials",IF(OR(UPPER(TRIM('Raw Actuals'!D95))="PRINTING",UPPER(TRIM('Raw Actuals'!D95))="PRINT &amp; CONSENT",UPPER(TRIM('Raw Actuals'!D95))="PRINTING AND CONSENT"),"Printing",IF(OR(UPPER(TRIM('Raw Actuals'!D95))="TRAINING",UPPER(TRIM('Raw Actuals'!D95))="CHAMPION TRAINING",UPPER(TRIM('Raw Actuals'!D95))="FACILITATOR TRAINING"),"Training",IF(OR(UPPER(TRIM('Raw Actuals'!D95))="SITE VISITS",UPPER(TRIM('Raw Actuals'!D95))="SITE VISIT",UPPER(TRIM('Raw Actuals'!D95))="TRAVEL AND SITE VISITS"),"Site visits",IF(OR(UPPER(TRIM('Raw Actuals'!D95))="EVENTS",UPPER(TRIM('Raw Actuals'!D95))="RECOGNITION EVENT",UPPER(TRIM('Raw Actuals'!D95))="BADGE CEREMONY"),"Events",IF(OR(UPPER(TRIM('Raw Actuals'!D95))="VENUE",UPPER(TRIM('Raw Actuals'!D95))="VENUE HIRE",UPPER(TRIM('Raw Actuals'!D95))="TRAINING VENUE"),"Venue",IF(OR(UPPER(TRIM('Raw Actuals'!D95))="ADMINISTRATION",UPPER(TRIM('Raw Actuals'!D95))="ADMIN",UPPER(TRIM('Raw Actuals'!D95))="OPERATIONAL SUPPORT"),"Administration","Review"))))))))))</x:f>
        <x:v>Catering</x:v>
      </x:c>
      <x:c r="E95" t="str">
        <x:f>IF(TRIM('Raw Actuals'!E95)="","Missing",PROPER(TRIM('Raw Actuals'!E95)))</x:f>
        <x:v>Moya Supplies</x:v>
      </x:c>
      <x:c r="F95" t="str">
        <x:f>TRIM('Raw Actuals'!F95)</x:f>
        <x:v>Catering expense 90</x:v>
      </x:c>
      <x:c r="G95" s="26" t="n">
        <x:v>12942</x:v>
      </x:c>
      <x:c r="H95" t="str">
        <x:f>IF(OR(UPPER(TRIM('Raw Actuals'!H95))="PAID",UPPER(TRIM('Raw Actuals'!H95))="PAID "),"Paid",IF(UPPER(TRIM('Raw Actuals'!H95))="APPROVED","Approved",IF(OR(UPPER(TRIM('Raw Actuals'!H95))="SUBMITTED",UPPER(TRIM('Raw Actuals'!H95))="PENDING"),"Submitted",IF(UPPER(TRIM('Raw Actuals'!H95))="REJECTED","Rejected","Review"))))</x:f>
        <x:v>Submitted</x:v>
      </x:c>
      <x:c r="I95" t="str">
        <x:f>IF(OR(H95="Paid",H95="Approved"),"Include","Exclude")</x:f>
        <x:v>Exclude</x:v>
      </x:c>
      <x:c r="J95" t="str">
        <x:f>IF(B95="","Missing invoice",IF(COUNTIF($B$6:B95,B95)&gt;1,"Duplicate","Unique"))</x:f>
        <x:v>Unique</x:v>
      </x:c>
      <x:c r="K95" s="17" t="str">
        <x:f>IF(A95="","Missing ID; ","")&amp;IF(B95="","Missing invoice; ","")&amp;IF(C95="","Invalid date; ","")&amp;IF(D95="Review","Unmapped category; ","")&amp;IF(E95="Missing","Missing supplier; ","")&amp;IF(OR(G95="",G95&lt;=0),"Invalid amount; ","")&amp;IF(H95="Review","Invalid payment state; ","")&amp;IF(J95="Duplicate","Duplicate invoice; ","")</x:f>
      </x:c>
      <x:c r="L95" t="str">
        <x:f>IF(K95="","Ready","Review")</x:f>
        <x:v>Ready</x:v>
      </x:c>
      <x:c r="M95" s="26" t="n">
        <x:f>IF(AND(L95="Ready",I95="Include"),G95,0)</x:f>
        <x:v>0</x:v>
      </x:c>
    </x:row>
    <x:row r="96">
      <x:c r="A96" t="str">
        <x:f>UPPER(TRIM('Raw Actuals'!A96))</x:f>
        <x:v>TXN-27-0091</x:v>
      </x:c>
      <x:c r="B96" t="str">
        <x:f>UPPER(TRIM('Raw Actuals'!B96))</x:f>
        <x:v>INV-27-0091</x:v>
      </x:c>
      <x:c r="C96" s="25" t="n">
        <x:f>IFERROR(IF(OR(MID(TRIM('Raw Actuals'!C96),5,1)="-",MID(TRIM('Raw Actuals'!C96),5,1)="/"),DATE(VALUE(LEFT(TRIM('Raw Actuals'!C96),4)),VALUE(MID(TRIM('Raw Actuals'!C96),6,2)),VALUE(RIGHT(TRIM('Raw Actuals'!C96),2))),IF(LEN(TRIM('Raw Actuals'!C96))=10,DATE(VALUE(RIGHT(TRIM('Raw Actuals'!C96),4)),VALUE(MID(TRIM('Raw Actuals'!C96),4,2)),VALUE(LEFT(TRIM('Raw Actuals'!C96),2))),IF(LEN(TRIM('Raw Actuals'!C96))=8,DATE(2000+VALUE(RIGHT(TRIM('Raw Actuals'!C96),2)),VALUE(MID(TRIM('Raw Actuals'!C96),4,2)),VALUE(LEFT(TRIM('Raw Actuals'!C96),2))),""))),"")</x:f>
        <x:v>46541</x:v>
      </x:c>
      <x:c r="D96" t="str">
        <x:f>IF(OR(UPPER(TRIM('Raw Actuals'!D96))="CATERING",UPPER(TRIM('Raw Actuals'!D96))="WORKSHOP CATERING",UPPER(TRIM('Raw Actuals'!D96))="MEALS",UPPER(TRIM('Raw Actuals'!D96))="CATERNG"),"Catering",IF(OR(UPPER(TRIM('Raw Actuals'!D96))="TRANSPORT",UPPER(TRIM('Raw Actuals'!D96))="LEARNER TRANSPORT",UPPER(TRIM('Raw Actuals'!D96))="TAXIS",UPPER(TRIM('Raw Actuals'!D96))="LEARNER TAXI"),"Transport",IF(OR(UPPER(TRIM('Raw Actuals'!D96))="FACILITATION",UPPER(TRIM('Raw Actuals'!D96))="CHAMPION PAYMENTS",UPPER(TRIM('Raw Actuals'!D96))="STIPENDS",UPPER(TRIM('Raw Actuals'!D96))="FACILITATOR FEE"),"Facilitation",IF(OR(UPPER(TRIM('Raw Actuals'!D96))="MATERIALS",UPPER(TRIM('Raw Actuals'!D96))="WORKSHOP MATERIALS",UPPER(TRIM('Raw Actuals'!D96))="MATERIALS / SUPPLIES"),"Materials",IF(OR(UPPER(TRIM('Raw Actuals'!D96))="PRINTING",UPPER(TRIM('Raw Actuals'!D96))="PRINT &amp; CONSENT",UPPER(TRIM('Raw Actuals'!D96))="PRINTING AND CONSENT"),"Printing",IF(OR(UPPER(TRIM('Raw Actuals'!D96))="TRAINING",UPPER(TRIM('Raw Actuals'!D96))="CHAMPION TRAINING",UPPER(TRIM('Raw Actuals'!D96))="FACILITATOR TRAINING"),"Training",IF(OR(UPPER(TRIM('Raw Actuals'!D96))="SITE VISITS",UPPER(TRIM('Raw Actuals'!D96))="SITE VISIT",UPPER(TRIM('Raw Actuals'!D96))="TRAVEL AND SITE VISITS"),"Site visits",IF(OR(UPPER(TRIM('Raw Actuals'!D96))="EVENTS",UPPER(TRIM('Raw Actuals'!D96))="RECOGNITION EVENT",UPPER(TRIM('Raw Actuals'!D96))="BADGE CEREMONY"),"Events",IF(OR(UPPER(TRIM('Raw Actuals'!D96))="VENUE",UPPER(TRIM('Raw Actuals'!D96))="VENUE HIRE",UPPER(TRIM('Raw Actuals'!D96))="TRAINING VENUE"),"Venue",IF(OR(UPPER(TRIM('Raw Actuals'!D96))="ADMINISTRATION",UPPER(TRIM('Raw Actuals'!D96))="ADMIN",UPPER(TRIM('Raw Actuals'!D96))="OPERATIONAL SUPPORT"),"Administration","Review"))))))))))</x:f>
        <x:v>Events</x:v>
      </x:c>
      <x:c r="E96" t="str">
        <x:f>IF(TRIM('Raw Actuals'!E96)="","Missing",PROPER(TRIM('Raw Actuals'!E96)))</x:f>
        <x:v>Northline Transport</x:v>
      </x:c>
      <x:c r="F96" t="str">
        <x:f>TRIM('Raw Actuals'!F96)</x:f>
        <x:v>Events expense 91</x:v>
      </x:c>
      <x:c r="G96" s="26" t="n">
        <x:v>13081</x:v>
      </x:c>
      <x:c r="H96" t="str">
        <x:f>IF(OR(UPPER(TRIM('Raw Actuals'!H96))="PAID",UPPER(TRIM('Raw Actuals'!H96))="PAID "),"Paid",IF(UPPER(TRIM('Raw Actuals'!H96))="APPROVED","Approved",IF(OR(UPPER(TRIM('Raw Actuals'!H96))="SUBMITTED",UPPER(TRIM('Raw Actuals'!H96))="PENDING"),"Submitted",IF(UPPER(TRIM('Raw Actuals'!H96))="REJECTED","Rejected","Review"))))</x:f>
        <x:v>Rejected</x:v>
      </x:c>
      <x:c r="I96" t="str">
        <x:f>IF(OR(H96="Paid",H96="Approved"),"Include","Exclude")</x:f>
        <x:v>Exclude</x:v>
      </x:c>
      <x:c r="J96" t="str">
        <x:f>IF(B96="","Missing invoice",IF(COUNTIF($B$6:B96,B96)&gt;1,"Duplicate","Unique"))</x:f>
        <x:v>Unique</x:v>
      </x:c>
      <x:c r="K96" s="17" t="str">
        <x:f>IF(A96="","Missing ID; ","")&amp;IF(B96="","Missing invoice; ","")&amp;IF(C96="","Invalid date; ","")&amp;IF(D96="Review","Unmapped category; ","")&amp;IF(E96="Missing","Missing supplier; ","")&amp;IF(OR(G96="",G96&lt;=0),"Invalid amount; ","")&amp;IF(H96="Review","Invalid payment state; ","")&amp;IF(J96="Duplicate","Duplicate invoice; ","")</x:f>
      </x:c>
      <x:c r="L96" t="str">
        <x:f>IF(K96="","Ready","Review")</x:f>
        <x:v>Ready</x:v>
      </x:c>
      <x:c r="M96" s="26" t="n">
        <x:f>IF(AND(L96="Ready",I96="Include"),G96,0)</x:f>
        <x:v>0</x:v>
      </x:c>
    </x:row>
    <x:row r="97">
      <x:c r="A97" t="str">
        <x:f>UPPER(TRIM('Raw Actuals'!A97))</x:f>
        <x:v>TXN-27-0092</x:v>
      </x:c>
      <x:c r="B97" t="str">
        <x:f>UPPER(TRIM('Raw Actuals'!B97))</x:f>
        <x:v>INV-27-0091</x:v>
      </x:c>
      <x:c r="C97" s="25" t="n">
        <x:f>IFERROR(IF(OR(MID(TRIM('Raw Actuals'!C97),5,1)="-",MID(TRIM('Raw Actuals'!C97),5,1)="/"),DATE(VALUE(LEFT(TRIM('Raw Actuals'!C97),4)),VALUE(MID(TRIM('Raw Actuals'!C97),6,2)),VALUE(RIGHT(TRIM('Raw Actuals'!C97),2))),IF(LEN(TRIM('Raw Actuals'!C97))=10,DATE(VALUE(RIGHT(TRIM('Raw Actuals'!C97),4)),VALUE(MID(TRIM('Raw Actuals'!C97),4,2)),VALUE(LEFT(TRIM('Raw Actuals'!C97),2))),IF(LEN(TRIM('Raw Actuals'!C97))=8,DATE(2000+VALUE(RIGHT(TRIM('Raw Actuals'!C97),2)),VALUE(MID(TRIM('Raw Actuals'!C97),4,2)),VALUE(LEFT(TRIM('Raw Actuals'!C97),2))),""))),"")</x:f>
        <x:v>46521</x:v>
      </x:c>
      <x:c r="D97" t="str">
        <x:f>IF(OR(UPPER(TRIM('Raw Actuals'!D97))="CATERING",UPPER(TRIM('Raw Actuals'!D97))="WORKSHOP CATERING",UPPER(TRIM('Raw Actuals'!D97))="MEALS",UPPER(TRIM('Raw Actuals'!D97))="CATERNG"),"Catering",IF(OR(UPPER(TRIM('Raw Actuals'!D97))="TRANSPORT",UPPER(TRIM('Raw Actuals'!D97))="LEARNER TRANSPORT",UPPER(TRIM('Raw Actuals'!D97))="TAXIS",UPPER(TRIM('Raw Actuals'!D97))="LEARNER TAXI"),"Transport",IF(OR(UPPER(TRIM('Raw Actuals'!D97))="FACILITATION",UPPER(TRIM('Raw Actuals'!D97))="CHAMPION PAYMENTS",UPPER(TRIM('Raw Actuals'!D97))="STIPENDS",UPPER(TRIM('Raw Actuals'!D97))="FACILITATOR FEE"),"Facilitation",IF(OR(UPPER(TRIM('Raw Actuals'!D97))="MATERIALS",UPPER(TRIM('Raw Actuals'!D97))="WORKSHOP MATERIALS",UPPER(TRIM('Raw Actuals'!D97))="MATERIALS / SUPPLIES"),"Materials",IF(OR(UPPER(TRIM('Raw Actuals'!D97))="PRINTING",UPPER(TRIM('Raw Actuals'!D97))="PRINT &amp; CONSENT",UPPER(TRIM('Raw Actuals'!D97))="PRINTING AND CONSENT"),"Printing",IF(OR(UPPER(TRIM('Raw Actuals'!D97))="TRAINING",UPPER(TRIM('Raw Actuals'!D97))="CHAMPION TRAINING",UPPER(TRIM('Raw Actuals'!D97))="FACILITATOR TRAINING"),"Training",IF(OR(UPPER(TRIM('Raw Actuals'!D97))="SITE VISITS",UPPER(TRIM('Raw Actuals'!D97))="SITE VISIT",UPPER(TRIM('Raw Actuals'!D97))="TRAVEL AND SITE VISITS"),"Site visits",IF(OR(UPPER(TRIM('Raw Actuals'!D97))="EVENTS",UPPER(TRIM('Raw Actuals'!D97))="RECOGNITION EVENT",UPPER(TRIM('Raw Actuals'!D97))="BADGE CEREMONY"),"Events",IF(OR(UPPER(TRIM('Raw Actuals'!D97))="VENUE",UPPER(TRIM('Raw Actuals'!D97))="VENUE HIRE",UPPER(TRIM('Raw Actuals'!D97))="TRAINING VENUE"),"Venue",IF(OR(UPPER(TRIM('Raw Actuals'!D97))="ADMINISTRATION",UPPER(TRIM('Raw Actuals'!D97))="ADMIN",UPPER(TRIM('Raw Actuals'!D97))="OPERATIONAL SUPPORT"),"Administration","Review"))))))))))</x:f>
        <x:v>Printing</x:v>
      </x:c>
      <x:c r="E97" t="str">
        <x:f>IF(TRIM('Raw Actuals'!E97)="","Missing",PROPER(TRIM('Raw Actuals'!E97)))</x:f>
        <x:v>Kopano Catering</x:v>
      </x:c>
      <x:c r="F97" t="str">
        <x:f>TRIM('Raw Actuals'!F97)</x:f>
        <x:v>Printing expense 92</x:v>
      </x:c>
      <x:c r="G97" s="26" t="n">
        <x:v>426</x:v>
      </x:c>
      <x:c r="H97" t="str">
        <x:f>IF(OR(UPPER(TRIM('Raw Actuals'!H97))="PAID",UPPER(TRIM('Raw Actuals'!H97))="PAID "),"Paid",IF(UPPER(TRIM('Raw Actuals'!H97))="APPROVED","Approved",IF(OR(UPPER(TRIM('Raw Actuals'!H97))="SUBMITTED",UPPER(TRIM('Raw Actuals'!H97))="PENDING"),"Submitted",IF(UPPER(TRIM('Raw Actuals'!H97))="REJECTED","Rejected","Review"))))</x:f>
        <x:v>Paid</x:v>
      </x:c>
      <x:c r="I97" t="str">
        <x:f>IF(OR(H97="Paid",H97="Approved"),"Include","Exclude")</x:f>
        <x:v>Include</x:v>
      </x:c>
      <x:c r="J97" t="str">
        <x:f>IF(B97="","Missing invoice",IF(COUNTIF($B$6:B97,B97)&gt;1,"Duplicate","Unique"))</x:f>
        <x:v>Duplicate</x:v>
      </x:c>
      <x:c r="K97" s="17" t="str">
        <x:f>IF(A97="","Missing ID; ","")&amp;IF(B97="","Missing invoice; ","")&amp;IF(C97="","Invalid date; ","")&amp;IF(D97="Review","Unmapped category; ","")&amp;IF(E97="Missing","Missing supplier; ","")&amp;IF(OR(G97="",G97&lt;=0),"Invalid amount; ","")&amp;IF(H97="Review","Invalid payment state; ","")&amp;IF(J97="Duplicate","Duplicate invoice; ","")</x:f>
        <x:v>Duplicate invoice; </x:v>
      </x:c>
      <x:c r="L97" t="str">
        <x:f>IF(K97="","Ready","Review")</x:f>
        <x:v>Review</x:v>
      </x:c>
      <x:c r="M97" s="26" t="n">
        <x:f>IF(AND(L97="Ready",I97="Include"),G97,0)</x:f>
        <x:v>0</x:v>
      </x:c>
    </x:row>
    <x:row r="98">
      <x:c r="A98" t="str">
        <x:f>UPPER(TRIM('Raw Actuals'!A98))</x:f>
        <x:v>TXN-27-0093</x:v>
      </x:c>
      <x:c r="B98" t="str">
        <x:f>UPPER(TRIM('Raw Actuals'!B98))</x:f>
        <x:v>INV-27-0093</x:v>
      </x:c>
      <x:c r="C98" s="25" t="n">
        <x:f>IFERROR(IF(OR(MID(TRIM('Raw Actuals'!C98),5,1)="-",MID(TRIM('Raw Actuals'!C98),5,1)="/"),DATE(VALUE(LEFT(TRIM('Raw Actuals'!C98),4)),VALUE(MID(TRIM('Raw Actuals'!C98),6,2)),VALUE(RIGHT(TRIM('Raw Actuals'!C98),2))),IF(LEN(TRIM('Raw Actuals'!C98))=10,DATE(VALUE(RIGHT(TRIM('Raw Actuals'!C98),4)),VALUE(MID(TRIM('Raw Actuals'!C98),4,2)),VALUE(LEFT(TRIM('Raw Actuals'!C98),2))),IF(LEN(TRIM('Raw Actuals'!C98))=8,DATE(2000+VALUE(RIGHT(TRIM('Raw Actuals'!C98),2)),VALUE(MID(TRIM('Raw Actuals'!C98),4,2)),VALUE(LEFT(TRIM('Raw Actuals'!C98),2))),""))),"")</x:f>
        <x:v>46502</x:v>
      </x:c>
      <x:c r="D98" t="str">
        <x:f>IF(OR(UPPER(TRIM('Raw Actuals'!D98))="CATERING",UPPER(TRIM('Raw Actuals'!D98))="WORKSHOP CATERING",UPPER(TRIM('Raw Actuals'!D98))="MEALS",UPPER(TRIM('Raw Actuals'!D98))="CATERNG"),"Catering",IF(OR(UPPER(TRIM('Raw Actuals'!D98))="TRANSPORT",UPPER(TRIM('Raw Actuals'!D98))="LEARNER TRANSPORT",UPPER(TRIM('Raw Actuals'!D98))="TAXIS",UPPER(TRIM('Raw Actuals'!D98))="LEARNER TAXI"),"Transport",IF(OR(UPPER(TRIM('Raw Actuals'!D98))="FACILITATION",UPPER(TRIM('Raw Actuals'!D98))="CHAMPION PAYMENTS",UPPER(TRIM('Raw Actuals'!D98))="STIPENDS",UPPER(TRIM('Raw Actuals'!D98))="FACILITATOR FEE"),"Facilitation",IF(OR(UPPER(TRIM('Raw Actuals'!D98))="MATERIALS",UPPER(TRIM('Raw Actuals'!D98))="WORKSHOP MATERIALS",UPPER(TRIM('Raw Actuals'!D98))="MATERIALS / SUPPLIES"),"Materials",IF(OR(UPPER(TRIM('Raw Actuals'!D98))="PRINTING",UPPER(TRIM('Raw Actuals'!D98))="PRINT &amp; CONSENT",UPPER(TRIM('Raw Actuals'!D98))="PRINTING AND CONSENT"),"Printing",IF(OR(UPPER(TRIM('Raw Actuals'!D98))="TRAINING",UPPER(TRIM('Raw Actuals'!D98))="CHAMPION TRAINING",UPPER(TRIM('Raw Actuals'!D98))="FACILITATOR TRAINING"),"Training",IF(OR(UPPER(TRIM('Raw Actuals'!D98))="SITE VISITS",UPPER(TRIM('Raw Actuals'!D98))="SITE VISIT",UPPER(TRIM('Raw Actuals'!D98))="TRAVEL AND SITE VISITS"),"Site visits",IF(OR(UPPER(TRIM('Raw Actuals'!D98))="EVENTS",UPPER(TRIM('Raw Actuals'!D98))="RECOGNITION EVENT",UPPER(TRIM('Raw Actuals'!D98))="BADGE CEREMONY"),"Events",IF(OR(UPPER(TRIM('Raw Actuals'!D98))="VENUE",UPPER(TRIM('Raw Actuals'!D98))="VENUE HIRE",UPPER(TRIM('Raw Actuals'!D98))="TRAINING VENUE"),"Venue",IF(OR(UPPER(TRIM('Raw Actuals'!D98))="ADMINISTRATION",UPPER(TRIM('Raw Actuals'!D98))="ADMIN",UPPER(TRIM('Raw Actuals'!D98))="OPERATIONAL SUPPORT"),"Administration","Review"))))))))))</x:f>
        <x:v>Transport</x:v>
      </x:c>
      <x:c r="E98" t="str">
        <x:f>IF(TRIM('Raw Actuals'!E98)="","Missing",PROPER(TRIM('Raw Actuals'!E98)))</x:f>
        <x:v>Riverside Venue Hire</x:v>
      </x:c>
      <x:c r="F98" t="str">
        <x:f>TRIM('Raw Actuals'!F98)</x:f>
        <x:v>Transport expense 93</x:v>
      </x:c>
      <x:c r="G98" s="26" t="n">
        <x:v>13932</x:v>
      </x:c>
      <x:c r="H98" t="str">
        <x:f>IF(OR(UPPER(TRIM('Raw Actuals'!H98))="PAID",UPPER(TRIM('Raw Actuals'!H98))="PAID "),"Paid",IF(UPPER(TRIM('Raw Actuals'!H98))="APPROVED","Approved",IF(OR(UPPER(TRIM('Raw Actuals'!H98))="SUBMITTED",UPPER(TRIM('Raw Actuals'!H98))="PENDING"),"Submitted",IF(UPPER(TRIM('Raw Actuals'!H98))="REJECTED","Rejected","Review"))))</x:f>
        <x:v>Approved</x:v>
      </x:c>
      <x:c r="I98" t="str">
        <x:f>IF(OR(H98="Paid",H98="Approved"),"Include","Exclude")</x:f>
        <x:v>Include</x:v>
      </x:c>
      <x:c r="J98" t="str">
        <x:f>IF(B98="","Missing invoice",IF(COUNTIF($B$6:B98,B98)&gt;1,"Duplicate","Unique"))</x:f>
        <x:v>Unique</x:v>
      </x:c>
      <x:c r="K98" s="17" t="str">
        <x:f>IF(A98="","Missing ID; ","")&amp;IF(B98="","Missing invoice; ","")&amp;IF(C98="","Invalid date; ","")&amp;IF(D98="Review","Unmapped category; ","")&amp;IF(E98="Missing","Missing supplier; ","")&amp;IF(OR(G98="",G98&lt;=0),"Invalid amount; ","")&amp;IF(H98="Review","Invalid payment state; ","")&amp;IF(J98="Duplicate","Duplicate invoice; ","")</x:f>
      </x:c>
      <x:c r="L98" t="str">
        <x:f>IF(K98="","Ready","Review")</x:f>
        <x:v>Ready</x:v>
      </x:c>
      <x:c r="M98" s="26" t="n">
        <x:f>IF(AND(L98="Ready",I98="Include"),G98,0)</x:f>
        <x:v>13932</x:v>
      </x:c>
    </x:row>
    <x:row r="99">
      <x:c r="A99" t="str">
        <x:f>UPPER(TRIM('Raw Actuals'!A99))</x:f>
        <x:v>TXN-27-0094</x:v>
      </x:c>
      <x:c r="B99" t="str">
        <x:f>UPPER(TRIM('Raw Actuals'!B99))</x:f>
        <x:v>INV-27-0094</x:v>
      </x:c>
      <x:c r="C99" s="25" t="n">
        <x:f>IFERROR(IF(OR(MID(TRIM('Raw Actuals'!C99),5,1)="-",MID(TRIM('Raw Actuals'!C99),5,1)="/"),DATE(VALUE(LEFT(TRIM('Raw Actuals'!C99),4)),VALUE(MID(TRIM('Raw Actuals'!C99),6,2)),VALUE(RIGHT(TRIM('Raw Actuals'!C99),2))),IF(LEN(TRIM('Raw Actuals'!C99))=10,DATE(VALUE(RIGHT(TRIM('Raw Actuals'!C99),4)),VALUE(MID(TRIM('Raw Actuals'!C99),4,2)),VALUE(LEFT(TRIM('Raw Actuals'!C99),2))),IF(LEN(TRIM('Raw Actuals'!C99))=8,DATE(2000+VALUE(RIGHT(TRIM('Raw Actuals'!C99),2)),VALUE(MID(TRIM('Raw Actuals'!C99),4,2)),VALUE(LEFT(TRIM('Raw Actuals'!C99),2))),""))),"")</x:f>
        <x:v>46455</x:v>
      </x:c>
      <x:c r="D99" t="str">
        <x:f>IF(OR(UPPER(TRIM('Raw Actuals'!D99))="CATERING",UPPER(TRIM('Raw Actuals'!D99))="WORKSHOP CATERING",UPPER(TRIM('Raw Actuals'!D99))="MEALS",UPPER(TRIM('Raw Actuals'!D99))="CATERNG"),"Catering",IF(OR(UPPER(TRIM('Raw Actuals'!D99))="TRANSPORT",UPPER(TRIM('Raw Actuals'!D99))="LEARNER TRANSPORT",UPPER(TRIM('Raw Actuals'!D99))="TAXIS",UPPER(TRIM('Raw Actuals'!D99))="LEARNER TAXI"),"Transport",IF(OR(UPPER(TRIM('Raw Actuals'!D99))="FACILITATION",UPPER(TRIM('Raw Actuals'!D99))="CHAMPION PAYMENTS",UPPER(TRIM('Raw Actuals'!D99))="STIPENDS",UPPER(TRIM('Raw Actuals'!D99))="FACILITATOR FEE"),"Facilitation",IF(OR(UPPER(TRIM('Raw Actuals'!D99))="MATERIALS",UPPER(TRIM('Raw Actuals'!D99))="WORKSHOP MATERIALS",UPPER(TRIM('Raw Actuals'!D99))="MATERIALS / SUPPLIES"),"Materials",IF(OR(UPPER(TRIM('Raw Actuals'!D99))="PRINTING",UPPER(TRIM('Raw Actuals'!D99))="PRINT &amp; CONSENT",UPPER(TRIM('Raw Actuals'!D99))="PRINTING AND CONSENT"),"Printing",IF(OR(UPPER(TRIM('Raw Actuals'!D99))="TRAINING",UPPER(TRIM('Raw Actuals'!D99))="CHAMPION TRAINING",UPPER(TRIM('Raw Actuals'!D99))="FACILITATOR TRAINING"),"Training",IF(OR(UPPER(TRIM('Raw Actuals'!D99))="SITE VISITS",UPPER(TRIM('Raw Actuals'!D99))="SITE VISIT",UPPER(TRIM('Raw Actuals'!D99))="TRAVEL AND SITE VISITS"),"Site visits",IF(OR(UPPER(TRIM('Raw Actuals'!D99))="EVENTS",UPPER(TRIM('Raw Actuals'!D99))="RECOGNITION EVENT",UPPER(TRIM('Raw Actuals'!D99))="BADGE CEREMONY"),"Events",IF(OR(UPPER(TRIM('Raw Actuals'!D99))="VENUE",UPPER(TRIM('Raw Actuals'!D99))="VENUE HIRE",UPPER(TRIM('Raw Actuals'!D99))="TRAINING VENUE"),"Venue",IF(OR(UPPER(TRIM('Raw Actuals'!D99))="ADMINISTRATION",UPPER(TRIM('Raw Actuals'!D99))="ADMIN",UPPER(TRIM('Raw Actuals'!D99))="OPERATIONAL SUPPORT"),"Administration","Review"))))))))))</x:f>
        <x:v>Venue</x:v>
      </x:c>
      <x:c r="E99" t="str">
        <x:f>IF(TRIM('Raw Actuals'!E99)="","Missing",PROPER(TRIM('Raw Actuals'!E99)))</x:f>
        <x:v>Missing</x:v>
      </x:c>
      <x:c r="F99" t="str">
        <x:f>TRIM('Raw Actuals'!F99)</x:f>
        <x:v>Venue expense 94</x:v>
      </x:c>
      <x:c r="G99" s="26" t="n">
        <x:v>12893</x:v>
      </x:c>
      <x:c r="H99" t="str">
        <x:f>IF(OR(UPPER(TRIM('Raw Actuals'!H99))="PAID",UPPER(TRIM('Raw Actuals'!H99))="PAID "),"Paid",IF(UPPER(TRIM('Raw Actuals'!H99))="APPROVED","Approved",IF(OR(UPPER(TRIM('Raw Actuals'!H99))="SUBMITTED",UPPER(TRIM('Raw Actuals'!H99))="PENDING"),"Submitted",IF(UPPER(TRIM('Raw Actuals'!H99))="REJECTED","Rejected","Review"))))</x:f>
        <x:v>Submitted</x:v>
      </x:c>
      <x:c r="I99" t="str">
        <x:f>IF(OR(H99="Paid",H99="Approved"),"Include","Exclude")</x:f>
        <x:v>Exclude</x:v>
      </x:c>
      <x:c r="J99" t="str">
        <x:f>IF(B99="","Missing invoice",IF(COUNTIF($B$6:B99,B99)&gt;1,"Duplicate","Unique"))</x:f>
        <x:v>Unique</x:v>
      </x:c>
      <x:c r="K99" s="17" t="str">
        <x:f>IF(A99="","Missing ID; ","")&amp;IF(B99="","Missing invoice; ","")&amp;IF(C99="","Invalid date; ","")&amp;IF(D99="Review","Unmapped category; ","")&amp;IF(E99="Missing","Missing supplier; ","")&amp;IF(OR(G99="",G99&lt;=0),"Invalid amount; ","")&amp;IF(H99="Review","Invalid payment state; ","")&amp;IF(J99="Duplicate","Duplicate invoice; ","")</x:f>
        <x:v>Missing supplier; </x:v>
      </x:c>
      <x:c r="L99" t="str">
        <x:f>IF(K99="","Ready","Review")</x:f>
        <x:v>Review</x:v>
      </x:c>
      <x:c r="M99" s="26" t="n">
        <x:f>IF(AND(L99="Ready",I99="Include"),G99,0)</x:f>
        <x:v>0</x:v>
      </x:c>
    </x:row>
    <x:row r="100">
      <x:c r="A100" t="str">
        <x:f>UPPER(TRIM('Raw Actuals'!A100))</x:f>
        <x:v>TXN-27-0095</x:v>
      </x:c>
      <x:c r="B100" t="str">
        <x:f>UPPER(TRIM('Raw Actuals'!B100))</x:f>
        <x:v>INV-27-0095</x:v>
      </x:c>
      <x:c r="C100" s="25" t="n">
        <x:f>IFERROR(IF(OR(MID(TRIM('Raw Actuals'!C100),5,1)="-",MID(TRIM('Raw Actuals'!C100),5,1)="/"),DATE(VALUE(LEFT(TRIM('Raw Actuals'!C100),4)),VALUE(MID(TRIM('Raw Actuals'!C100),6,2)),VALUE(RIGHT(TRIM('Raw Actuals'!C100),2))),IF(LEN(TRIM('Raw Actuals'!C100))=10,DATE(VALUE(RIGHT(TRIM('Raw Actuals'!C100),4)),VALUE(MID(TRIM('Raw Actuals'!C100),4,2)),VALUE(LEFT(TRIM('Raw Actuals'!C100),2))),IF(LEN(TRIM('Raw Actuals'!C100))=8,DATE(2000+VALUE(RIGHT(TRIM('Raw Actuals'!C100),2)),VALUE(MID(TRIM('Raw Actuals'!C100),4,2)),VALUE(LEFT(TRIM('Raw Actuals'!C100),2))),""))),"")</x:f>
        <x:v>46438</x:v>
      </x:c>
      <x:c r="D100" t="str">
        <x:f>IF(OR(UPPER(TRIM('Raw Actuals'!D100))="CATERING",UPPER(TRIM('Raw Actuals'!D100))="WORKSHOP CATERING",UPPER(TRIM('Raw Actuals'!D100))="MEALS",UPPER(TRIM('Raw Actuals'!D100))="CATERNG"),"Catering",IF(OR(UPPER(TRIM('Raw Actuals'!D100))="TRANSPORT",UPPER(TRIM('Raw Actuals'!D100))="LEARNER TRANSPORT",UPPER(TRIM('Raw Actuals'!D100))="TAXIS",UPPER(TRIM('Raw Actuals'!D100))="LEARNER TAXI"),"Transport",IF(OR(UPPER(TRIM('Raw Actuals'!D100))="FACILITATION",UPPER(TRIM('Raw Actuals'!D100))="CHAMPION PAYMENTS",UPPER(TRIM('Raw Actuals'!D100))="STIPENDS",UPPER(TRIM('Raw Actuals'!D100))="FACILITATOR FEE"),"Facilitation",IF(OR(UPPER(TRIM('Raw Actuals'!D100))="MATERIALS",UPPER(TRIM('Raw Actuals'!D100))="WORKSHOP MATERIALS",UPPER(TRIM('Raw Actuals'!D100))="MATERIALS / SUPPLIES"),"Materials",IF(OR(UPPER(TRIM('Raw Actuals'!D100))="PRINTING",UPPER(TRIM('Raw Actuals'!D100))="PRINT &amp; CONSENT",UPPER(TRIM('Raw Actuals'!D100))="PRINTING AND CONSENT"),"Printing",IF(OR(UPPER(TRIM('Raw Actuals'!D100))="TRAINING",UPPER(TRIM('Raw Actuals'!D100))="CHAMPION TRAINING",UPPER(TRIM('Raw Actuals'!D100))="FACILITATOR TRAINING"),"Training",IF(OR(UPPER(TRIM('Raw Actuals'!D100))="SITE VISITS",UPPER(TRIM('Raw Actuals'!D100))="SITE VISIT",UPPER(TRIM('Raw Actuals'!D100))="TRAVEL AND SITE VISITS"),"Site visits",IF(OR(UPPER(TRIM('Raw Actuals'!D100))="EVENTS",UPPER(TRIM('Raw Actuals'!D100))="RECOGNITION EVENT",UPPER(TRIM('Raw Actuals'!D100))="BADGE CEREMONY"),"Events",IF(OR(UPPER(TRIM('Raw Actuals'!D100))="VENUE",UPPER(TRIM('Raw Actuals'!D100))="VENUE HIRE",UPPER(TRIM('Raw Actuals'!D100))="TRAINING VENUE"),"Venue",IF(OR(UPPER(TRIM('Raw Actuals'!D100))="ADMINISTRATION",UPPER(TRIM('Raw Actuals'!D100))="ADMIN",UPPER(TRIM('Raw Actuals'!D100))="OPERATIONAL SUPPORT"),"Administration","Review"))))))))))</x:f>
        <x:v>Training</x:v>
      </x:c>
      <x:c r="E100" t="str">
        <x:f>IF(TRIM('Raw Actuals'!E100)="","Missing",PROPER(TRIM('Raw Actuals'!E100)))</x:f>
        <x:v>Thuto Facilitation</x:v>
      </x:c>
      <x:c r="F100" t="str">
        <x:f>TRIM('Raw Actuals'!F100)</x:f>
        <x:v>Training expense 95</x:v>
      </x:c>
      <x:c r="G100" s="26" t="n">
        <x:v>13627</x:v>
      </x:c>
      <x:c r="H100" t="str">
        <x:f>IF(OR(UPPER(TRIM('Raw Actuals'!H100))="PAID",UPPER(TRIM('Raw Actuals'!H100))="PAID "),"Paid",IF(UPPER(TRIM('Raw Actuals'!H100))="APPROVED","Approved",IF(OR(UPPER(TRIM('Raw Actuals'!H100))="SUBMITTED",UPPER(TRIM('Raw Actuals'!H100))="PENDING"),"Submitted",IF(UPPER(TRIM('Raw Actuals'!H100))="REJECTED","Rejected","Review"))))</x:f>
        <x:v>Rejected</x:v>
      </x:c>
      <x:c r="I100" t="str">
        <x:f>IF(OR(H100="Paid",H100="Approved"),"Include","Exclude")</x:f>
        <x:v>Exclude</x:v>
      </x:c>
      <x:c r="J100" t="str">
        <x:f>IF(B100="","Missing invoice",IF(COUNTIF($B$6:B100,B100)&gt;1,"Duplicate","Unique"))</x:f>
        <x:v>Unique</x:v>
      </x:c>
      <x:c r="K100" s="17" t="str">
        <x:f>IF(A100="","Missing ID; ","")&amp;IF(B100="","Missing invoice; ","")&amp;IF(C100="","Invalid date; ","")&amp;IF(D100="Review","Unmapped category; ","")&amp;IF(E100="Missing","Missing supplier; ","")&amp;IF(OR(G100="",G100&lt;=0),"Invalid amount; ","")&amp;IF(H100="Review","Invalid payment state; ","")&amp;IF(J100="Duplicate","Duplicate invoice; ","")</x:f>
      </x:c>
      <x:c r="L100" t="str">
        <x:f>IF(K100="","Ready","Review")</x:f>
        <x:v>Ready</x:v>
      </x:c>
      <x:c r="M100" s="26" t="n">
        <x:f>IF(AND(L100="Ready",I100="Include"),G100,0)</x:f>
        <x:v>0</x:v>
      </x:c>
    </x:row>
    <x:row r="101">
      <x:c r="A101" t="str">
        <x:f>UPPER(TRIM('Raw Actuals'!A101))</x:f>
        <x:v>TXN-27-0096</x:v>
      </x:c>
      <x:c r="B101" t="str">
        <x:f>UPPER(TRIM('Raw Actuals'!B101))</x:f>
        <x:v>INV-27-0096</x:v>
      </x:c>
      <x:c r="C101" s="25" t="n">
        <x:f>IFERROR(IF(OR(MID(TRIM('Raw Actuals'!C101),5,1)="-",MID(TRIM('Raw Actuals'!C101),5,1)="/"),DATE(VALUE(LEFT(TRIM('Raw Actuals'!C101),4)),VALUE(MID(TRIM('Raw Actuals'!C101),6,2)),VALUE(RIGHT(TRIM('Raw Actuals'!C101),2))),IF(LEN(TRIM('Raw Actuals'!C101))=10,DATE(VALUE(RIGHT(TRIM('Raw Actuals'!C101),4)),VALUE(MID(TRIM('Raw Actuals'!C101),4,2)),VALUE(LEFT(TRIM('Raw Actuals'!C101),2))),IF(LEN(TRIM('Raw Actuals'!C101))=8,DATE(2000+VALUE(RIGHT(TRIM('Raw Actuals'!C101),2)),VALUE(MID(TRIM('Raw Actuals'!C101),4,2)),VALUE(LEFT(TRIM('Raw Actuals'!C101),2))),""))),"")</x:f>
        <x:v>46391</x:v>
      </x:c>
      <x:c r="D101" t="str">
        <x:f>IF(OR(UPPER(TRIM('Raw Actuals'!D101))="CATERING",UPPER(TRIM('Raw Actuals'!D101))="WORKSHOP CATERING",UPPER(TRIM('Raw Actuals'!D101))="MEALS",UPPER(TRIM('Raw Actuals'!D101))="CATERNG"),"Catering",IF(OR(UPPER(TRIM('Raw Actuals'!D101))="TRANSPORT",UPPER(TRIM('Raw Actuals'!D101))="LEARNER TRANSPORT",UPPER(TRIM('Raw Actuals'!D101))="TAXIS",UPPER(TRIM('Raw Actuals'!D101))="LEARNER TAXI"),"Transport",IF(OR(UPPER(TRIM('Raw Actuals'!D101))="FACILITATION",UPPER(TRIM('Raw Actuals'!D101))="CHAMPION PAYMENTS",UPPER(TRIM('Raw Actuals'!D101))="STIPENDS",UPPER(TRIM('Raw Actuals'!D101))="FACILITATOR FEE"),"Facilitation",IF(OR(UPPER(TRIM('Raw Actuals'!D101))="MATERIALS",UPPER(TRIM('Raw Actuals'!D101))="WORKSHOP MATERIALS",UPPER(TRIM('Raw Actuals'!D101))="MATERIALS / SUPPLIES"),"Materials",IF(OR(UPPER(TRIM('Raw Actuals'!D101))="PRINTING",UPPER(TRIM('Raw Actuals'!D101))="PRINT &amp; CONSENT",UPPER(TRIM('Raw Actuals'!D101))="PRINTING AND CONSENT"),"Printing",IF(OR(UPPER(TRIM('Raw Actuals'!D101))="TRAINING",UPPER(TRIM('Raw Actuals'!D101))="CHAMPION TRAINING",UPPER(TRIM('Raw Actuals'!D101))="FACILITATOR TRAINING"),"Training",IF(OR(UPPER(TRIM('Raw Actuals'!D101))="SITE VISITS",UPPER(TRIM('Raw Actuals'!D101))="SITE VISIT",UPPER(TRIM('Raw Actuals'!D101))="TRAVEL AND SITE VISITS"),"Site visits",IF(OR(UPPER(TRIM('Raw Actuals'!D101))="EVENTS",UPPER(TRIM('Raw Actuals'!D101))="RECOGNITION EVENT",UPPER(TRIM('Raw Actuals'!D101))="BADGE CEREMONY"),"Events",IF(OR(UPPER(TRIM('Raw Actuals'!D101))="VENUE",UPPER(TRIM('Raw Actuals'!D101))="VENUE HIRE",UPPER(TRIM('Raw Actuals'!D101))="TRAINING VENUE"),"Venue",IF(OR(UPPER(TRIM('Raw Actuals'!D101))="ADMINISTRATION",UPPER(TRIM('Raw Actuals'!D101))="ADMIN",UPPER(TRIM('Raw Actuals'!D101))="OPERATIONAL SUPPORT"),"Administration","Review"))))))))))</x:f>
        <x:v>Facilitation</x:v>
      </x:c>
      <x:c r="E101" t="str">
        <x:f>IF(TRIM('Raw Actuals'!E101)="","Missing",PROPER(TRIM('Raw Actuals'!E101)))</x:f>
        <x:v>Moya Supplies</x:v>
      </x:c>
      <x:c r="F101" t="str">
        <x:f>TRIM('Raw Actuals'!F101)</x:f>
        <x:v>Facilitation expense 96</x:v>
      </x:c>
      <x:c r="G101" s="26" t="n">
        <x:v>2900</x:v>
      </x:c>
      <x:c r="H101" t="str">
        <x:f>IF(OR(UPPER(TRIM('Raw Actuals'!H101))="PAID",UPPER(TRIM('Raw Actuals'!H101))="PAID "),"Paid",IF(UPPER(TRIM('Raw Actuals'!H101))="APPROVED","Approved",IF(OR(UPPER(TRIM('Raw Actuals'!H101))="SUBMITTED",UPPER(TRIM('Raw Actuals'!H101))="PENDING"),"Submitted",IF(UPPER(TRIM('Raw Actuals'!H101))="REJECTED","Rejected","Review"))))</x:f>
        <x:v>Paid</x:v>
      </x:c>
      <x:c r="I101" t="str">
        <x:f>IF(OR(H101="Paid",H101="Approved"),"Include","Exclude")</x:f>
        <x:v>Include</x:v>
      </x:c>
      <x:c r="J101" t="str">
        <x:f>IF(B101="","Missing invoice",IF(COUNTIF($B$6:B101,B101)&gt;1,"Duplicate","Unique"))</x:f>
        <x:v>Unique</x:v>
      </x:c>
      <x:c r="K101" s="17" t="str">
        <x:f>IF(A101="","Missing ID; ","")&amp;IF(B101="","Missing invoice; ","")&amp;IF(C101="","Invalid date; ","")&amp;IF(D101="Review","Unmapped category; ","")&amp;IF(E101="Missing","Missing supplier; ","")&amp;IF(OR(G101="",G101&lt;=0),"Invalid amount; ","")&amp;IF(H101="Review","Invalid payment state; ","")&amp;IF(J101="Duplicate","Duplicate invoice; ","")</x:f>
      </x:c>
      <x:c r="L101" t="str">
        <x:f>IF(K101="","Ready","Review")</x:f>
        <x:v>Ready</x:v>
      </x:c>
      <x:c r="M101" s="26" t="n">
        <x:f>IF(AND(L101="Ready",I101="Include"),G101,0)</x:f>
        <x:v>2900</x:v>
      </x:c>
    </x:row>
    <x:row r="102">
      <x:c r="A102" t="str">
        <x:f>UPPER(TRIM('Raw Actuals'!A102))</x:f>
        <x:v>TXN-27-0097</x:v>
      </x:c>
      <x:c r="B102" t="str">
        <x:f>UPPER(TRIM('Raw Actuals'!B102))</x:f>
        <x:v>INV-27-0097</x:v>
      </x:c>
      <x:c r="C102" s="25" t="n">
        <x:f>IFERROR(IF(OR(MID(TRIM('Raw Actuals'!C102),5,1)="-",MID(TRIM('Raw Actuals'!C102),5,1)="/"),DATE(VALUE(LEFT(TRIM('Raw Actuals'!C102),4)),VALUE(MID(TRIM('Raw Actuals'!C102),6,2)),VALUE(RIGHT(TRIM('Raw Actuals'!C102),2))),IF(LEN(TRIM('Raw Actuals'!C102))=10,DATE(VALUE(RIGHT(TRIM('Raw Actuals'!C102),4)),VALUE(MID(TRIM('Raw Actuals'!C102),4,2)),VALUE(LEFT(TRIM('Raw Actuals'!C102),2))),IF(LEN(TRIM('Raw Actuals'!C102))=8,DATE(2000+VALUE(RIGHT(TRIM('Raw Actuals'!C102),2)),VALUE(MID(TRIM('Raw Actuals'!C102),4,2)),VALUE(LEFT(TRIM('Raw Actuals'!C102),2))),""))),"")</x:f>
        <x:v>46553</x:v>
      </x:c>
      <x:c r="D102" t="str">
        <x:f>IF(OR(UPPER(TRIM('Raw Actuals'!D102))="CATERING",UPPER(TRIM('Raw Actuals'!D102))="WORKSHOP CATERING",UPPER(TRIM('Raw Actuals'!D102))="MEALS",UPPER(TRIM('Raw Actuals'!D102))="CATERNG"),"Catering",IF(OR(UPPER(TRIM('Raw Actuals'!D102))="TRANSPORT",UPPER(TRIM('Raw Actuals'!D102))="LEARNER TRANSPORT",UPPER(TRIM('Raw Actuals'!D102))="TAXIS",UPPER(TRIM('Raw Actuals'!D102))="LEARNER TAXI"),"Transport",IF(OR(UPPER(TRIM('Raw Actuals'!D102))="FACILITATION",UPPER(TRIM('Raw Actuals'!D102))="CHAMPION PAYMENTS",UPPER(TRIM('Raw Actuals'!D102))="STIPENDS",UPPER(TRIM('Raw Actuals'!D102))="FACILITATOR FEE"),"Facilitation",IF(OR(UPPER(TRIM('Raw Actuals'!D102))="MATERIALS",UPPER(TRIM('Raw Actuals'!D102))="WORKSHOP MATERIALS",UPPER(TRIM('Raw Actuals'!D102))="MATERIALS / SUPPLIES"),"Materials",IF(OR(UPPER(TRIM('Raw Actuals'!D102))="PRINTING",UPPER(TRIM('Raw Actuals'!D102))="PRINT &amp; CONSENT",UPPER(TRIM('Raw Actuals'!D102))="PRINTING AND CONSENT"),"Printing",IF(OR(UPPER(TRIM('Raw Actuals'!D102))="TRAINING",UPPER(TRIM('Raw Actuals'!D102))="CHAMPION TRAINING",UPPER(TRIM('Raw Actuals'!D102))="FACILITATOR TRAINING"),"Training",IF(OR(UPPER(TRIM('Raw Actuals'!D102))="SITE VISITS",UPPER(TRIM('Raw Actuals'!D102))="SITE VISIT",UPPER(TRIM('Raw Actuals'!D102))="TRAVEL AND SITE VISITS"),"Site visits",IF(OR(UPPER(TRIM('Raw Actuals'!D102))="EVENTS",UPPER(TRIM('Raw Actuals'!D102))="RECOGNITION EVENT",UPPER(TRIM('Raw Actuals'!D102))="BADGE CEREMONY"),"Events",IF(OR(UPPER(TRIM('Raw Actuals'!D102))="VENUE",UPPER(TRIM('Raw Actuals'!D102))="VENUE HIRE",UPPER(TRIM('Raw Actuals'!D102))="TRAINING VENUE"),"Venue",IF(OR(UPPER(TRIM('Raw Actuals'!D102))="ADMINISTRATION",UPPER(TRIM('Raw Actuals'!D102))="ADMIN",UPPER(TRIM('Raw Actuals'!D102))="OPERATIONAL SUPPORT"),"Administration","Review"))))))))))</x:f>
        <x:v>Administration</x:v>
      </x:c>
      <x:c r="E102" t="str">
        <x:f>IF(TRIM('Raw Actuals'!E102)="","Missing",PROPER(TRIM('Raw Actuals'!E102)))</x:f>
        <x:v>Northline Transport</x:v>
      </x:c>
      <x:c r="F102" t="str">
        <x:f>TRIM('Raw Actuals'!F102)</x:f>
        <x:v>Administration expense 97</x:v>
      </x:c>
      <x:c r="G102" s="26" t="n">
        <x:v>695</x:v>
      </x:c>
      <x:c r="H102" t="str">
        <x:f>IF(OR(UPPER(TRIM('Raw Actuals'!H102))="PAID",UPPER(TRIM('Raw Actuals'!H102))="PAID "),"Paid",IF(UPPER(TRIM('Raw Actuals'!H102))="APPROVED","Approved",IF(OR(UPPER(TRIM('Raw Actuals'!H102))="SUBMITTED",UPPER(TRIM('Raw Actuals'!H102))="PENDING"),"Submitted",IF(UPPER(TRIM('Raw Actuals'!H102))="REJECTED","Rejected","Review"))))</x:f>
        <x:v>Approved</x:v>
      </x:c>
      <x:c r="I102" t="str">
        <x:f>IF(OR(H102="Paid",H102="Approved"),"Include","Exclude")</x:f>
        <x:v>Include</x:v>
      </x:c>
      <x:c r="J102" t="str">
        <x:f>IF(B102="","Missing invoice",IF(COUNTIF($B$6:B102,B102)&gt;1,"Duplicate","Unique"))</x:f>
        <x:v>Unique</x:v>
      </x:c>
      <x:c r="K102" s="17" t="str">
        <x:f>IF(A102="","Missing ID; ","")&amp;IF(B102="","Missing invoice; ","")&amp;IF(C102="","Invalid date; ","")&amp;IF(D102="Review","Unmapped category; ","")&amp;IF(E102="Missing","Missing supplier; ","")&amp;IF(OR(G102="",G102&lt;=0),"Invalid amount; ","")&amp;IF(H102="Review","Invalid payment state; ","")&amp;IF(J102="Duplicate","Duplicate invoice; ","")</x:f>
      </x:c>
      <x:c r="L102" t="str">
        <x:f>IF(K102="","Ready","Review")</x:f>
        <x:v>Ready</x:v>
      </x:c>
      <x:c r="M102" s="26" t="n">
        <x:f>IF(AND(L102="Ready",I102="Include"),G102,0)</x:f>
        <x:v>695</x:v>
      </x:c>
    </x:row>
    <x:row r="103">
      <x:c r="A103" t="str">
        <x:f>UPPER(TRIM('Raw Actuals'!A103))</x:f>
        <x:v>TXN-27-0098</x:v>
      </x:c>
      <x:c r="B103" t="str">
        <x:f>UPPER(TRIM('Raw Actuals'!B103))</x:f>
        <x:v>INV-27-0098</x:v>
      </x:c>
      <x:c r="C103" s="25" t="n">
        <x:f>IFERROR(IF(OR(MID(TRIM('Raw Actuals'!C103),5,1)="-",MID(TRIM('Raw Actuals'!C103),5,1)="/"),DATE(VALUE(LEFT(TRIM('Raw Actuals'!C103),4)),VALUE(MID(TRIM('Raw Actuals'!C103),6,2)),VALUE(RIGHT(TRIM('Raw Actuals'!C103),2))),IF(LEN(TRIM('Raw Actuals'!C103))=10,DATE(VALUE(RIGHT(TRIM('Raw Actuals'!C103),4)),VALUE(MID(TRIM('Raw Actuals'!C103),4,2)),VALUE(LEFT(TRIM('Raw Actuals'!C103),2))),IF(LEN(TRIM('Raw Actuals'!C103))=8,DATE(2000+VALUE(RIGHT(TRIM('Raw Actuals'!C103),2)),VALUE(MID(TRIM('Raw Actuals'!C103),4,2)),VALUE(LEFT(TRIM('Raw Actuals'!C103),2))),""))),"")</x:f>
        <x:v>46533</x:v>
      </x:c>
      <x:c r="D103" t="str">
        <x:f>IF(OR(UPPER(TRIM('Raw Actuals'!D103))="CATERING",UPPER(TRIM('Raw Actuals'!D103))="WORKSHOP CATERING",UPPER(TRIM('Raw Actuals'!D103))="MEALS",UPPER(TRIM('Raw Actuals'!D103))="CATERNG"),"Catering",IF(OR(UPPER(TRIM('Raw Actuals'!D103))="TRANSPORT",UPPER(TRIM('Raw Actuals'!D103))="LEARNER TRANSPORT",UPPER(TRIM('Raw Actuals'!D103))="TAXIS",UPPER(TRIM('Raw Actuals'!D103))="LEARNER TAXI"),"Transport",IF(OR(UPPER(TRIM('Raw Actuals'!D103))="FACILITATION",UPPER(TRIM('Raw Actuals'!D103))="CHAMPION PAYMENTS",UPPER(TRIM('Raw Actuals'!D103))="STIPENDS",UPPER(TRIM('Raw Actuals'!D103))="FACILITATOR FEE"),"Facilitation",IF(OR(UPPER(TRIM('Raw Actuals'!D103))="MATERIALS",UPPER(TRIM('Raw Actuals'!D103))="WORKSHOP MATERIALS",UPPER(TRIM('Raw Actuals'!D103))="MATERIALS / SUPPLIES"),"Materials",IF(OR(UPPER(TRIM('Raw Actuals'!D103))="PRINTING",UPPER(TRIM('Raw Actuals'!D103))="PRINT &amp; CONSENT",UPPER(TRIM('Raw Actuals'!D103))="PRINTING AND CONSENT"),"Printing",IF(OR(UPPER(TRIM('Raw Actuals'!D103))="TRAINING",UPPER(TRIM('Raw Actuals'!D103))="CHAMPION TRAINING",UPPER(TRIM('Raw Actuals'!D103))="FACILITATOR TRAINING"),"Training",IF(OR(UPPER(TRIM('Raw Actuals'!D103))="SITE VISITS",UPPER(TRIM('Raw Actuals'!D103))="SITE VISIT",UPPER(TRIM('Raw Actuals'!D103))="TRAVEL AND SITE VISITS"),"Site visits",IF(OR(UPPER(TRIM('Raw Actuals'!D103))="EVENTS",UPPER(TRIM('Raw Actuals'!D103))="RECOGNITION EVENT",UPPER(TRIM('Raw Actuals'!D103))="BADGE CEREMONY"),"Events",IF(OR(UPPER(TRIM('Raw Actuals'!D103))="VENUE",UPPER(TRIM('Raw Actuals'!D103))="VENUE HIRE",UPPER(TRIM('Raw Actuals'!D103))="TRAINING VENUE"),"Venue",IF(OR(UPPER(TRIM('Raw Actuals'!D103))="ADMINISTRATION",UPPER(TRIM('Raw Actuals'!D103))="ADMIN",UPPER(TRIM('Raw Actuals'!D103))="OPERATIONAL SUPPORT"),"Administration","Review"))))))))))</x:f>
        <x:v>Site visits</x:v>
      </x:c>
      <x:c r="E103" t="str">
        <x:f>IF(TRIM('Raw Actuals'!E103)="","Missing",PROPER(TRIM('Raw Actuals'!E103)))</x:f>
        <x:v>Kopano Catering</x:v>
      </x:c>
      <x:c r="F103" t="str">
        <x:f>TRIM('Raw Actuals'!F103)</x:f>
        <x:v>Site visits expense 98</x:v>
      </x:c>
      <x:c r="G103" s="26" t="n">
        <x:v>3895</x:v>
      </x:c>
      <x:c r="H103" t="str">
        <x:f>IF(OR(UPPER(TRIM('Raw Actuals'!H103))="PAID",UPPER(TRIM('Raw Actuals'!H103))="PAID "),"Paid",IF(UPPER(TRIM('Raw Actuals'!H103))="APPROVED","Approved",IF(OR(UPPER(TRIM('Raw Actuals'!H103))="SUBMITTED",UPPER(TRIM('Raw Actuals'!H103))="PENDING"),"Submitted",IF(UPPER(TRIM('Raw Actuals'!H103))="REJECTED","Rejected","Review"))))</x:f>
        <x:v>Submitted</x:v>
      </x:c>
      <x:c r="I103" t="str">
        <x:f>IF(OR(H103="Paid",H103="Approved"),"Include","Exclude")</x:f>
        <x:v>Exclude</x:v>
      </x:c>
      <x:c r="J103" t="str">
        <x:f>IF(B103="","Missing invoice",IF(COUNTIF($B$6:B103,B103)&gt;1,"Duplicate","Unique"))</x:f>
        <x:v>Unique</x:v>
      </x:c>
      <x:c r="K103" s="17" t="str">
        <x:f>IF(A103="","Missing ID; ","")&amp;IF(B103="","Missing invoice; ","")&amp;IF(C103="","Invalid date; ","")&amp;IF(D103="Review","Unmapped category; ","")&amp;IF(E103="Missing","Missing supplier; ","")&amp;IF(OR(G103="",G103&lt;=0),"Invalid amount; ","")&amp;IF(H103="Review","Invalid payment state; ","")&amp;IF(J103="Duplicate","Duplicate invoice; ","")</x:f>
      </x:c>
      <x:c r="L103" t="str">
        <x:f>IF(K103="","Ready","Review")</x:f>
        <x:v>Ready</x:v>
      </x:c>
      <x:c r="M103" s="26" t="n">
        <x:f>IF(AND(L103="Ready",I103="Include"),G103,0)</x:f>
        <x:v>0</x:v>
      </x:c>
    </x:row>
    <x:row r="104">
      <x:c r="A104" t="str">
        <x:f>UPPER(TRIM('Raw Actuals'!A104))</x:f>
        <x:v>TXN-27-0099</x:v>
      </x:c>
      <x:c r="B104" t="str">
        <x:f>UPPER(TRIM('Raw Actuals'!B104))</x:f>
        <x:v>INV-27-0099</x:v>
      </x:c>
      <x:c r="C104" s="25" t="n">
        <x:f>IFERROR(IF(OR(MID(TRIM('Raw Actuals'!C104),5,1)="-",MID(TRIM('Raw Actuals'!C104),5,1)="/"),DATE(VALUE(LEFT(TRIM('Raw Actuals'!C104),4)),VALUE(MID(TRIM('Raw Actuals'!C104),6,2)),VALUE(RIGHT(TRIM('Raw Actuals'!C104),2))),IF(LEN(TRIM('Raw Actuals'!C104))=10,DATE(VALUE(RIGHT(TRIM('Raw Actuals'!C104),4)),VALUE(MID(TRIM('Raw Actuals'!C104),4,2)),VALUE(LEFT(TRIM('Raw Actuals'!C104),2))),IF(LEN(TRIM('Raw Actuals'!C104))=8,DATE(2000+VALUE(RIGHT(TRIM('Raw Actuals'!C104),2)),VALUE(MID(TRIM('Raw Actuals'!C104),4,2)),VALUE(LEFT(TRIM('Raw Actuals'!C104),2))),""))),"")</x:f>
        <x:v>46487</x:v>
      </x:c>
      <x:c r="D104" t="str">
        <x:f>IF(OR(UPPER(TRIM('Raw Actuals'!D104))="CATERING",UPPER(TRIM('Raw Actuals'!D104))="WORKSHOP CATERING",UPPER(TRIM('Raw Actuals'!D104))="MEALS",UPPER(TRIM('Raw Actuals'!D104))="CATERNG"),"Catering",IF(OR(UPPER(TRIM('Raw Actuals'!D104))="TRANSPORT",UPPER(TRIM('Raw Actuals'!D104))="LEARNER TRANSPORT",UPPER(TRIM('Raw Actuals'!D104))="TAXIS",UPPER(TRIM('Raw Actuals'!D104))="LEARNER TAXI"),"Transport",IF(OR(UPPER(TRIM('Raw Actuals'!D104))="FACILITATION",UPPER(TRIM('Raw Actuals'!D104))="CHAMPION PAYMENTS",UPPER(TRIM('Raw Actuals'!D104))="STIPENDS",UPPER(TRIM('Raw Actuals'!D104))="FACILITATOR FEE"),"Facilitation",IF(OR(UPPER(TRIM('Raw Actuals'!D104))="MATERIALS",UPPER(TRIM('Raw Actuals'!D104))="WORKSHOP MATERIALS",UPPER(TRIM('Raw Actuals'!D104))="MATERIALS / SUPPLIES"),"Materials",IF(OR(UPPER(TRIM('Raw Actuals'!D104))="PRINTING",UPPER(TRIM('Raw Actuals'!D104))="PRINT &amp; CONSENT",UPPER(TRIM('Raw Actuals'!D104))="PRINTING AND CONSENT"),"Printing",IF(OR(UPPER(TRIM('Raw Actuals'!D104))="TRAINING",UPPER(TRIM('Raw Actuals'!D104))="CHAMPION TRAINING",UPPER(TRIM('Raw Actuals'!D104))="FACILITATOR TRAINING"),"Training",IF(OR(UPPER(TRIM('Raw Actuals'!D104))="SITE VISITS",UPPER(TRIM('Raw Actuals'!D104))="SITE VISIT",UPPER(TRIM('Raw Actuals'!D104))="TRAVEL AND SITE VISITS"),"Site visits",IF(OR(UPPER(TRIM('Raw Actuals'!D104))="EVENTS",UPPER(TRIM('Raw Actuals'!D104))="RECOGNITION EVENT",UPPER(TRIM('Raw Actuals'!D104))="BADGE CEREMONY"),"Events",IF(OR(UPPER(TRIM('Raw Actuals'!D104))="VENUE",UPPER(TRIM('Raw Actuals'!D104))="VENUE HIRE",UPPER(TRIM('Raw Actuals'!D104))="TRAINING VENUE"),"Venue",IF(OR(UPPER(TRIM('Raw Actuals'!D104))="ADMINISTRATION",UPPER(TRIM('Raw Actuals'!D104))="ADMIN",UPPER(TRIM('Raw Actuals'!D104))="OPERATIONAL SUPPORT"),"Administration","Review"))))))))))</x:f>
        <x:v>Materials</x:v>
      </x:c>
      <x:c r="E104" t="str">
        <x:f>IF(TRIM('Raw Actuals'!E104)="","Missing",PROPER(TRIM('Raw Actuals'!E104)))</x:f>
        <x:v>Riverside Venue Hire</x:v>
      </x:c>
      <x:c r="F104" t="str">
        <x:f>TRIM('Raw Actuals'!F104)</x:f>
        <x:v>Materials expense 99</x:v>
      </x:c>
      <x:c r="G104" s="26" t="n">
        <x:v>5334</x:v>
      </x:c>
      <x:c r="H104" t="str">
        <x:f>IF(OR(UPPER(TRIM('Raw Actuals'!H104))="PAID",UPPER(TRIM('Raw Actuals'!H104))="PAID "),"Paid",IF(UPPER(TRIM('Raw Actuals'!H104))="APPROVED","Approved",IF(OR(UPPER(TRIM('Raw Actuals'!H104))="SUBMITTED",UPPER(TRIM('Raw Actuals'!H104))="PENDING"),"Submitted",IF(UPPER(TRIM('Raw Actuals'!H104))="REJECTED","Rejected","Review"))))</x:f>
        <x:v>Rejected</x:v>
      </x:c>
      <x:c r="I104" t="str">
        <x:f>IF(OR(H104="Paid",H104="Approved"),"Include","Exclude")</x:f>
        <x:v>Exclude</x:v>
      </x:c>
      <x:c r="J104" t="str">
        <x:f>IF(B104="","Missing invoice",IF(COUNTIF($B$6:B104,B104)&gt;1,"Duplicate","Unique"))</x:f>
        <x:v>Unique</x:v>
      </x:c>
      <x:c r="K104" s="17" t="str">
        <x:f>IF(A104="","Missing ID; ","")&amp;IF(B104="","Missing invoice; ","")&amp;IF(C104="","Invalid date; ","")&amp;IF(D104="Review","Unmapped category; ","")&amp;IF(E104="Missing","Missing supplier; ","")&amp;IF(OR(G104="",G104&lt;=0),"Invalid amount; ","")&amp;IF(H104="Review","Invalid payment state; ","")&amp;IF(J104="Duplicate","Duplicate invoice; ","")</x:f>
      </x:c>
      <x:c r="L104" t="str">
        <x:f>IF(K104="","Ready","Review")</x:f>
        <x:v>Ready</x:v>
      </x:c>
      <x:c r="M104" s="26" t="n">
        <x:f>IF(AND(L104="Ready",I104="Include"),G104,0)</x:f>
        <x:v>0</x:v>
      </x:c>
    </x:row>
    <x:row r="105">
      <x:c r="A105" t="str">
        <x:f>UPPER(TRIM('Raw Actuals'!A105))</x:f>
        <x:v>TXN-27-0100</x:v>
      </x:c>
      <x:c r="B105" t="str">
        <x:f>UPPER(TRIM('Raw Actuals'!B105))</x:f>
        <x:v>INV-27-0100</x:v>
      </x:c>
      <x:c r="C105" s="25" t="n">
        <x:f>IFERROR(IF(OR(MID(TRIM('Raw Actuals'!C105),5,1)="-",MID(TRIM('Raw Actuals'!C105),5,1)="/"),DATE(VALUE(LEFT(TRIM('Raw Actuals'!C105),4)),VALUE(MID(TRIM('Raw Actuals'!C105),6,2)),VALUE(RIGHT(TRIM('Raw Actuals'!C105),2))),IF(LEN(TRIM('Raw Actuals'!C105))=10,DATE(VALUE(RIGHT(TRIM('Raw Actuals'!C105),4)),VALUE(MID(TRIM('Raw Actuals'!C105),4,2)),VALUE(LEFT(TRIM('Raw Actuals'!C105),2))),IF(LEN(TRIM('Raw Actuals'!C105))=8,DATE(2000+VALUE(RIGHT(TRIM('Raw Actuals'!C105),2)),VALUE(MID(TRIM('Raw Actuals'!C105),4,2)),VALUE(LEFT(TRIM('Raw Actuals'!C105),2))),""))),"")</x:f>
        <x:v>46467</x:v>
      </x:c>
      <x:c r="D105" t="str">
        <x:f>IF(OR(UPPER(TRIM('Raw Actuals'!D105))="CATERING",UPPER(TRIM('Raw Actuals'!D105))="WORKSHOP CATERING",UPPER(TRIM('Raw Actuals'!D105))="MEALS",UPPER(TRIM('Raw Actuals'!D105))="CATERNG"),"Catering",IF(OR(UPPER(TRIM('Raw Actuals'!D105))="TRANSPORT",UPPER(TRIM('Raw Actuals'!D105))="LEARNER TRANSPORT",UPPER(TRIM('Raw Actuals'!D105))="TAXIS",UPPER(TRIM('Raw Actuals'!D105))="LEARNER TAXI"),"Transport",IF(OR(UPPER(TRIM('Raw Actuals'!D105))="FACILITATION",UPPER(TRIM('Raw Actuals'!D105))="CHAMPION PAYMENTS",UPPER(TRIM('Raw Actuals'!D105))="STIPENDS",UPPER(TRIM('Raw Actuals'!D105))="FACILITATOR FEE"),"Facilitation",IF(OR(UPPER(TRIM('Raw Actuals'!D105))="MATERIALS",UPPER(TRIM('Raw Actuals'!D105))="WORKSHOP MATERIALS",UPPER(TRIM('Raw Actuals'!D105))="MATERIALS / SUPPLIES"),"Materials",IF(OR(UPPER(TRIM('Raw Actuals'!D105))="PRINTING",UPPER(TRIM('Raw Actuals'!D105))="PRINT &amp; CONSENT",UPPER(TRIM('Raw Actuals'!D105))="PRINTING AND CONSENT"),"Printing",IF(OR(UPPER(TRIM('Raw Actuals'!D105))="TRAINING",UPPER(TRIM('Raw Actuals'!D105))="CHAMPION TRAINING",UPPER(TRIM('Raw Actuals'!D105))="FACILITATOR TRAINING"),"Training",IF(OR(UPPER(TRIM('Raw Actuals'!D105))="SITE VISITS",UPPER(TRIM('Raw Actuals'!D105))="SITE VISIT",UPPER(TRIM('Raw Actuals'!D105))="TRAVEL AND SITE VISITS"),"Site visits",IF(OR(UPPER(TRIM('Raw Actuals'!D105))="EVENTS",UPPER(TRIM('Raw Actuals'!D105))="RECOGNITION EVENT",UPPER(TRIM('Raw Actuals'!D105))="BADGE CEREMONY"),"Events",IF(OR(UPPER(TRIM('Raw Actuals'!D105))="VENUE",UPPER(TRIM('Raw Actuals'!D105))="VENUE HIRE",UPPER(TRIM('Raw Actuals'!D105))="TRAINING VENUE"),"Venue",IF(OR(UPPER(TRIM('Raw Actuals'!D105))="ADMINISTRATION",UPPER(TRIM('Raw Actuals'!D105))="ADMIN",UPPER(TRIM('Raw Actuals'!D105))="OPERATIONAL SUPPORT"),"Administration","Review"))))))))))</x:f>
        <x:v>Catering</x:v>
      </x:c>
      <x:c r="E105" t="str">
        <x:f>IF(TRIM('Raw Actuals'!E105)="","Missing",PROPER(TRIM('Raw Actuals'!E105)))</x:f>
        <x:v>Bright Print Studio</x:v>
      </x:c>
      <x:c r="F105" t="str">
        <x:f>TRIM('Raw Actuals'!F105)</x:f>
        <x:v>Catering expense 100</x:v>
      </x:c>
      <x:c r="G105" s="26" t="n">
        <x:v>14112</x:v>
      </x:c>
      <x:c r="H105" t="str">
        <x:f>IF(OR(UPPER(TRIM('Raw Actuals'!H105))="PAID",UPPER(TRIM('Raw Actuals'!H105))="PAID "),"Paid",IF(UPPER(TRIM('Raw Actuals'!H105))="APPROVED","Approved",IF(OR(UPPER(TRIM('Raw Actuals'!H105))="SUBMITTED",UPPER(TRIM('Raw Actuals'!H105))="PENDING"),"Submitted",IF(UPPER(TRIM('Raw Actuals'!H105))="REJECTED","Rejected","Review"))))</x:f>
        <x:v>Paid</x:v>
      </x:c>
      <x:c r="I105" t="str">
        <x:f>IF(OR(H105="Paid",H105="Approved"),"Include","Exclude")</x:f>
        <x:v>Include</x:v>
      </x:c>
      <x:c r="J105" t="str">
        <x:f>IF(B105="","Missing invoice",IF(COUNTIF($B$6:B105,B105)&gt;1,"Duplicate","Unique"))</x:f>
        <x:v>Unique</x:v>
      </x:c>
      <x:c r="K105" s="17" t="str">
        <x:f>IF(A105="","Missing ID; ","")&amp;IF(B105="","Missing invoice; ","")&amp;IF(C105="","Invalid date; ","")&amp;IF(D105="Review","Unmapped category; ","")&amp;IF(E105="Missing","Missing supplier; ","")&amp;IF(OR(G105="",G105&lt;=0),"Invalid amount; ","")&amp;IF(H105="Review","Invalid payment state; ","")&amp;IF(J105="Duplicate","Duplicate invoice; ","")</x:f>
      </x:c>
      <x:c r="L105" t="str">
        <x:f>IF(K105="","Ready","Review")</x:f>
        <x:v>Ready</x:v>
      </x:c>
      <x:c r="M105" s="26" t="n">
        <x:f>IF(AND(L105="Ready",I105="Include"),G105,0)</x:f>
        <x:v>14112</x:v>
      </x:c>
    </x:row>
    <x:row r="106">
      <x:c r="A106" t="str">
        <x:f>UPPER(TRIM('Raw Actuals'!A106))</x:f>
        <x:v>TXN-27-0101</x:v>
      </x:c>
      <x:c r="B106" t="str">
        <x:f>UPPER(TRIM('Raw Actuals'!B106))</x:f>
        <x:v>INV-27-0101</x:v>
      </x:c>
      <x:c r="C106" s="25" t="n">
        <x:f>IFERROR(IF(OR(MID(TRIM('Raw Actuals'!C106),5,1)="-",MID(TRIM('Raw Actuals'!C106),5,1)="/"),DATE(VALUE(LEFT(TRIM('Raw Actuals'!C106),4)),VALUE(MID(TRIM('Raw Actuals'!C106),6,2)),VALUE(RIGHT(TRIM('Raw Actuals'!C106),2))),IF(LEN(TRIM('Raw Actuals'!C106))=10,DATE(VALUE(RIGHT(TRIM('Raw Actuals'!C106),4)),VALUE(MID(TRIM('Raw Actuals'!C106),4,2)),VALUE(LEFT(TRIM('Raw Actuals'!C106),2))),IF(LEN(TRIM('Raw Actuals'!C106))=8,DATE(2000+VALUE(RIGHT(TRIM('Raw Actuals'!C106),2)),VALUE(MID(TRIM('Raw Actuals'!C106),4,2)),VALUE(LEFT(TRIM('Raw Actuals'!C106),2))),""))),"")</x:f>
        <x:v>46423</x:v>
      </x:c>
      <x:c r="D106" t="str">
        <x:f>IF(OR(UPPER(TRIM('Raw Actuals'!D106))="CATERING",UPPER(TRIM('Raw Actuals'!D106))="WORKSHOP CATERING",UPPER(TRIM('Raw Actuals'!D106))="MEALS",UPPER(TRIM('Raw Actuals'!D106))="CATERNG"),"Catering",IF(OR(UPPER(TRIM('Raw Actuals'!D106))="TRANSPORT",UPPER(TRIM('Raw Actuals'!D106))="LEARNER TRANSPORT",UPPER(TRIM('Raw Actuals'!D106))="TAXIS",UPPER(TRIM('Raw Actuals'!D106))="LEARNER TAXI"),"Transport",IF(OR(UPPER(TRIM('Raw Actuals'!D106))="FACILITATION",UPPER(TRIM('Raw Actuals'!D106))="CHAMPION PAYMENTS",UPPER(TRIM('Raw Actuals'!D106))="STIPENDS",UPPER(TRIM('Raw Actuals'!D106))="FACILITATOR FEE"),"Facilitation",IF(OR(UPPER(TRIM('Raw Actuals'!D106))="MATERIALS",UPPER(TRIM('Raw Actuals'!D106))="WORKSHOP MATERIALS",UPPER(TRIM('Raw Actuals'!D106))="MATERIALS / SUPPLIES"),"Materials",IF(OR(UPPER(TRIM('Raw Actuals'!D106))="PRINTING",UPPER(TRIM('Raw Actuals'!D106))="PRINT &amp; CONSENT",UPPER(TRIM('Raw Actuals'!D106))="PRINTING AND CONSENT"),"Printing",IF(OR(UPPER(TRIM('Raw Actuals'!D106))="TRAINING",UPPER(TRIM('Raw Actuals'!D106))="CHAMPION TRAINING",UPPER(TRIM('Raw Actuals'!D106))="FACILITATOR TRAINING"),"Training",IF(OR(UPPER(TRIM('Raw Actuals'!D106))="SITE VISITS",UPPER(TRIM('Raw Actuals'!D106))="SITE VISIT",UPPER(TRIM('Raw Actuals'!D106))="TRAVEL AND SITE VISITS"),"Site visits",IF(OR(UPPER(TRIM('Raw Actuals'!D106))="EVENTS",UPPER(TRIM('Raw Actuals'!D106))="RECOGNITION EVENT",UPPER(TRIM('Raw Actuals'!D106))="BADGE CEREMONY"),"Events",IF(OR(UPPER(TRIM('Raw Actuals'!D106))="VENUE",UPPER(TRIM('Raw Actuals'!D106))="VENUE HIRE",UPPER(TRIM('Raw Actuals'!D106))="TRAINING VENUE"),"Venue",IF(OR(UPPER(TRIM('Raw Actuals'!D106))="ADMINISTRATION",UPPER(TRIM('Raw Actuals'!D106))="ADMIN",UPPER(TRIM('Raw Actuals'!D106))="OPERATIONAL SUPPORT"),"Administration","Review"))))))))))</x:f>
        <x:v>Events</x:v>
      </x:c>
      <x:c r="E106" t="str">
        <x:f>IF(TRIM('Raw Actuals'!E106)="","Missing",PROPER(TRIM('Raw Actuals'!E106)))</x:f>
        <x:v>Thuto Facilitation</x:v>
      </x:c>
      <x:c r="F106" t="str">
        <x:f>TRIM('Raw Actuals'!F106)</x:f>
        <x:v>Events expense 101</x:v>
      </x:c>
      <x:c r="G106" s="26" t="n">
        <x:v>14251</x:v>
      </x:c>
      <x:c r="H106" t="str">
        <x:f>IF(OR(UPPER(TRIM('Raw Actuals'!H106))="PAID",UPPER(TRIM('Raw Actuals'!H106))="PAID "),"Paid",IF(UPPER(TRIM('Raw Actuals'!H106))="APPROVED","Approved",IF(OR(UPPER(TRIM('Raw Actuals'!H106))="SUBMITTED",UPPER(TRIM('Raw Actuals'!H106))="PENDING"),"Submitted",IF(UPPER(TRIM('Raw Actuals'!H106))="REJECTED","Rejected","Review"))))</x:f>
        <x:v>Approved</x:v>
      </x:c>
      <x:c r="I106" t="str">
        <x:f>IF(OR(H106="Paid",H106="Approved"),"Include","Exclude")</x:f>
        <x:v>Include</x:v>
      </x:c>
      <x:c r="J106" t="str">
        <x:f>IF(B106="","Missing invoice",IF(COUNTIF($B$6:B106,B106)&gt;1,"Duplicate","Unique"))</x:f>
        <x:v>Unique</x:v>
      </x:c>
      <x:c r="K106" s="17" t="str">
        <x:f>IF(A106="","Missing ID; ","")&amp;IF(B106="","Missing invoice; ","")&amp;IF(C106="","Invalid date; ","")&amp;IF(D106="Review","Unmapped category; ","")&amp;IF(E106="Missing","Missing supplier; ","")&amp;IF(OR(G106="",G106&lt;=0),"Invalid amount; ","")&amp;IF(H106="Review","Invalid payment state; ","")&amp;IF(J106="Duplicate","Duplicate invoice; ","")</x:f>
      </x:c>
      <x:c r="L106" t="str">
        <x:f>IF(K106="","Ready","Review")</x:f>
        <x:v>Ready</x:v>
      </x:c>
      <x:c r="M106" s="26" t="n">
        <x:f>IF(AND(L106="Ready",I106="Include"),G106,0)</x:f>
        <x:v>14251</x:v>
      </x:c>
    </x:row>
    <x:row r="107">
      <x:c r="A107" t="str">
        <x:f>UPPER(TRIM('Raw Actuals'!A107))</x:f>
        <x:v>TXN-27-0102</x:v>
      </x:c>
      <x:c r="B107" t="str">
        <x:f>UPPER(TRIM('Raw Actuals'!B107))</x:f>
        <x:v>INV-27-0102</x:v>
      </x:c>
      <x:c r="C107" s="25" t="n">
        <x:f>IFERROR(IF(OR(MID(TRIM('Raw Actuals'!C107),5,1)="-",MID(TRIM('Raw Actuals'!C107),5,1)="/"),DATE(VALUE(LEFT(TRIM('Raw Actuals'!C107),4)),VALUE(MID(TRIM('Raw Actuals'!C107),6,2)),VALUE(RIGHT(TRIM('Raw Actuals'!C107),2))),IF(LEN(TRIM('Raw Actuals'!C107))=10,DATE(VALUE(RIGHT(TRIM('Raw Actuals'!C107),4)),VALUE(MID(TRIM('Raw Actuals'!C107),4,2)),VALUE(LEFT(TRIM('Raw Actuals'!C107),2))),IF(LEN(TRIM('Raw Actuals'!C107))=8,DATE(2000+VALUE(RIGHT(TRIM('Raw Actuals'!C107),2)),VALUE(MID(TRIM('Raw Actuals'!C107),4,2)),VALUE(LEFT(TRIM('Raw Actuals'!C107),2))),""))),"")</x:f>
        <x:v>46403</x:v>
      </x:c>
      <x:c r="D107" t="str">
        <x:f>IF(OR(UPPER(TRIM('Raw Actuals'!D107))="CATERING",UPPER(TRIM('Raw Actuals'!D107))="WORKSHOP CATERING",UPPER(TRIM('Raw Actuals'!D107))="MEALS",UPPER(TRIM('Raw Actuals'!D107))="CATERNG"),"Catering",IF(OR(UPPER(TRIM('Raw Actuals'!D107))="TRANSPORT",UPPER(TRIM('Raw Actuals'!D107))="LEARNER TRANSPORT",UPPER(TRIM('Raw Actuals'!D107))="TAXIS",UPPER(TRIM('Raw Actuals'!D107))="LEARNER TAXI"),"Transport",IF(OR(UPPER(TRIM('Raw Actuals'!D107))="FACILITATION",UPPER(TRIM('Raw Actuals'!D107))="CHAMPION PAYMENTS",UPPER(TRIM('Raw Actuals'!D107))="STIPENDS",UPPER(TRIM('Raw Actuals'!D107))="FACILITATOR FEE"),"Facilitation",IF(OR(UPPER(TRIM('Raw Actuals'!D107))="MATERIALS",UPPER(TRIM('Raw Actuals'!D107))="WORKSHOP MATERIALS",UPPER(TRIM('Raw Actuals'!D107))="MATERIALS / SUPPLIES"),"Materials",IF(OR(UPPER(TRIM('Raw Actuals'!D107))="PRINTING",UPPER(TRIM('Raw Actuals'!D107))="PRINT &amp; CONSENT",UPPER(TRIM('Raw Actuals'!D107))="PRINTING AND CONSENT"),"Printing",IF(OR(UPPER(TRIM('Raw Actuals'!D107))="TRAINING",UPPER(TRIM('Raw Actuals'!D107))="CHAMPION TRAINING",UPPER(TRIM('Raw Actuals'!D107))="FACILITATOR TRAINING"),"Training",IF(OR(UPPER(TRIM('Raw Actuals'!D107))="SITE VISITS",UPPER(TRIM('Raw Actuals'!D107))="SITE VISIT",UPPER(TRIM('Raw Actuals'!D107))="TRAVEL AND SITE VISITS"),"Site visits",IF(OR(UPPER(TRIM('Raw Actuals'!D107))="EVENTS",UPPER(TRIM('Raw Actuals'!D107))="RECOGNITION EVENT",UPPER(TRIM('Raw Actuals'!D107))="BADGE CEREMONY"),"Events",IF(OR(UPPER(TRIM('Raw Actuals'!D107))="VENUE",UPPER(TRIM('Raw Actuals'!D107))="VENUE HIRE",UPPER(TRIM('Raw Actuals'!D107))="TRAINING VENUE"),"Venue",IF(OR(UPPER(TRIM('Raw Actuals'!D107))="ADMINISTRATION",UPPER(TRIM('Raw Actuals'!D107))="ADMIN",UPPER(TRIM('Raw Actuals'!D107))="OPERATIONAL SUPPORT"),"Administration","Review"))))))))))</x:f>
        <x:v>Printing</x:v>
      </x:c>
      <x:c r="E107" t="str">
        <x:f>IF(TRIM('Raw Actuals'!E107)="","Missing",PROPER(TRIM('Raw Actuals'!E107)))</x:f>
        <x:v>Moya Supplies</x:v>
      </x:c>
      <x:c r="F107" t="str">
        <x:f>TRIM('Raw Actuals'!F107)</x:f>
        <x:v>Printing expense 102</x:v>
      </x:c>
      <x:c r="G107" s="26" t="n">
        <x:v>1596</x:v>
      </x:c>
      <x:c r="H107" t="str">
        <x:f>IF(OR(UPPER(TRIM('Raw Actuals'!H107))="PAID",UPPER(TRIM('Raw Actuals'!H107))="PAID "),"Paid",IF(UPPER(TRIM('Raw Actuals'!H107))="APPROVED","Approved",IF(OR(UPPER(TRIM('Raw Actuals'!H107))="SUBMITTED",UPPER(TRIM('Raw Actuals'!H107))="PENDING"),"Submitted",IF(UPPER(TRIM('Raw Actuals'!H107))="REJECTED","Rejected","Review"))))</x:f>
        <x:v>Paid</x:v>
      </x:c>
      <x:c r="I107" t="str">
        <x:f>IF(OR(H107="Paid",H107="Approved"),"Include","Exclude")</x:f>
        <x:v>Include</x:v>
      </x:c>
      <x:c r="J107" t="str">
        <x:f>IF(B107="","Missing invoice",IF(COUNTIF($B$6:B107,B107)&gt;1,"Duplicate","Unique"))</x:f>
        <x:v>Unique</x:v>
      </x:c>
      <x:c r="K107" s="17" t="str">
        <x:f>IF(A107="","Missing ID; ","")&amp;IF(B107="","Missing invoice; ","")&amp;IF(C107="","Invalid date; ","")&amp;IF(D107="Review","Unmapped category; ","")&amp;IF(E107="Missing","Missing supplier; ","")&amp;IF(OR(G107="",G107&lt;=0),"Invalid amount; ","")&amp;IF(H107="Review","Invalid payment state; ","")&amp;IF(J107="Duplicate","Duplicate invoice; ","")</x:f>
      </x:c>
      <x:c r="L107" t="str">
        <x:f>IF(K107="","Ready","Review")</x:f>
        <x:v>Ready</x:v>
      </x:c>
      <x:c r="M107" s="26" t="n">
        <x:f>IF(AND(L107="Ready",I107="Include"),G107,0)</x:f>
        <x:v>1596</x:v>
      </x:c>
    </x:row>
    <x:row r="108">
      <x:c r="A108" t="str">
        <x:f>UPPER(TRIM('Raw Actuals'!A108))</x:f>
        <x:v>TXN-27-0103</x:v>
      </x:c>
      <x:c r="B108" t="str">
        <x:f>UPPER(TRIM('Raw Actuals'!B108))</x:f>
        <x:v>INV-27-0103</x:v>
      </x:c>
      <x:c r="C108" s="25" t="n">
        <x:f>IFERROR(IF(OR(MID(TRIM('Raw Actuals'!C108),5,1)="-",MID(TRIM('Raw Actuals'!C108),5,1)="/"),DATE(VALUE(LEFT(TRIM('Raw Actuals'!C108),4)),VALUE(MID(TRIM('Raw Actuals'!C108),6,2)),VALUE(RIGHT(TRIM('Raw Actuals'!C108),2))),IF(LEN(TRIM('Raw Actuals'!C108))=10,DATE(VALUE(RIGHT(TRIM('Raw Actuals'!C108),4)),VALUE(MID(TRIM('Raw Actuals'!C108),4,2)),VALUE(LEFT(TRIM('Raw Actuals'!C108),2))),IF(LEN(TRIM('Raw Actuals'!C108))=8,DATE(2000+VALUE(RIGHT(TRIM('Raw Actuals'!C108),2)),VALUE(MID(TRIM('Raw Actuals'!C108),4,2)),VALUE(LEFT(TRIM('Raw Actuals'!C108),2))),""))),"")</x:f>
        <x:v>46565</x:v>
      </x:c>
      <x:c r="D108" t="str">
        <x:f>IF(OR(UPPER(TRIM('Raw Actuals'!D108))="CATERING",UPPER(TRIM('Raw Actuals'!D108))="WORKSHOP CATERING",UPPER(TRIM('Raw Actuals'!D108))="MEALS",UPPER(TRIM('Raw Actuals'!D108))="CATERNG"),"Catering",IF(OR(UPPER(TRIM('Raw Actuals'!D108))="TRANSPORT",UPPER(TRIM('Raw Actuals'!D108))="LEARNER TRANSPORT",UPPER(TRIM('Raw Actuals'!D108))="TAXIS",UPPER(TRIM('Raw Actuals'!D108))="LEARNER TAXI"),"Transport",IF(OR(UPPER(TRIM('Raw Actuals'!D108))="FACILITATION",UPPER(TRIM('Raw Actuals'!D108))="CHAMPION PAYMENTS",UPPER(TRIM('Raw Actuals'!D108))="STIPENDS",UPPER(TRIM('Raw Actuals'!D108))="FACILITATOR FEE"),"Facilitation",IF(OR(UPPER(TRIM('Raw Actuals'!D108))="MATERIALS",UPPER(TRIM('Raw Actuals'!D108))="WORKSHOP MATERIALS",UPPER(TRIM('Raw Actuals'!D108))="MATERIALS / SUPPLIES"),"Materials",IF(OR(UPPER(TRIM('Raw Actuals'!D108))="PRINTING",UPPER(TRIM('Raw Actuals'!D108))="PRINT &amp; CONSENT",UPPER(TRIM('Raw Actuals'!D108))="PRINTING AND CONSENT"),"Printing",IF(OR(UPPER(TRIM('Raw Actuals'!D108))="TRAINING",UPPER(TRIM('Raw Actuals'!D108))="CHAMPION TRAINING",UPPER(TRIM('Raw Actuals'!D108))="FACILITATOR TRAINING"),"Training",IF(OR(UPPER(TRIM('Raw Actuals'!D108))="SITE VISITS",UPPER(TRIM('Raw Actuals'!D108))="SITE VISIT",UPPER(TRIM('Raw Actuals'!D108))="TRAVEL AND SITE VISITS"),"Site visits",IF(OR(UPPER(TRIM('Raw Actuals'!D108))="EVENTS",UPPER(TRIM('Raw Actuals'!D108))="RECOGNITION EVENT",UPPER(TRIM('Raw Actuals'!D108))="BADGE CEREMONY"),"Events",IF(OR(UPPER(TRIM('Raw Actuals'!D108))="VENUE",UPPER(TRIM('Raw Actuals'!D108))="VENUE HIRE",UPPER(TRIM('Raw Actuals'!D108))="TRAINING VENUE"),"Venue",IF(OR(UPPER(TRIM('Raw Actuals'!D108))="ADMINISTRATION",UPPER(TRIM('Raw Actuals'!D108))="ADMIN",UPPER(TRIM('Raw Actuals'!D108))="OPERATIONAL SUPPORT"),"Administration","Review"))))))))))</x:f>
        <x:v>Transport</x:v>
      </x:c>
      <x:c r="E108" t="str">
        <x:f>IF(TRIM('Raw Actuals'!E108)="","Missing",PROPER(TRIM('Raw Actuals'!E108)))</x:f>
        <x:v>Northline Transport</x:v>
      </x:c>
      <x:c r="F108" t="str">
        <x:f>TRIM('Raw Actuals'!F108)</x:f>
        <x:v>Transport expense 103</x:v>
      </x:c>
      <x:c r="G108" s="26" t="n">
        <x:v>15102</x:v>
      </x:c>
      <x:c r="H108" t="str">
        <x:f>IF(OR(UPPER(TRIM('Raw Actuals'!H108))="PAID",UPPER(TRIM('Raw Actuals'!H108))="PAID "),"Paid",IF(UPPER(TRIM('Raw Actuals'!H108))="APPROVED","Approved",IF(OR(UPPER(TRIM('Raw Actuals'!H108))="SUBMITTED",UPPER(TRIM('Raw Actuals'!H108))="PENDING"),"Submitted",IF(UPPER(TRIM('Raw Actuals'!H108))="REJECTED","Rejected","Review"))))</x:f>
        <x:v>Rejected</x:v>
      </x:c>
      <x:c r="I108" t="str">
        <x:f>IF(OR(H108="Paid",H108="Approved"),"Include","Exclude")</x:f>
        <x:v>Exclude</x:v>
      </x:c>
      <x:c r="J108" t="str">
        <x:f>IF(B108="","Missing invoice",IF(COUNTIF($B$6:B108,B108)&gt;1,"Duplicate","Unique"))</x:f>
        <x:v>Unique</x:v>
      </x:c>
      <x:c r="K108" s="17" t="str">
        <x:f>IF(A108="","Missing ID; ","")&amp;IF(B108="","Missing invoice; ","")&amp;IF(C108="","Invalid date; ","")&amp;IF(D108="Review","Unmapped category; ","")&amp;IF(E108="Missing","Missing supplier; ","")&amp;IF(OR(G108="",G108&lt;=0),"Invalid amount; ","")&amp;IF(H108="Review","Invalid payment state; ","")&amp;IF(J108="Duplicate","Duplicate invoice; ","")</x:f>
      </x:c>
      <x:c r="L108" t="str">
        <x:f>IF(K108="","Ready","Review")</x:f>
        <x:v>Ready</x:v>
      </x:c>
      <x:c r="M108" s="26" t="n">
        <x:f>IF(AND(L108="Ready",I108="Include"),G108,0)</x:f>
        <x:v>0</x:v>
      </x:c>
    </x:row>
    <x:row r="109">
      <x:c r="A109" t="str">
        <x:f>UPPER(TRIM('Raw Actuals'!A109))</x:f>
        <x:v>TXN-27-0104</x:v>
      </x:c>
      <x:c r="B109" t="str">
        <x:f>UPPER(TRIM('Raw Actuals'!B109))</x:f>
        <x:v>INV-27-0104</x:v>
      </x:c>
      <x:c r="C109" s="25" t="n">
        <x:f>IFERROR(IF(OR(MID(TRIM('Raw Actuals'!C109),5,1)="-",MID(TRIM('Raw Actuals'!C109),5,1)="/"),DATE(VALUE(LEFT(TRIM('Raw Actuals'!C109),4)),VALUE(MID(TRIM('Raw Actuals'!C109),6,2)),VALUE(RIGHT(TRIM('Raw Actuals'!C109),2))),IF(LEN(TRIM('Raw Actuals'!C109))=10,DATE(VALUE(RIGHT(TRIM('Raw Actuals'!C109),4)),VALUE(MID(TRIM('Raw Actuals'!C109),4,2)),VALUE(LEFT(TRIM('Raw Actuals'!C109),2))),IF(LEN(TRIM('Raw Actuals'!C109))=8,DATE(2000+VALUE(RIGHT(TRIM('Raw Actuals'!C109),2)),VALUE(MID(TRIM('Raw Actuals'!C109),4,2)),VALUE(LEFT(TRIM('Raw Actuals'!C109),2))),""))),"")</x:f>
        <x:v>46518</x:v>
      </x:c>
      <x:c r="D109" t="str">
        <x:f>IF(OR(UPPER(TRIM('Raw Actuals'!D109))="CATERING",UPPER(TRIM('Raw Actuals'!D109))="WORKSHOP CATERING",UPPER(TRIM('Raw Actuals'!D109))="MEALS",UPPER(TRIM('Raw Actuals'!D109))="CATERNG"),"Catering",IF(OR(UPPER(TRIM('Raw Actuals'!D109))="TRANSPORT",UPPER(TRIM('Raw Actuals'!D109))="LEARNER TRANSPORT",UPPER(TRIM('Raw Actuals'!D109))="TAXIS",UPPER(TRIM('Raw Actuals'!D109))="LEARNER TAXI"),"Transport",IF(OR(UPPER(TRIM('Raw Actuals'!D109))="FACILITATION",UPPER(TRIM('Raw Actuals'!D109))="CHAMPION PAYMENTS",UPPER(TRIM('Raw Actuals'!D109))="STIPENDS",UPPER(TRIM('Raw Actuals'!D109))="FACILITATOR FEE"),"Facilitation",IF(OR(UPPER(TRIM('Raw Actuals'!D109))="MATERIALS",UPPER(TRIM('Raw Actuals'!D109))="WORKSHOP MATERIALS",UPPER(TRIM('Raw Actuals'!D109))="MATERIALS / SUPPLIES"),"Materials",IF(OR(UPPER(TRIM('Raw Actuals'!D109))="PRINTING",UPPER(TRIM('Raw Actuals'!D109))="PRINT &amp; CONSENT",UPPER(TRIM('Raw Actuals'!D109))="PRINTING AND CONSENT"),"Printing",IF(OR(UPPER(TRIM('Raw Actuals'!D109))="TRAINING",UPPER(TRIM('Raw Actuals'!D109))="CHAMPION TRAINING",UPPER(TRIM('Raw Actuals'!D109))="FACILITATOR TRAINING"),"Training",IF(OR(UPPER(TRIM('Raw Actuals'!D109))="SITE VISITS",UPPER(TRIM('Raw Actuals'!D109))="SITE VISIT",UPPER(TRIM('Raw Actuals'!D109))="TRAVEL AND SITE VISITS"),"Site visits",IF(OR(UPPER(TRIM('Raw Actuals'!D109))="EVENTS",UPPER(TRIM('Raw Actuals'!D109))="RECOGNITION EVENT",UPPER(TRIM('Raw Actuals'!D109))="BADGE CEREMONY"),"Events",IF(OR(UPPER(TRIM('Raw Actuals'!D109))="VENUE",UPPER(TRIM('Raw Actuals'!D109))="VENUE HIRE",UPPER(TRIM('Raw Actuals'!D109))="TRAINING VENUE"),"Venue",IF(OR(UPPER(TRIM('Raw Actuals'!D109))="ADMINISTRATION",UPPER(TRIM('Raw Actuals'!D109))="ADMIN",UPPER(TRIM('Raw Actuals'!D109))="OPERATIONAL SUPPORT"),"Administration","Review"))))))))))</x:f>
        <x:v>Venue</x:v>
      </x:c>
      <x:c r="E109" t="str">
        <x:f>IF(TRIM('Raw Actuals'!E109)="","Missing",PROPER(TRIM('Raw Actuals'!E109)))</x:f>
        <x:v>Kopano Catering</x:v>
      </x:c>
      <x:c r="F109" t="str">
        <x:f>TRIM('Raw Actuals'!F109)</x:f>
        <x:v>Venue expense 104</x:v>
      </x:c>
      <x:c r="G109" s="26" t="n">
        <x:v>763</x:v>
      </x:c>
      <x:c r="H109" t="str">
        <x:f>IF(OR(UPPER(TRIM('Raw Actuals'!H109))="PAID",UPPER(TRIM('Raw Actuals'!H109))="PAID "),"Paid",IF(UPPER(TRIM('Raw Actuals'!H109))="APPROVED","Approved",IF(OR(UPPER(TRIM('Raw Actuals'!H109))="SUBMITTED",UPPER(TRIM('Raw Actuals'!H109))="PENDING"),"Submitted",IF(UPPER(TRIM('Raw Actuals'!H109))="REJECTED","Rejected","Review"))))</x:f>
        <x:v>Paid</x:v>
      </x:c>
      <x:c r="I109" t="str">
        <x:f>IF(OR(H109="Paid",H109="Approved"),"Include","Exclude")</x:f>
        <x:v>Include</x:v>
      </x:c>
      <x:c r="J109" t="str">
        <x:f>IF(B109="","Missing invoice",IF(COUNTIF($B$6:B109,B109)&gt;1,"Duplicate","Unique"))</x:f>
        <x:v>Unique</x:v>
      </x:c>
      <x:c r="K109" s="17" t="str">
        <x:f>IF(A109="","Missing ID; ","")&amp;IF(B109="","Missing invoice; ","")&amp;IF(C109="","Invalid date; ","")&amp;IF(D109="Review","Unmapped category; ","")&amp;IF(E109="Missing","Missing supplier; ","")&amp;IF(OR(G109="",G109&lt;=0),"Invalid amount; ","")&amp;IF(H109="Review","Invalid payment state; ","")&amp;IF(J109="Duplicate","Duplicate invoice; ","")</x:f>
      </x:c>
      <x:c r="L109" t="str">
        <x:f>IF(K109="","Ready","Review")</x:f>
        <x:v>Ready</x:v>
      </x:c>
      <x:c r="M109" s="26" t="n">
        <x:f>IF(AND(L109="Ready",I109="Include"),G109,0)</x:f>
        <x:v>763</x:v>
      </x:c>
    </x:row>
    <x:row r="110">
      <x:c r="A110" t="str">
        <x:f>UPPER(TRIM('Raw Actuals'!A110))</x:f>
        <x:v>TXN-27-0105</x:v>
      </x:c>
      <x:c r="B110" t="str">
        <x:f>UPPER(TRIM('Raw Actuals'!B110))</x:f>
        <x:v>INV-27-0105</x:v>
      </x:c>
      <x:c r="C110" s="25" t="n">
        <x:f>IFERROR(IF(OR(MID(TRIM('Raw Actuals'!C110),5,1)="-",MID(TRIM('Raw Actuals'!C110),5,1)="/"),DATE(VALUE(LEFT(TRIM('Raw Actuals'!C110),4)),VALUE(MID(TRIM('Raw Actuals'!C110),6,2)),VALUE(RIGHT(TRIM('Raw Actuals'!C110),2))),IF(LEN(TRIM('Raw Actuals'!C110))=10,DATE(VALUE(RIGHT(TRIM('Raw Actuals'!C110),4)),VALUE(MID(TRIM('Raw Actuals'!C110),4,2)),VALUE(LEFT(TRIM('Raw Actuals'!C110),2))),IF(LEN(TRIM('Raw Actuals'!C110))=8,DATE(2000+VALUE(RIGHT(TRIM('Raw Actuals'!C110),2)),VALUE(MID(TRIM('Raw Actuals'!C110),4,2)),VALUE(LEFT(TRIM('Raw Actuals'!C110),2))),""))),"")</x:f>
        <x:v>46499</x:v>
      </x:c>
      <x:c r="D110" t="str">
        <x:f>IF(OR(UPPER(TRIM('Raw Actuals'!D110))="CATERING",UPPER(TRIM('Raw Actuals'!D110))="WORKSHOP CATERING",UPPER(TRIM('Raw Actuals'!D110))="MEALS",UPPER(TRIM('Raw Actuals'!D110))="CATERNG"),"Catering",IF(OR(UPPER(TRIM('Raw Actuals'!D110))="TRANSPORT",UPPER(TRIM('Raw Actuals'!D110))="LEARNER TRANSPORT",UPPER(TRIM('Raw Actuals'!D110))="TAXIS",UPPER(TRIM('Raw Actuals'!D110))="LEARNER TAXI"),"Transport",IF(OR(UPPER(TRIM('Raw Actuals'!D110))="FACILITATION",UPPER(TRIM('Raw Actuals'!D110))="CHAMPION PAYMENTS",UPPER(TRIM('Raw Actuals'!D110))="STIPENDS",UPPER(TRIM('Raw Actuals'!D110))="FACILITATOR FEE"),"Facilitation",IF(OR(UPPER(TRIM('Raw Actuals'!D110))="MATERIALS",UPPER(TRIM('Raw Actuals'!D110))="WORKSHOP MATERIALS",UPPER(TRIM('Raw Actuals'!D110))="MATERIALS / SUPPLIES"),"Materials",IF(OR(UPPER(TRIM('Raw Actuals'!D110))="PRINTING",UPPER(TRIM('Raw Actuals'!D110))="PRINT &amp; CONSENT",UPPER(TRIM('Raw Actuals'!D110))="PRINTING AND CONSENT"),"Printing",IF(OR(UPPER(TRIM('Raw Actuals'!D110))="TRAINING",UPPER(TRIM('Raw Actuals'!D110))="CHAMPION TRAINING",UPPER(TRIM('Raw Actuals'!D110))="FACILITATOR TRAINING"),"Training",IF(OR(UPPER(TRIM('Raw Actuals'!D110))="SITE VISITS",UPPER(TRIM('Raw Actuals'!D110))="SITE VISIT",UPPER(TRIM('Raw Actuals'!D110))="TRAVEL AND SITE VISITS"),"Site visits",IF(OR(UPPER(TRIM('Raw Actuals'!D110))="EVENTS",UPPER(TRIM('Raw Actuals'!D110))="RECOGNITION EVENT",UPPER(TRIM('Raw Actuals'!D110))="BADGE CEREMONY"),"Events",IF(OR(UPPER(TRIM('Raw Actuals'!D110))="VENUE",UPPER(TRIM('Raw Actuals'!D110))="VENUE HIRE",UPPER(TRIM('Raw Actuals'!D110))="TRAINING VENUE"),"Venue",IF(OR(UPPER(TRIM('Raw Actuals'!D110))="ADMINISTRATION",UPPER(TRIM('Raw Actuals'!D110))="ADMIN",UPPER(TRIM('Raw Actuals'!D110))="OPERATIONAL SUPPORT"),"Administration","Review"))))))))))</x:f>
        <x:v>Training</x:v>
      </x:c>
      <x:c r="E110" t="str">
        <x:f>IF(TRIM('Raw Actuals'!E110)="","Missing",PROPER(TRIM('Raw Actuals'!E110)))</x:f>
        <x:v>Riverside Venue Hire</x:v>
      </x:c>
      <x:c r="F110" t="str">
        <x:f>TRIM('Raw Actuals'!F110)</x:f>
        <x:v>Training expense 105</x:v>
      </x:c>
      <x:c r="G110" s="26" t="n">
        <x:v>14797</x:v>
      </x:c>
      <x:c r="H110" t="str">
        <x:f>IF(OR(UPPER(TRIM('Raw Actuals'!H110))="PAID",UPPER(TRIM('Raw Actuals'!H110))="PAID "),"Paid",IF(UPPER(TRIM('Raw Actuals'!H110))="APPROVED","Approved",IF(OR(UPPER(TRIM('Raw Actuals'!H110))="SUBMITTED",UPPER(TRIM('Raw Actuals'!H110))="PENDING"),"Submitted",IF(UPPER(TRIM('Raw Actuals'!H110))="REJECTED","Rejected","Review"))))</x:f>
        <x:v>Approved</x:v>
      </x:c>
      <x:c r="I110" t="str">
        <x:f>IF(OR(H110="Paid",H110="Approved"),"Include","Exclude")</x:f>
        <x:v>Include</x:v>
      </x:c>
      <x:c r="J110" t="str">
        <x:f>IF(B110="","Missing invoice",IF(COUNTIF($B$6:B110,B110)&gt;1,"Duplicate","Unique"))</x:f>
        <x:v>Unique</x:v>
      </x:c>
      <x:c r="K110" s="17" t="str">
        <x:f>IF(A110="","Missing ID; ","")&amp;IF(B110="","Missing invoice; ","")&amp;IF(C110="","Invalid date; ","")&amp;IF(D110="Review","Unmapped category; ","")&amp;IF(E110="Missing","Missing supplier; ","")&amp;IF(OR(G110="",G110&lt;=0),"Invalid amount; ","")&amp;IF(H110="Review","Invalid payment state; ","")&amp;IF(J110="Duplicate","Duplicate invoice; ","")</x:f>
      </x:c>
      <x:c r="L110" t="str">
        <x:f>IF(K110="","Ready","Review")</x:f>
        <x:v>Ready</x:v>
      </x:c>
      <x:c r="M110" s="26" t="n">
        <x:f>IF(AND(L110="Ready",I110="Include"),G110,0)</x:f>
        <x:v>14797</x:v>
      </x:c>
    </x:row>
    <x:row r="111">
      <x:c r="A111" t="str">
        <x:f>UPPER(TRIM('Raw Actuals'!A111))</x:f>
        <x:v>TXN-27-0106</x:v>
      </x:c>
      <x:c r="B111" t="str">
        <x:f>UPPER(TRIM('Raw Actuals'!B111))</x:f>
        <x:v>INV-27-0106</x:v>
      </x:c>
      <x:c r="C111" s="25" t="n">
        <x:f>IFERROR(IF(OR(MID(TRIM('Raw Actuals'!C111),5,1)="-",MID(TRIM('Raw Actuals'!C111),5,1)="/"),DATE(VALUE(LEFT(TRIM('Raw Actuals'!C111),4)),VALUE(MID(TRIM('Raw Actuals'!C111),6,2)),VALUE(RIGHT(TRIM('Raw Actuals'!C111),2))),IF(LEN(TRIM('Raw Actuals'!C111))=10,DATE(VALUE(RIGHT(TRIM('Raw Actuals'!C111),4)),VALUE(MID(TRIM('Raw Actuals'!C111),4,2)),VALUE(LEFT(TRIM('Raw Actuals'!C111),2))),IF(LEN(TRIM('Raw Actuals'!C111))=8,DATE(2000+VALUE(RIGHT(TRIM('Raw Actuals'!C111),2)),VALUE(MID(TRIM('Raw Actuals'!C111),4,2)),VALUE(LEFT(TRIM('Raw Actuals'!C111),2))),""))),"")</x:f>
        <x:v>36494</x:v>
      </x:c>
      <x:c r="D111" t="str">
        <x:f>IF(OR(UPPER(TRIM('Raw Actuals'!D111))="CATERING",UPPER(TRIM('Raw Actuals'!D111))="WORKSHOP CATERING",UPPER(TRIM('Raw Actuals'!D111))="MEALS",UPPER(TRIM('Raw Actuals'!D111))="CATERNG"),"Catering",IF(OR(UPPER(TRIM('Raw Actuals'!D111))="TRANSPORT",UPPER(TRIM('Raw Actuals'!D111))="LEARNER TRANSPORT",UPPER(TRIM('Raw Actuals'!D111))="TAXIS",UPPER(TRIM('Raw Actuals'!D111))="LEARNER TAXI"),"Transport",IF(OR(UPPER(TRIM('Raw Actuals'!D111))="FACILITATION",UPPER(TRIM('Raw Actuals'!D111))="CHAMPION PAYMENTS",UPPER(TRIM('Raw Actuals'!D111))="STIPENDS",UPPER(TRIM('Raw Actuals'!D111))="FACILITATOR FEE"),"Facilitation",IF(OR(UPPER(TRIM('Raw Actuals'!D111))="MATERIALS",UPPER(TRIM('Raw Actuals'!D111))="WORKSHOP MATERIALS",UPPER(TRIM('Raw Actuals'!D111))="MATERIALS / SUPPLIES"),"Materials",IF(OR(UPPER(TRIM('Raw Actuals'!D111))="PRINTING",UPPER(TRIM('Raw Actuals'!D111))="PRINT &amp; CONSENT",UPPER(TRIM('Raw Actuals'!D111))="PRINTING AND CONSENT"),"Printing",IF(OR(UPPER(TRIM('Raw Actuals'!D111))="TRAINING",UPPER(TRIM('Raw Actuals'!D111))="CHAMPION TRAINING",UPPER(TRIM('Raw Actuals'!D111))="FACILITATOR TRAINING"),"Training",IF(OR(UPPER(TRIM('Raw Actuals'!D111))="SITE VISITS",UPPER(TRIM('Raw Actuals'!D111))="SITE VISIT",UPPER(TRIM('Raw Actuals'!D111))="TRAVEL AND SITE VISITS"),"Site visits",IF(OR(UPPER(TRIM('Raw Actuals'!D111))="EVENTS",UPPER(TRIM('Raw Actuals'!D111))="RECOGNITION EVENT",UPPER(TRIM('Raw Actuals'!D111))="BADGE CEREMONY"),"Events",IF(OR(UPPER(TRIM('Raw Actuals'!D111))="VENUE",UPPER(TRIM('Raw Actuals'!D111))="VENUE HIRE",UPPER(TRIM('Raw Actuals'!D111))="TRAINING VENUE"),"Venue",IF(OR(UPPER(TRIM('Raw Actuals'!D111))="ADMINISTRATION",UPPER(TRIM('Raw Actuals'!D111))="ADMIN",UPPER(TRIM('Raw Actuals'!D111))="OPERATIONAL SUPPORT"),"Administration","Review"))))))))))</x:f>
        <x:v>Facilitation</x:v>
      </x:c>
      <x:c r="E111" t="str">
        <x:f>IF(TRIM('Raw Actuals'!E111)="","Missing",PROPER(TRIM('Raw Actuals'!E111)))</x:f>
        <x:v>Bright Print Studio</x:v>
      </x:c>
      <x:c r="F111" t="str">
        <x:f>TRIM('Raw Actuals'!F111)</x:f>
        <x:v>Facilitation expense 106</x:v>
      </x:c>
      <x:c r="G111" s="26" t="n">
        <x:v>4070</x:v>
      </x:c>
      <x:c r="H111" t="str">
        <x:f>IF(OR(UPPER(TRIM('Raw Actuals'!H111))="PAID",UPPER(TRIM('Raw Actuals'!H111))="PAID "),"Paid",IF(UPPER(TRIM('Raw Actuals'!H111))="APPROVED","Approved",IF(OR(UPPER(TRIM('Raw Actuals'!H111))="SUBMITTED",UPPER(TRIM('Raw Actuals'!H111))="PENDING"),"Submitted",IF(UPPER(TRIM('Raw Actuals'!H111))="REJECTED","Rejected","Review"))))</x:f>
        <x:v>Submitted</x:v>
      </x:c>
      <x:c r="I111" t="str">
        <x:f>IF(OR(H111="Paid",H111="Approved"),"Include","Exclude")</x:f>
        <x:v>Exclude</x:v>
      </x:c>
      <x:c r="J111" t="str">
        <x:f>IF(B111="","Missing invoice",IF(COUNTIF($B$6:B111,B111)&gt;1,"Duplicate","Unique"))</x:f>
        <x:v>Unique</x:v>
      </x:c>
      <x:c r="K111" s="17" t="str">
        <x:f>IF(A111="","Missing ID; ","")&amp;IF(B111="","Missing invoice; ","")&amp;IF(C111="","Invalid date; ","")&amp;IF(D111="Review","Unmapped category; ","")&amp;IF(E111="Missing","Missing supplier; ","")&amp;IF(OR(G111="",G111&lt;=0),"Invalid amount; ","")&amp;IF(H111="Review","Invalid payment state; ","")&amp;IF(J111="Duplicate","Duplicate invoice; ","")</x:f>
      </x:c>
      <x:c r="L111" t="str">
        <x:f>IF(K111="","Ready","Review")</x:f>
        <x:v>Ready</x:v>
      </x:c>
      <x:c r="M111" s="26" t="n">
        <x:f>IF(AND(L111="Ready",I111="Include"),G111,0)</x:f>
        <x:v>0</x:v>
      </x:c>
    </x:row>
    <x:row r="112">
      <x:c r="A112" t="str">
        <x:f>UPPER(TRIM('Raw Actuals'!A112))</x:f>
        <x:v>TXN-27-0107</x:v>
      </x:c>
      <x:c r="B112" t="str">
        <x:f>UPPER(TRIM('Raw Actuals'!B112))</x:f>
        <x:v>INV-27-0107</x:v>
      </x:c>
      <x:c r="C112" s="25" t="n">
        <x:f>IFERROR(IF(OR(MID(TRIM('Raw Actuals'!C112),5,1)="-",MID(TRIM('Raw Actuals'!C112),5,1)="/"),DATE(VALUE(LEFT(TRIM('Raw Actuals'!C112),4)),VALUE(MID(TRIM('Raw Actuals'!C112),6,2)),VALUE(RIGHT(TRIM('Raw Actuals'!C112),2))),IF(LEN(TRIM('Raw Actuals'!C112))=10,DATE(VALUE(RIGHT(TRIM('Raw Actuals'!C112),4)),VALUE(MID(TRIM('Raw Actuals'!C112),4,2)),VALUE(LEFT(TRIM('Raw Actuals'!C112),2))),IF(LEN(TRIM('Raw Actuals'!C112))=8,DATE(2000+VALUE(RIGHT(TRIM('Raw Actuals'!C112),2)),VALUE(MID(TRIM('Raw Actuals'!C112),4,2)),VALUE(LEFT(TRIM('Raw Actuals'!C112),2))),""))),"")</x:f>
        <x:v>46435</x:v>
      </x:c>
      <x:c r="D112" t="str">
        <x:f>IF(OR(UPPER(TRIM('Raw Actuals'!D112))="CATERING",UPPER(TRIM('Raw Actuals'!D112))="WORKSHOP CATERING",UPPER(TRIM('Raw Actuals'!D112))="MEALS",UPPER(TRIM('Raw Actuals'!D112))="CATERNG"),"Catering",IF(OR(UPPER(TRIM('Raw Actuals'!D112))="TRANSPORT",UPPER(TRIM('Raw Actuals'!D112))="LEARNER TRANSPORT",UPPER(TRIM('Raw Actuals'!D112))="TAXIS",UPPER(TRIM('Raw Actuals'!D112))="LEARNER TAXI"),"Transport",IF(OR(UPPER(TRIM('Raw Actuals'!D112))="FACILITATION",UPPER(TRIM('Raw Actuals'!D112))="CHAMPION PAYMENTS",UPPER(TRIM('Raw Actuals'!D112))="STIPENDS",UPPER(TRIM('Raw Actuals'!D112))="FACILITATOR FEE"),"Facilitation",IF(OR(UPPER(TRIM('Raw Actuals'!D112))="MATERIALS",UPPER(TRIM('Raw Actuals'!D112))="WORKSHOP MATERIALS",UPPER(TRIM('Raw Actuals'!D112))="MATERIALS / SUPPLIES"),"Materials",IF(OR(UPPER(TRIM('Raw Actuals'!D112))="PRINTING",UPPER(TRIM('Raw Actuals'!D112))="PRINT &amp; CONSENT",UPPER(TRIM('Raw Actuals'!D112))="PRINTING AND CONSENT"),"Printing",IF(OR(UPPER(TRIM('Raw Actuals'!D112))="TRAINING",UPPER(TRIM('Raw Actuals'!D112))="CHAMPION TRAINING",UPPER(TRIM('Raw Actuals'!D112))="FACILITATOR TRAINING"),"Training",IF(OR(UPPER(TRIM('Raw Actuals'!D112))="SITE VISITS",UPPER(TRIM('Raw Actuals'!D112))="SITE VISIT",UPPER(TRIM('Raw Actuals'!D112))="TRAVEL AND SITE VISITS"),"Site visits",IF(OR(UPPER(TRIM('Raw Actuals'!D112))="EVENTS",UPPER(TRIM('Raw Actuals'!D112))="RECOGNITION EVENT",UPPER(TRIM('Raw Actuals'!D112))="BADGE CEREMONY"),"Events",IF(OR(UPPER(TRIM('Raw Actuals'!D112))="VENUE",UPPER(TRIM('Raw Actuals'!D112))="VENUE HIRE",UPPER(TRIM('Raw Actuals'!D112))="TRAINING VENUE"),"Venue",IF(OR(UPPER(TRIM('Raw Actuals'!D112))="ADMINISTRATION",UPPER(TRIM('Raw Actuals'!D112))="ADMIN",UPPER(TRIM('Raw Actuals'!D112))="OPERATIONAL SUPPORT"),"Administration","Review"))))))))))</x:f>
        <x:v>Administration</x:v>
      </x:c>
      <x:c r="E112" t="str">
        <x:f>IF(TRIM('Raw Actuals'!E112)="","Missing",PROPER(TRIM('Raw Actuals'!E112)))</x:f>
        <x:v>Thuto Facilitation</x:v>
      </x:c>
      <x:c r="F112" t="str">
        <x:f>TRIM('Raw Actuals'!F112)</x:f>
        <x:v>Administration expense 107</x:v>
      </x:c>
      <x:c r="G112" s="26" t="n">
        <x:v>1865</x:v>
      </x:c>
      <x:c r="H112" t="str">
        <x:f>IF(OR(UPPER(TRIM('Raw Actuals'!H112))="PAID",UPPER(TRIM('Raw Actuals'!H112))="PAID "),"Paid",IF(UPPER(TRIM('Raw Actuals'!H112))="APPROVED","Approved",IF(OR(UPPER(TRIM('Raw Actuals'!H112))="SUBMITTED",UPPER(TRIM('Raw Actuals'!H112))="PENDING"),"Submitted",IF(UPPER(TRIM('Raw Actuals'!H112))="REJECTED","Rejected","Review"))))</x:f>
        <x:v>Rejected</x:v>
      </x:c>
      <x:c r="I112" t="str">
        <x:f>IF(OR(H112="Paid",H112="Approved"),"Include","Exclude")</x:f>
        <x:v>Exclude</x:v>
      </x:c>
      <x:c r="J112" t="str">
        <x:f>IF(B112="","Missing invoice",IF(COUNTIF($B$6:B112,B112)&gt;1,"Duplicate","Unique"))</x:f>
        <x:v>Unique</x:v>
      </x:c>
      <x:c r="K112" s="17" t="str">
        <x:f>IF(A112="","Missing ID; ","")&amp;IF(B112="","Missing invoice; ","")&amp;IF(C112="","Invalid date; ","")&amp;IF(D112="Review","Unmapped category; ","")&amp;IF(E112="Missing","Missing supplier; ","")&amp;IF(OR(G112="",G112&lt;=0),"Invalid amount; ","")&amp;IF(H112="Review","Invalid payment state; ","")&amp;IF(J112="Duplicate","Duplicate invoice; ","")</x:f>
      </x:c>
      <x:c r="L112" t="str">
        <x:f>IF(K112="","Ready","Review")</x:f>
        <x:v>Ready</x:v>
      </x:c>
      <x:c r="M112" s="26" t="n">
        <x:f>IF(AND(L112="Ready",I112="Include"),G112,0)</x:f>
        <x:v>0</x:v>
      </x:c>
    </x:row>
    <x:row r="113">
      <x:c r="A113" t="str">
        <x:f>UPPER(TRIM('Raw Actuals'!A113))</x:f>
        <x:v>TXN-27-0108</x:v>
      </x:c>
      <x:c r="B113" t="str">
        <x:f>UPPER(TRIM('Raw Actuals'!B113))</x:f>
        <x:v>INV-27-0108</x:v>
      </x:c>
      <x:c r="C113" s="25" t="n">
        <x:f>IFERROR(IF(OR(MID(TRIM('Raw Actuals'!C113),5,1)="-",MID(TRIM('Raw Actuals'!C113),5,1)="/"),DATE(VALUE(LEFT(TRIM('Raw Actuals'!C113),4)),VALUE(MID(TRIM('Raw Actuals'!C113),6,2)),VALUE(RIGHT(TRIM('Raw Actuals'!C113),2))),IF(LEN(TRIM('Raw Actuals'!C113))=10,DATE(VALUE(RIGHT(TRIM('Raw Actuals'!C113),4)),VALUE(MID(TRIM('Raw Actuals'!C113),4,2)),VALUE(LEFT(TRIM('Raw Actuals'!C113),2))),IF(LEN(TRIM('Raw Actuals'!C113))=8,DATE(2000+VALUE(RIGHT(TRIM('Raw Actuals'!C113),2)),VALUE(MID(TRIM('Raw Actuals'!C113),4,2)),VALUE(LEFT(TRIM('Raw Actuals'!C113),2))),""))),"")</x:f>
        <x:v>46388</x:v>
      </x:c>
      <x:c r="D113" t="str">
        <x:f>IF(OR(UPPER(TRIM('Raw Actuals'!D113))="CATERING",UPPER(TRIM('Raw Actuals'!D113))="WORKSHOP CATERING",UPPER(TRIM('Raw Actuals'!D113))="MEALS",UPPER(TRIM('Raw Actuals'!D113))="CATERNG"),"Catering",IF(OR(UPPER(TRIM('Raw Actuals'!D113))="TRANSPORT",UPPER(TRIM('Raw Actuals'!D113))="LEARNER TRANSPORT",UPPER(TRIM('Raw Actuals'!D113))="TAXIS",UPPER(TRIM('Raw Actuals'!D113))="LEARNER TAXI"),"Transport",IF(OR(UPPER(TRIM('Raw Actuals'!D113))="FACILITATION",UPPER(TRIM('Raw Actuals'!D113))="CHAMPION PAYMENTS",UPPER(TRIM('Raw Actuals'!D113))="STIPENDS",UPPER(TRIM('Raw Actuals'!D113))="FACILITATOR FEE"),"Facilitation",IF(OR(UPPER(TRIM('Raw Actuals'!D113))="MATERIALS",UPPER(TRIM('Raw Actuals'!D113))="WORKSHOP MATERIALS",UPPER(TRIM('Raw Actuals'!D113))="MATERIALS / SUPPLIES"),"Materials",IF(OR(UPPER(TRIM('Raw Actuals'!D113))="PRINTING",UPPER(TRIM('Raw Actuals'!D113))="PRINT &amp; CONSENT",UPPER(TRIM('Raw Actuals'!D113))="PRINTING AND CONSENT"),"Printing",IF(OR(UPPER(TRIM('Raw Actuals'!D113))="TRAINING",UPPER(TRIM('Raw Actuals'!D113))="CHAMPION TRAINING",UPPER(TRIM('Raw Actuals'!D113))="FACILITATOR TRAINING"),"Training",IF(OR(UPPER(TRIM('Raw Actuals'!D113))="SITE VISITS",UPPER(TRIM('Raw Actuals'!D113))="SITE VISIT",UPPER(TRIM('Raw Actuals'!D113))="TRAVEL AND SITE VISITS"),"Site visits",IF(OR(UPPER(TRIM('Raw Actuals'!D113))="EVENTS",UPPER(TRIM('Raw Actuals'!D113))="RECOGNITION EVENT",UPPER(TRIM('Raw Actuals'!D113))="BADGE CEREMONY"),"Events",IF(OR(UPPER(TRIM('Raw Actuals'!D113))="VENUE",UPPER(TRIM('Raw Actuals'!D113))="VENUE HIRE",UPPER(TRIM('Raw Actuals'!D113))="TRAINING VENUE"),"Venue",IF(OR(UPPER(TRIM('Raw Actuals'!D113))="ADMINISTRATION",UPPER(TRIM('Raw Actuals'!D113))="ADMIN",UPPER(TRIM('Raw Actuals'!D113))="OPERATIONAL SUPPORT"),"Administration","Review"))))))))))</x:f>
        <x:v>Site visits</x:v>
      </x:c>
      <x:c r="E113" t="str">
        <x:f>IF(TRIM('Raw Actuals'!E113)="","Missing",PROPER(TRIM('Raw Actuals'!E113)))</x:f>
        <x:v>Moya Supplies</x:v>
      </x:c>
      <x:c r="F113" t="str">
        <x:f>TRIM('Raw Actuals'!F113)</x:f>
        <x:v>Site visits expense 108</x:v>
      </x:c>
      <x:c r="G113" s="26" t="n">
        <x:v>5065</x:v>
      </x:c>
      <x:c r="H113" t="str">
        <x:f>IF(OR(UPPER(TRIM('Raw Actuals'!H113))="PAID",UPPER(TRIM('Raw Actuals'!H113))="PAID "),"Paid",IF(UPPER(TRIM('Raw Actuals'!H113))="APPROVED","Approved",IF(OR(UPPER(TRIM('Raw Actuals'!H113))="SUBMITTED",UPPER(TRIM('Raw Actuals'!H113))="PENDING"),"Submitted",IF(UPPER(TRIM('Raw Actuals'!H113))="REJECTED","Rejected","Review"))))</x:f>
        <x:v>Paid</x:v>
      </x:c>
      <x:c r="I113" t="str">
        <x:f>IF(OR(H113="Paid",H113="Approved"),"Include","Exclude")</x:f>
        <x:v>Include</x:v>
      </x:c>
      <x:c r="J113" t="str">
        <x:f>IF(B113="","Missing invoice",IF(COUNTIF($B$6:B113,B113)&gt;1,"Duplicate","Unique"))</x:f>
        <x:v>Unique</x:v>
      </x:c>
      <x:c r="K113" s="17" t="str">
        <x:f>IF(A113="","Missing ID; ","")&amp;IF(B113="","Missing invoice; ","")&amp;IF(C113="","Invalid date; ","")&amp;IF(D113="Review","Unmapped category; ","")&amp;IF(E113="Missing","Missing supplier; ","")&amp;IF(OR(G113="",G113&lt;=0),"Invalid amount; ","")&amp;IF(H113="Review","Invalid payment state; ","")&amp;IF(J113="Duplicate","Duplicate invoice; ","")</x:f>
      </x:c>
      <x:c r="L113" t="str">
        <x:f>IF(K113="","Ready","Review")</x:f>
        <x:v>Ready</x:v>
      </x:c>
      <x:c r="M113" s="26" t="n">
        <x:f>IF(AND(L113="Ready",I113="Include"),G113,0)</x:f>
        <x:v>5065</x:v>
      </x:c>
    </x:row>
    <x:row r="114">
      <x:c r="A114" t="str">
        <x:f>UPPER(TRIM('Raw Actuals'!A114))</x:f>
        <x:v>TXN-27-0109</x:v>
      </x:c>
      <x:c r="B114" t="str">
        <x:f>UPPER(TRIM('Raw Actuals'!B114))</x:f>
        <x:v>INV-27-0109</x:v>
      </x:c>
      <x:c r="C114" s="25" t="n">
        <x:f>IFERROR(IF(OR(MID(TRIM('Raw Actuals'!C114),5,1)="-",MID(TRIM('Raw Actuals'!C114),5,1)="/"),DATE(VALUE(LEFT(TRIM('Raw Actuals'!C114),4)),VALUE(MID(TRIM('Raw Actuals'!C114),6,2)),VALUE(RIGHT(TRIM('Raw Actuals'!C114),2))),IF(LEN(TRIM('Raw Actuals'!C114))=10,DATE(VALUE(RIGHT(TRIM('Raw Actuals'!C114),4)),VALUE(MID(TRIM('Raw Actuals'!C114),4,2)),VALUE(LEFT(TRIM('Raw Actuals'!C114),2))),IF(LEN(TRIM('Raw Actuals'!C114))=8,DATE(2000+VALUE(RIGHT(TRIM('Raw Actuals'!C114),2)),VALUE(MID(TRIM('Raw Actuals'!C114),4,2)),VALUE(LEFT(TRIM('Raw Actuals'!C114),2))),""))),"")</x:f>
        <x:v>46550</x:v>
      </x:c>
      <x:c r="D114" t="str">
        <x:f>IF(OR(UPPER(TRIM('Raw Actuals'!D114))="CATERING",UPPER(TRIM('Raw Actuals'!D114))="WORKSHOP CATERING",UPPER(TRIM('Raw Actuals'!D114))="MEALS",UPPER(TRIM('Raw Actuals'!D114))="CATERNG"),"Catering",IF(OR(UPPER(TRIM('Raw Actuals'!D114))="TRANSPORT",UPPER(TRIM('Raw Actuals'!D114))="LEARNER TRANSPORT",UPPER(TRIM('Raw Actuals'!D114))="TAXIS",UPPER(TRIM('Raw Actuals'!D114))="LEARNER TAXI"),"Transport",IF(OR(UPPER(TRIM('Raw Actuals'!D114))="FACILITATION",UPPER(TRIM('Raw Actuals'!D114))="CHAMPION PAYMENTS",UPPER(TRIM('Raw Actuals'!D114))="STIPENDS",UPPER(TRIM('Raw Actuals'!D114))="FACILITATOR FEE"),"Facilitation",IF(OR(UPPER(TRIM('Raw Actuals'!D114))="MATERIALS",UPPER(TRIM('Raw Actuals'!D114))="WORKSHOP MATERIALS",UPPER(TRIM('Raw Actuals'!D114))="MATERIALS / SUPPLIES"),"Materials",IF(OR(UPPER(TRIM('Raw Actuals'!D114))="PRINTING",UPPER(TRIM('Raw Actuals'!D114))="PRINT &amp; CONSENT",UPPER(TRIM('Raw Actuals'!D114))="PRINTING AND CONSENT"),"Printing",IF(OR(UPPER(TRIM('Raw Actuals'!D114))="TRAINING",UPPER(TRIM('Raw Actuals'!D114))="CHAMPION TRAINING",UPPER(TRIM('Raw Actuals'!D114))="FACILITATOR TRAINING"),"Training",IF(OR(UPPER(TRIM('Raw Actuals'!D114))="SITE VISITS",UPPER(TRIM('Raw Actuals'!D114))="SITE VISIT",UPPER(TRIM('Raw Actuals'!D114))="TRAVEL AND SITE VISITS"),"Site visits",IF(OR(UPPER(TRIM('Raw Actuals'!D114))="EVENTS",UPPER(TRIM('Raw Actuals'!D114))="RECOGNITION EVENT",UPPER(TRIM('Raw Actuals'!D114))="BADGE CEREMONY"),"Events",IF(OR(UPPER(TRIM('Raw Actuals'!D114))="VENUE",UPPER(TRIM('Raw Actuals'!D114))="VENUE HIRE",UPPER(TRIM('Raw Actuals'!D114))="TRAINING VENUE"),"Venue",IF(OR(UPPER(TRIM('Raw Actuals'!D114))="ADMINISTRATION",UPPER(TRIM('Raw Actuals'!D114))="ADMIN",UPPER(TRIM('Raw Actuals'!D114))="OPERATIONAL SUPPORT"),"Administration","Review"))))))))))</x:f>
        <x:v>Materials</x:v>
      </x:c>
      <x:c r="E114" t="str">
        <x:f>IF(TRIM('Raw Actuals'!E114)="","Missing",PROPER(TRIM('Raw Actuals'!E114)))</x:f>
        <x:v>Northline Transport</x:v>
      </x:c>
      <x:c r="F114" t="str">
        <x:f>TRIM('Raw Actuals'!F114)</x:f>
        <x:v>Materials expense 109</x:v>
      </x:c>
      <x:c r="G114" s="26" t="n">
        <x:v>6504</x:v>
      </x:c>
      <x:c r="H114" t="str">
        <x:f>IF(OR(UPPER(TRIM('Raw Actuals'!H114))="PAID",UPPER(TRIM('Raw Actuals'!H114))="PAID "),"Paid",IF(UPPER(TRIM('Raw Actuals'!H114))="APPROVED","Approved",IF(OR(UPPER(TRIM('Raw Actuals'!H114))="SUBMITTED",UPPER(TRIM('Raw Actuals'!H114))="PENDING"),"Submitted",IF(UPPER(TRIM('Raw Actuals'!H114))="REJECTED","Rejected","Review"))))</x:f>
        <x:v>Approved</x:v>
      </x:c>
      <x:c r="I114" t="str">
        <x:f>IF(OR(H114="Paid",H114="Approved"),"Include","Exclude")</x:f>
        <x:v>Include</x:v>
      </x:c>
      <x:c r="J114" t="str">
        <x:f>IF(B114="","Missing invoice",IF(COUNTIF($B$6:B114,B114)&gt;1,"Duplicate","Unique"))</x:f>
        <x:v>Unique</x:v>
      </x:c>
      <x:c r="K114" s="17" t="str">
        <x:f>IF(A114="","Missing ID; ","")&amp;IF(B114="","Missing invoice; ","")&amp;IF(C114="","Invalid date; ","")&amp;IF(D114="Review","Unmapped category; ","")&amp;IF(E114="Missing","Missing supplier; ","")&amp;IF(OR(G114="",G114&lt;=0),"Invalid amount; ","")&amp;IF(H114="Review","Invalid payment state; ","")&amp;IF(J114="Duplicate","Duplicate invoice; ","")</x:f>
      </x:c>
      <x:c r="L114" t="str">
        <x:f>IF(K114="","Ready","Review")</x:f>
        <x:v>Ready</x:v>
      </x:c>
      <x:c r="M114" s="26" t="n">
        <x:f>IF(AND(L114="Ready",I114="Include"),G114,0)</x:f>
        <x:v>6504</x:v>
      </x:c>
    </x:row>
    <x:row r="115">
      <x:c r="A115" t="str">
        <x:f>UPPER(TRIM('Raw Actuals'!A115))</x:f>
        <x:v>TXN-27-0110</x:v>
      </x:c>
      <x:c r="B115" t="str">
        <x:f>UPPER(TRIM('Raw Actuals'!B115))</x:f>
        <x:v>INV-27-0110</x:v>
      </x:c>
      <x:c r="C115" s="25" t="n">
        <x:f>IFERROR(IF(OR(MID(TRIM('Raw Actuals'!C115),5,1)="-",MID(TRIM('Raw Actuals'!C115),5,1)="/"),DATE(VALUE(LEFT(TRIM('Raw Actuals'!C115),4)),VALUE(MID(TRIM('Raw Actuals'!C115),6,2)),VALUE(RIGHT(TRIM('Raw Actuals'!C115),2))),IF(LEN(TRIM('Raw Actuals'!C115))=10,DATE(VALUE(RIGHT(TRIM('Raw Actuals'!C115),4)),VALUE(MID(TRIM('Raw Actuals'!C115),4,2)),VALUE(LEFT(TRIM('Raw Actuals'!C115),2))),IF(LEN(TRIM('Raw Actuals'!C115))=8,DATE(2000+VALUE(RIGHT(TRIM('Raw Actuals'!C115),2)),VALUE(MID(TRIM('Raw Actuals'!C115),4,2)),VALUE(LEFT(TRIM('Raw Actuals'!C115),2))),""))),"")</x:f>
        <x:v>46530</x:v>
      </x:c>
      <x:c r="D115" t="str">
        <x:f>IF(OR(UPPER(TRIM('Raw Actuals'!D115))="CATERING",UPPER(TRIM('Raw Actuals'!D115))="WORKSHOP CATERING",UPPER(TRIM('Raw Actuals'!D115))="MEALS",UPPER(TRIM('Raw Actuals'!D115))="CATERNG"),"Catering",IF(OR(UPPER(TRIM('Raw Actuals'!D115))="TRANSPORT",UPPER(TRIM('Raw Actuals'!D115))="LEARNER TRANSPORT",UPPER(TRIM('Raw Actuals'!D115))="TAXIS",UPPER(TRIM('Raw Actuals'!D115))="LEARNER TAXI"),"Transport",IF(OR(UPPER(TRIM('Raw Actuals'!D115))="FACILITATION",UPPER(TRIM('Raw Actuals'!D115))="CHAMPION PAYMENTS",UPPER(TRIM('Raw Actuals'!D115))="STIPENDS",UPPER(TRIM('Raw Actuals'!D115))="FACILITATOR FEE"),"Facilitation",IF(OR(UPPER(TRIM('Raw Actuals'!D115))="MATERIALS",UPPER(TRIM('Raw Actuals'!D115))="WORKSHOP MATERIALS",UPPER(TRIM('Raw Actuals'!D115))="MATERIALS / SUPPLIES"),"Materials",IF(OR(UPPER(TRIM('Raw Actuals'!D115))="PRINTING",UPPER(TRIM('Raw Actuals'!D115))="PRINT &amp; CONSENT",UPPER(TRIM('Raw Actuals'!D115))="PRINTING AND CONSENT"),"Printing",IF(OR(UPPER(TRIM('Raw Actuals'!D115))="TRAINING",UPPER(TRIM('Raw Actuals'!D115))="CHAMPION TRAINING",UPPER(TRIM('Raw Actuals'!D115))="FACILITATOR TRAINING"),"Training",IF(OR(UPPER(TRIM('Raw Actuals'!D115))="SITE VISITS",UPPER(TRIM('Raw Actuals'!D115))="SITE VISIT",UPPER(TRIM('Raw Actuals'!D115))="TRAVEL AND SITE VISITS"),"Site visits",IF(OR(UPPER(TRIM('Raw Actuals'!D115))="EVENTS",UPPER(TRIM('Raw Actuals'!D115))="RECOGNITION EVENT",UPPER(TRIM('Raw Actuals'!D115))="BADGE CEREMONY"),"Events",IF(OR(UPPER(TRIM('Raw Actuals'!D115))="VENUE",UPPER(TRIM('Raw Actuals'!D115))="VENUE HIRE",UPPER(TRIM('Raw Actuals'!D115))="TRAINING VENUE"),"Venue",IF(OR(UPPER(TRIM('Raw Actuals'!D115))="ADMINISTRATION",UPPER(TRIM('Raw Actuals'!D115))="ADMIN",UPPER(TRIM('Raw Actuals'!D115))="OPERATIONAL SUPPORT"),"Administration","Review"))))))))))</x:f>
        <x:v>Catering</x:v>
      </x:c>
      <x:c r="E115" t="str">
        <x:f>IF(TRIM('Raw Actuals'!E115)="","Missing",PROPER(TRIM('Raw Actuals'!E115)))</x:f>
        <x:v>Kopano Catering</x:v>
      </x:c>
      <x:c r="F115" t="str">
        <x:f>TRIM('Raw Actuals'!F115)</x:f>
        <x:v>Catering expense 110</x:v>
      </x:c>
      <x:c r="G115" s="26" t="n">
        <x:v>15282</x:v>
      </x:c>
      <x:c r="H115" t="str">
        <x:f>IF(OR(UPPER(TRIM('Raw Actuals'!H115))="PAID",UPPER(TRIM('Raw Actuals'!H115))="PAID "),"Paid",IF(UPPER(TRIM('Raw Actuals'!H115))="APPROVED","Approved",IF(OR(UPPER(TRIM('Raw Actuals'!H115))="SUBMITTED",UPPER(TRIM('Raw Actuals'!H115))="PENDING"),"Submitted",IF(UPPER(TRIM('Raw Actuals'!H115))="REJECTED","Rejected","Review"))))</x:f>
        <x:v>Submitted</x:v>
      </x:c>
      <x:c r="I115" t="str">
        <x:f>IF(OR(H115="Paid",H115="Approved"),"Include","Exclude")</x:f>
        <x:v>Exclude</x:v>
      </x:c>
      <x:c r="J115" t="str">
        <x:f>IF(B115="","Missing invoice",IF(COUNTIF($B$6:B115,B115)&gt;1,"Duplicate","Unique"))</x:f>
        <x:v>Unique</x:v>
      </x:c>
      <x:c r="K115" s="17" t="str">
        <x:f>IF(A115="","Missing ID; ","")&amp;IF(B115="","Missing invoice; ","")&amp;IF(C115="","Invalid date; ","")&amp;IF(D115="Review","Unmapped category; ","")&amp;IF(E115="Missing","Missing supplier; ","")&amp;IF(OR(G115="",G115&lt;=0),"Invalid amount; ","")&amp;IF(H115="Review","Invalid payment state; ","")&amp;IF(J115="Duplicate","Duplicate invoice; ","")</x:f>
      </x:c>
      <x:c r="L115" t="str">
        <x:f>IF(K115="","Ready","Review")</x:f>
        <x:v>Ready</x:v>
      </x:c>
      <x:c r="M115" s="26" t="n">
        <x:f>IF(AND(L115="Ready",I115="Include"),G115,0)</x:f>
        <x:v>0</x:v>
      </x:c>
    </x:row>
    <x:row r="116">
      <x:c r="A116" t="str">
        <x:f>UPPER(TRIM('Raw Actuals'!A116))</x:f>
        <x:v>TXN-27-0111</x:v>
      </x:c>
      <x:c r="B116" t="str">
        <x:f>UPPER(TRIM('Raw Actuals'!B116))</x:f>
        <x:v>INV-27-0111</x:v>
      </x:c>
      <x:c r="C116" s="25" t="n">
        <x:f>IFERROR(IF(OR(MID(TRIM('Raw Actuals'!C116),5,1)="-",MID(TRIM('Raw Actuals'!C116),5,1)="/"),DATE(VALUE(LEFT(TRIM('Raw Actuals'!C116),4)),VALUE(MID(TRIM('Raw Actuals'!C116),6,2)),VALUE(RIGHT(TRIM('Raw Actuals'!C116),2))),IF(LEN(TRIM('Raw Actuals'!C116))=10,DATE(VALUE(RIGHT(TRIM('Raw Actuals'!C116),4)),VALUE(MID(TRIM('Raw Actuals'!C116),4,2)),VALUE(LEFT(TRIM('Raw Actuals'!C116),2))),IF(LEN(TRIM('Raw Actuals'!C116))=8,DATE(2000+VALUE(RIGHT(TRIM('Raw Actuals'!C116),2)),VALUE(MID(TRIM('Raw Actuals'!C116),4,2)),VALUE(LEFT(TRIM('Raw Actuals'!C116),2))),""))),"")</x:f>
        <x:v>46484</x:v>
      </x:c>
      <x:c r="D116" t="str">
        <x:f>IF(OR(UPPER(TRIM('Raw Actuals'!D116))="CATERING",UPPER(TRIM('Raw Actuals'!D116))="WORKSHOP CATERING",UPPER(TRIM('Raw Actuals'!D116))="MEALS",UPPER(TRIM('Raw Actuals'!D116))="CATERNG"),"Catering",IF(OR(UPPER(TRIM('Raw Actuals'!D116))="TRANSPORT",UPPER(TRIM('Raw Actuals'!D116))="LEARNER TRANSPORT",UPPER(TRIM('Raw Actuals'!D116))="TAXIS",UPPER(TRIM('Raw Actuals'!D116))="LEARNER TAXI"),"Transport",IF(OR(UPPER(TRIM('Raw Actuals'!D116))="FACILITATION",UPPER(TRIM('Raw Actuals'!D116))="CHAMPION PAYMENTS",UPPER(TRIM('Raw Actuals'!D116))="STIPENDS",UPPER(TRIM('Raw Actuals'!D116))="FACILITATOR FEE"),"Facilitation",IF(OR(UPPER(TRIM('Raw Actuals'!D116))="MATERIALS",UPPER(TRIM('Raw Actuals'!D116))="WORKSHOP MATERIALS",UPPER(TRIM('Raw Actuals'!D116))="MATERIALS / SUPPLIES"),"Materials",IF(OR(UPPER(TRIM('Raw Actuals'!D116))="PRINTING",UPPER(TRIM('Raw Actuals'!D116))="PRINT &amp; CONSENT",UPPER(TRIM('Raw Actuals'!D116))="PRINTING AND CONSENT"),"Printing",IF(OR(UPPER(TRIM('Raw Actuals'!D116))="TRAINING",UPPER(TRIM('Raw Actuals'!D116))="CHAMPION TRAINING",UPPER(TRIM('Raw Actuals'!D116))="FACILITATOR TRAINING"),"Training",IF(OR(UPPER(TRIM('Raw Actuals'!D116))="SITE VISITS",UPPER(TRIM('Raw Actuals'!D116))="SITE VISIT",UPPER(TRIM('Raw Actuals'!D116))="TRAVEL AND SITE VISITS"),"Site visits",IF(OR(UPPER(TRIM('Raw Actuals'!D116))="EVENTS",UPPER(TRIM('Raw Actuals'!D116))="RECOGNITION EVENT",UPPER(TRIM('Raw Actuals'!D116))="BADGE CEREMONY"),"Events",IF(OR(UPPER(TRIM('Raw Actuals'!D116))="VENUE",UPPER(TRIM('Raw Actuals'!D116))="VENUE HIRE",UPPER(TRIM('Raw Actuals'!D116))="TRAINING VENUE"),"Venue",IF(OR(UPPER(TRIM('Raw Actuals'!D116))="ADMINISTRATION",UPPER(TRIM('Raw Actuals'!D116))="ADMIN",UPPER(TRIM('Raw Actuals'!D116))="OPERATIONAL SUPPORT"),"Administration","Review"))))))))))</x:f>
        <x:v>Events</x:v>
      </x:c>
      <x:c r="E116" t="str">
        <x:f>IF(TRIM('Raw Actuals'!E116)="","Missing",PROPER(TRIM('Raw Actuals'!E116)))</x:f>
        <x:v>Riverside Venue Hire</x:v>
      </x:c>
      <x:c r="F116" t="str">
        <x:f>TRIM('Raw Actuals'!F116)</x:f>
        <x:v>Events expense 111</x:v>
      </x:c>
      <x:c r="G116" s="26" t="n">
        <x:v>15421</x:v>
      </x:c>
      <x:c r="H116" t="str">
        <x:f>IF(OR(UPPER(TRIM('Raw Actuals'!H116))="PAID",UPPER(TRIM('Raw Actuals'!H116))="PAID "),"Paid",IF(UPPER(TRIM('Raw Actuals'!H116))="APPROVED","Approved",IF(OR(UPPER(TRIM('Raw Actuals'!H116))="SUBMITTED",UPPER(TRIM('Raw Actuals'!H116))="PENDING"),"Submitted",IF(UPPER(TRIM('Raw Actuals'!H116))="REJECTED","Rejected","Review"))))</x:f>
        <x:v>Submitted</x:v>
      </x:c>
      <x:c r="I116" t="str">
        <x:f>IF(OR(H116="Paid",H116="Approved"),"Include","Exclude")</x:f>
        <x:v>Exclude</x:v>
      </x:c>
      <x:c r="J116" t="str">
        <x:f>IF(B116="","Missing invoice",IF(COUNTIF($B$6:B116,B116)&gt;1,"Duplicate","Unique"))</x:f>
        <x:v>Unique</x:v>
      </x:c>
      <x:c r="K116" s="17" t="str">
        <x:f>IF(A116="","Missing ID; ","")&amp;IF(B116="","Missing invoice; ","")&amp;IF(C116="","Invalid date; ","")&amp;IF(D116="Review","Unmapped category; ","")&amp;IF(E116="Missing","Missing supplier; ","")&amp;IF(OR(G116="",G116&lt;=0),"Invalid amount; ","")&amp;IF(H116="Review","Invalid payment state; ","")&amp;IF(J116="Duplicate","Duplicate invoice; ","")</x:f>
      </x:c>
      <x:c r="L116" t="str">
        <x:f>IF(K116="","Ready","Review")</x:f>
        <x:v>Ready</x:v>
      </x:c>
      <x:c r="M116" s="26" t="n">
        <x:f>IF(AND(L116="Ready",I116="Include"),G116,0)</x:f>
        <x:v>0</x:v>
      </x:c>
    </x:row>
    <x:row r="117">
      <x:c r="A117" t="str">
        <x:f>UPPER(TRIM('Raw Actuals'!A117))</x:f>
        <x:v>TXN-27-0112</x:v>
      </x:c>
      <x:c r="B117" t="str">
        <x:f>UPPER(TRIM('Raw Actuals'!B117))</x:f>
        <x:v>INV-27-0112</x:v>
      </x:c>
      <x:c r="C117" s="25" t="n">
        <x:f>IFERROR(IF(OR(MID(TRIM('Raw Actuals'!C117),5,1)="-",MID(TRIM('Raw Actuals'!C117),5,1)="/"),DATE(VALUE(LEFT(TRIM('Raw Actuals'!C117),4)),VALUE(MID(TRIM('Raw Actuals'!C117),6,2)),VALUE(RIGHT(TRIM('Raw Actuals'!C117),2))),IF(LEN(TRIM('Raw Actuals'!C117))=10,DATE(VALUE(RIGHT(TRIM('Raw Actuals'!C117),4)),VALUE(MID(TRIM('Raw Actuals'!C117),4,2)),VALUE(LEFT(TRIM('Raw Actuals'!C117),2))),IF(LEN(TRIM('Raw Actuals'!C117))=8,DATE(2000+VALUE(RIGHT(TRIM('Raw Actuals'!C117),2)),VALUE(MID(TRIM('Raw Actuals'!C117),4,2)),VALUE(LEFT(TRIM('Raw Actuals'!C117),2))),""))),"")</x:f>
        <x:v>46464</x:v>
      </x:c>
      <x:c r="D117" t="str">
        <x:f>IF(OR(UPPER(TRIM('Raw Actuals'!D117))="CATERING",UPPER(TRIM('Raw Actuals'!D117))="WORKSHOP CATERING",UPPER(TRIM('Raw Actuals'!D117))="MEALS",UPPER(TRIM('Raw Actuals'!D117))="CATERNG"),"Catering",IF(OR(UPPER(TRIM('Raw Actuals'!D117))="TRANSPORT",UPPER(TRIM('Raw Actuals'!D117))="LEARNER TRANSPORT",UPPER(TRIM('Raw Actuals'!D117))="TAXIS",UPPER(TRIM('Raw Actuals'!D117))="LEARNER TAXI"),"Transport",IF(OR(UPPER(TRIM('Raw Actuals'!D117))="FACILITATION",UPPER(TRIM('Raw Actuals'!D117))="CHAMPION PAYMENTS",UPPER(TRIM('Raw Actuals'!D117))="STIPENDS",UPPER(TRIM('Raw Actuals'!D117))="FACILITATOR FEE"),"Facilitation",IF(OR(UPPER(TRIM('Raw Actuals'!D117))="MATERIALS",UPPER(TRIM('Raw Actuals'!D117))="WORKSHOP MATERIALS",UPPER(TRIM('Raw Actuals'!D117))="MATERIALS / SUPPLIES"),"Materials",IF(OR(UPPER(TRIM('Raw Actuals'!D117))="PRINTING",UPPER(TRIM('Raw Actuals'!D117))="PRINT &amp; CONSENT",UPPER(TRIM('Raw Actuals'!D117))="PRINTING AND CONSENT"),"Printing",IF(OR(UPPER(TRIM('Raw Actuals'!D117))="TRAINING",UPPER(TRIM('Raw Actuals'!D117))="CHAMPION TRAINING",UPPER(TRIM('Raw Actuals'!D117))="FACILITATOR TRAINING"),"Training",IF(OR(UPPER(TRIM('Raw Actuals'!D117))="SITE VISITS",UPPER(TRIM('Raw Actuals'!D117))="SITE VISIT",UPPER(TRIM('Raw Actuals'!D117))="TRAVEL AND SITE VISITS"),"Site visits",IF(OR(UPPER(TRIM('Raw Actuals'!D117))="EVENTS",UPPER(TRIM('Raw Actuals'!D117))="RECOGNITION EVENT",UPPER(TRIM('Raw Actuals'!D117))="BADGE CEREMONY"),"Events",IF(OR(UPPER(TRIM('Raw Actuals'!D117))="VENUE",UPPER(TRIM('Raw Actuals'!D117))="VENUE HIRE",UPPER(TRIM('Raw Actuals'!D117))="TRAINING VENUE"),"Venue",IF(OR(UPPER(TRIM('Raw Actuals'!D117))="ADMINISTRATION",UPPER(TRIM('Raw Actuals'!D117))="ADMIN",UPPER(TRIM('Raw Actuals'!D117))="OPERATIONAL SUPPORT"),"Administration","Review"))))))))))</x:f>
        <x:v>Printing</x:v>
      </x:c>
      <x:c r="E117" t="str">
        <x:f>IF(TRIM('Raw Actuals'!E117)="","Missing",PROPER(TRIM('Raw Actuals'!E117)))</x:f>
        <x:v>Bright Print Studio</x:v>
      </x:c>
      <x:c r="F117" t="str">
        <x:f>TRIM('Raw Actuals'!F117)</x:f>
        <x:v>Printing expense 112</x:v>
      </x:c>
      <x:c r="G117" s="26" t="n">
        <x:v>2766</x:v>
      </x:c>
      <x:c r="H117" t="str">
        <x:f>IF(OR(UPPER(TRIM('Raw Actuals'!H117))="PAID",UPPER(TRIM('Raw Actuals'!H117))="PAID "),"Paid",IF(UPPER(TRIM('Raw Actuals'!H117))="APPROVED","Approved",IF(OR(UPPER(TRIM('Raw Actuals'!H117))="SUBMITTED",UPPER(TRIM('Raw Actuals'!H117))="PENDING"),"Submitted",IF(UPPER(TRIM('Raw Actuals'!H117))="REJECTED","Rejected","Review"))))</x:f>
        <x:v>Paid</x:v>
      </x:c>
      <x:c r="I117" t="str">
        <x:f>IF(OR(H117="Paid",H117="Approved"),"Include","Exclude")</x:f>
        <x:v>Include</x:v>
      </x:c>
      <x:c r="J117" t="str">
        <x:f>IF(B117="","Missing invoice",IF(COUNTIF($B$6:B117,B117)&gt;1,"Duplicate","Unique"))</x:f>
        <x:v>Unique</x:v>
      </x:c>
      <x:c r="K117" s="17" t="str">
        <x:f>IF(A117="","Missing ID; ","")&amp;IF(B117="","Missing invoice; ","")&amp;IF(C117="","Invalid date; ","")&amp;IF(D117="Review","Unmapped category; ","")&amp;IF(E117="Missing","Missing supplier; ","")&amp;IF(OR(G117="",G117&lt;=0),"Invalid amount; ","")&amp;IF(H117="Review","Invalid payment state; ","")&amp;IF(J117="Duplicate","Duplicate invoice; ","")</x:f>
      </x:c>
      <x:c r="L117" t="str">
        <x:f>IF(K117="","Ready","Review")</x:f>
        <x:v>Ready</x:v>
      </x:c>
      <x:c r="M117" s="26" t="n">
        <x:f>IF(AND(L117="Ready",I117="Include"),G117,0)</x:f>
        <x:v>2766</x:v>
      </x:c>
    </x:row>
    <x:row r="118">
      <x:c r="A118" t="str">
        <x:f>UPPER(TRIM('Raw Actuals'!A118))</x:f>
        <x:v>TXN-27-0113</x:v>
      </x:c>
      <x:c r="B118" t="str">
        <x:f>UPPER(TRIM('Raw Actuals'!B118))</x:f>
        <x:v>INV-27-0113</x:v>
      </x:c>
      <x:c r="C118" s="25" t="n">
        <x:f>IFERROR(IF(OR(MID(TRIM('Raw Actuals'!C118),5,1)="-",MID(TRIM('Raw Actuals'!C118),5,1)="/"),DATE(VALUE(LEFT(TRIM('Raw Actuals'!C118),4)),VALUE(MID(TRIM('Raw Actuals'!C118),6,2)),VALUE(RIGHT(TRIM('Raw Actuals'!C118),2))),IF(LEN(TRIM('Raw Actuals'!C118))=10,DATE(VALUE(RIGHT(TRIM('Raw Actuals'!C118),4)),VALUE(MID(TRIM('Raw Actuals'!C118),4,2)),VALUE(LEFT(TRIM('Raw Actuals'!C118),2))),IF(LEN(TRIM('Raw Actuals'!C118))=8,DATE(2000+VALUE(RIGHT(TRIM('Raw Actuals'!C118),2)),VALUE(MID(TRIM('Raw Actuals'!C118),4,2)),VALUE(LEFT(TRIM('Raw Actuals'!C118),2))),""))),"")</x:f>
        <x:v>46420</x:v>
      </x:c>
      <x:c r="D118" t="str">
        <x:f>IF(OR(UPPER(TRIM('Raw Actuals'!D118))="CATERING",UPPER(TRIM('Raw Actuals'!D118))="WORKSHOP CATERING",UPPER(TRIM('Raw Actuals'!D118))="MEALS",UPPER(TRIM('Raw Actuals'!D118))="CATERNG"),"Catering",IF(OR(UPPER(TRIM('Raw Actuals'!D118))="TRANSPORT",UPPER(TRIM('Raw Actuals'!D118))="LEARNER TRANSPORT",UPPER(TRIM('Raw Actuals'!D118))="TAXIS",UPPER(TRIM('Raw Actuals'!D118))="LEARNER TAXI"),"Transport",IF(OR(UPPER(TRIM('Raw Actuals'!D118))="FACILITATION",UPPER(TRIM('Raw Actuals'!D118))="CHAMPION PAYMENTS",UPPER(TRIM('Raw Actuals'!D118))="STIPENDS",UPPER(TRIM('Raw Actuals'!D118))="FACILITATOR FEE"),"Facilitation",IF(OR(UPPER(TRIM('Raw Actuals'!D118))="MATERIALS",UPPER(TRIM('Raw Actuals'!D118))="WORKSHOP MATERIALS",UPPER(TRIM('Raw Actuals'!D118))="MATERIALS / SUPPLIES"),"Materials",IF(OR(UPPER(TRIM('Raw Actuals'!D118))="PRINTING",UPPER(TRIM('Raw Actuals'!D118))="PRINT &amp; CONSENT",UPPER(TRIM('Raw Actuals'!D118))="PRINTING AND CONSENT"),"Printing",IF(OR(UPPER(TRIM('Raw Actuals'!D118))="TRAINING",UPPER(TRIM('Raw Actuals'!D118))="CHAMPION TRAINING",UPPER(TRIM('Raw Actuals'!D118))="FACILITATOR TRAINING"),"Training",IF(OR(UPPER(TRIM('Raw Actuals'!D118))="SITE VISITS",UPPER(TRIM('Raw Actuals'!D118))="SITE VISIT",UPPER(TRIM('Raw Actuals'!D118))="TRAVEL AND SITE VISITS"),"Site visits",IF(OR(UPPER(TRIM('Raw Actuals'!D118))="EVENTS",UPPER(TRIM('Raw Actuals'!D118))="RECOGNITION EVENT",UPPER(TRIM('Raw Actuals'!D118))="BADGE CEREMONY"),"Events",IF(OR(UPPER(TRIM('Raw Actuals'!D118))="VENUE",UPPER(TRIM('Raw Actuals'!D118))="VENUE HIRE",UPPER(TRIM('Raw Actuals'!D118))="TRAINING VENUE"),"Venue",IF(OR(UPPER(TRIM('Raw Actuals'!D118))="ADMINISTRATION",UPPER(TRIM('Raw Actuals'!D118))="ADMIN",UPPER(TRIM('Raw Actuals'!D118))="OPERATIONAL SUPPORT"),"Administration","Review"))))))))))</x:f>
        <x:v>Transport</x:v>
      </x:c>
      <x:c r="E118" t="str">
        <x:f>IF(TRIM('Raw Actuals'!E118)="","Missing",PROPER(TRIM('Raw Actuals'!E118)))</x:f>
        <x:v>Thuto Facilitation</x:v>
      </x:c>
      <x:c r="F118" t="str">
        <x:f>TRIM('Raw Actuals'!F118)</x:f>
        <x:v>Transport expense 113</x:v>
      </x:c>
      <x:c r="G118" s="26" t="n">
        <x:v>16272</x:v>
      </x:c>
      <x:c r="H118" t="str">
        <x:f>IF(OR(UPPER(TRIM('Raw Actuals'!H118))="PAID",UPPER(TRIM('Raw Actuals'!H118))="PAID "),"Paid",IF(UPPER(TRIM('Raw Actuals'!H118))="APPROVED","Approved",IF(OR(UPPER(TRIM('Raw Actuals'!H118))="SUBMITTED",UPPER(TRIM('Raw Actuals'!H118))="PENDING"),"Submitted",IF(UPPER(TRIM('Raw Actuals'!H118))="REJECTED","Rejected","Review"))))</x:f>
        <x:v>Approved</x:v>
      </x:c>
      <x:c r="I118" t="str">
        <x:f>IF(OR(H118="Paid",H118="Approved"),"Include","Exclude")</x:f>
        <x:v>Include</x:v>
      </x:c>
      <x:c r="J118" t="str">
        <x:f>IF(B118="","Missing invoice",IF(COUNTIF($B$6:B118,B118)&gt;1,"Duplicate","Unique"))</x:f>
        <x:v>Unique</x:v>
      </x:c>
      <x:c r="K118" s="17" t="str">
        <x:f>IF(A118="","Missing ID; ","")&amp;IF(B118="","Missing invoice; ","")&amp;IF(C118="","Invalid date; ","")&amp;IF(D118="Review","Unmapped category; ","")&amp;IF(E118="Missing","Missing supplier; ","")&amp;IF(OR(G118="",G118&lt;=0),"Invalid amount; ","")&amp;IF(H118="Review","Invalid payment state; ","")&amp;IF(J118="Duplicate","Duplicate invoice; ","")</x:f>
      </x:c>
      <x:c r="L118" t="str">
        <x:f>IF(K118="","Ready","Review")</x:f>
        <x:v>Ready</x:v>
      </x:c>
      <x:c r="M118" s="26" t="n">
        <x:f>IF(AND(L118="Ready",I118="Include"),G118,0)</x:f>
        <x:v>16272</x:v>
      </x:c>
    </x:row>
    <x:row r="119">
      <x:c r="A119" t="str">
        <x:f>UPPER(TRIM('Raw Actuals'!A119))</x:f>
        <x:v>TXN-27-0114</x:v>
      </x:c>
      <x:c r="B119" t="str">
        <x:f>UPPER(TRIM('Raw Actuals'!B119))</x:f>
        <x:v>INV-27-0114</x:v>
      </x:c>
      <x:c r="C119" s="25" t="n">
        <x:f>IFERROR(IF(OR(MID(TRIM('Raw Actuals'!C119),5,1)="-",MID(TRIM('Raw Actuals'!C119),5,1)="/"),DATE(VALUE(LEFT(TRIM('Raw Actuals'!C119),4)),VALUE(MID(TRIM('Raw Actuals'!C119),6,2)),VALUE(RIGHT(TRIM('Raw Actuals'!C119),2))),IF(LEN(TRIM('Raw Actuals'!C119))=10,DATE(VALUE(RIGHT(TRIM('Raw Actuals'!C119),4)),VALUE(MID(TRIM('Raw Actuals'!C119),4,2)),VALUE(LEFT(TRIM('Raw Actuals'!C119),2))),IF(LEN(TRIM('Raw Actuals'!C119))=8,DATE(2000+VALUE(RIGHT(TRIM('Raw Actuals'!C119),2)),VALUE(MID(TRIM('Raw Actuals'!C119),4,2)),VALUE(LEFT(TRIM('Raw Actuals'!C119),2))),""))),"")</x:f>
        <x:v>46400</x:v>
      </x:c>
      <x:c r="D119" t="str">
        <x:f>IF(OR(UPPER(TRIM('Raw Actuals'!D119))="CATERING",UPPER(TRIM('Raw Actuals'!D119))="WORKSHOP CATERING",UPPER(TRIM('Raw Actuals'!D119))="MEALS",UPPER(TRIM('Raw Actuals'!D119))="CATERNG"),"Catering",IF(OR(UPPER(TRIM('Raw Actuals'!D119))="TRANSPORT",UPPER(TRIM('Raw Actuals'!D119))="LEARNER TRANSPORT",UPPER(TRIM('Raw Actuals'!D119))="TAXIS",UPPER(TRIM('Raw Actuals'!D119))="LEARNER TAXI"),"Transport",IF(OR(UPPER(TRIM('Raw Actuals'!D119))="FACILITATION",UPPER(TRIM('Raw Actuals'!D119))="CHAMPION PAYMENTS",UPPER(TRIM('Raw Actuals'!D119))="STIPENDS",UPPER(TRIM('Raw Actuals'!D119))="FACILITATOR FEE"),"Facilitation",IF(OR(UPPER(TRIM('Raw Actuals'!D119))="MATERIALS",UPPER(TRIM('Raw Actuals'!D119))="WORKSHOP MATERIALS",UPPER(TRIM('Raw Actuals'!D119))="MATERIALS / SUPPLIES"),"Materials",IF(OR(UPPER(TRIM('Raw Actuals'!D119))="PRINTING",UPPER(TRIM('Raw Actuals'!D119))="PRINT &amp; CONSENT",UPPER(TRIM('Raw Actuals'!D119))="PRINTING AND CONSENT"),"Printing",IF(OR(UPPER(TRIM('Raw Actuals'!D119))="TRAINING",UPPER(TRIM('Raw Actuals'!D119))="CHAMPION TRAINING",UPPER(TRIM('Raw Actuals'!D119))="FACILITATOR TRAINING"),"Training",IF(OR(UPPER(TRIM('Raw Actuals'!D119))="SITE VISITS",UPPER(TRIM('Raw Actuals'!D119))="SITE VISIT",UPPER(TRIM('Raw Actuals'!D119))="TRAVEL AND SITE VISITS"),"Site visits",IF(OR(UPPER(TRIM('Raw Actuals'!D119))="EVENTS",UPPER(TRIM('Raw Actuals'!D119))="RECOGNITION EVENT",UPPER(TRIM('Raw Actuals'!D119))="BADGE CEREMONY"),"Events",IF(OR(UPPER(TRIM('Raw Actuals'!D119))="VENUE",UPPER(TRIM('Raw Actuals'!D119))="VENUE HIRE",UPPER(TRIM('Raw Actuals'!D119))="TRAINING VENUE"),"Venue",IF(OR(UPPER(TRIM('Raw Actuals'!D119))="ADMINISTRATION",UPPER(TRIM('Raw Actuals'!D119))="ADMIN",UPPER(TRIM('Raw Actuals'!D119))="OPERATIONAL SUPPORT"),"Administration","Review"))))))))))</x:f>
        <x:v>Venue</x:v>
      </x:c>
      <x:c r="E119" t="str">
        <x:f>IF(TRIM('Raw Actuals'!E119)="","Missing",PROPER(TRIM('Raw Actuals'!E119)))</x:f>
        <x:v>Moya Supplies</x:v>
      </x:c>
      <x:c r="F119" t="str">
        <x:f>TRIM('Raw Actuals'!F119)</x:f>
        <x:v>Venue expense 114</x:v>
      </x:c>
      <x:c r="G119" s="26"/>
      <x:c r="H119" t="str">
        <x:f>IF(OR(UPPER(TRIM('Raw Actuals'!H119))="PAID",UPPER(TRIM('Raw Actuals'!H119))="PAID "),"Paid",IF(UPPER(TRIM('Raw Actuals'!H119))="APPROVED","Approved",IF(OR(UPPER(TRIM('Raw Actuals'!H119))="SUBMITTED",UPPER(TRIM('Raw Actuals'!H119))="PENDING"),"Submitted",IF(UPPER(TRIM('Raw Actuals'!H119))="REJECTED","Rejected","Review"))))</x:f>
        <x:v>Submitted</x:v>
      </x:c>
      <x:c r="I119" t="str">
        <x:f>IF(OR(H119="Paid",H119="Approved"),"Include","Exclude")</x:f>
        <x:v>Exclude</x:v>
      </x:c>
      <x:c r="J119" t="str">
        <x:f>IF(B119="","Missing invoice",IF(COUNTIF($B$6:B119,B119)&gt;1,"Duplicate","Unique"))</x:f>
        <x:v>Unique</x:v>
      </x:c>
      <x:c r="K119" s="17" t="str">
        <x:f>IF(A119="","Missing ID; ","")&amp;IF(B119="","Missing invoice; ","")&amp;IF(C119="","Invalid date; ","")&amp;IF(D119="Review","Unmapped category; ","")&amp;IF(E119="Missing","Missing supplier; ","")&amp;IF(OR(G119="",G119&lt;=0),"Invalid amount; ","")&amp;IF(H119="Review","Invalid payment state; ","")&amp;IF(J119="Duplicate","Duplicate invoice; ","")</x:f>
        <x:v>Invalid amount; </x:v>
      </x:c>
      <x:c r="L119" t="str">
        <x:f>IF(K119="","Ready","Review")</x:f>
        <x:v>Review</x:v>
      </x:c>
      <x:c r="M119" s="26" t="n">
        <x:f>IF(AND(L119="Ready",I119="Include"),G119,0)</x:f>
        <x:v>0</x:v>
      </x:c>
    </x:row>
    <x:row r="120">
      <x:c r="A120" t="str">
        <x:f>UPPER(TRIM('Raw Actuals'!A120))</x:f>
        <x:v>TXN-27-0115</x:v>
      </x:c>
      <x:c r="B120" t="str">
        <x:f>UPPER(TRIM('Raw Actuals'!B120))</x:f>
        <x:v>INV-27-0114</x:v>
      </x:c>
      <x:c r="C120" s="25" t="n">
        <x:f>IFERROR(IF(OR(MID(TRIM('Raw Actuals'!C120),5,1)="-",MID(TRIM('Raw Actuals'!C120),5,1)="/"),DATE(VALUE(LEFT(TRIM('Raw Actuals'!C120),4)),VALUE(MID(TRIM('Raw Actuals'!C120),6,2)),VALUE(RIGHT(TRIM('Raw Actuals'!C120),2))),IF(LEN(TRIM('Raw Actuals'!C120))=10,DATE(VALUE(RIGHT(TRIM('Raw Actuals'!C120),4)),VALUE(MID(TRIM('Raw Actuals'!C120),4,2)),VALUE(LEFT(TRIM('Raw Actuals'!C120),2))),IF(LEN(TRIM('Raw Actuals'!C120))=8,DATE(2000+VALUE(RIGHT(TRIM('Raw Actuals'!C120),2)),VALUE(MID(TRIM('Raw Actuals'!C120),4,2)),VALUE(LEFT(TRIM('Raw Actuals'!C120),2))),""))),"")</x:f>
        <x:v>46562</x:v>
      </x:c>
      <x:c r="D120" t="str">
        <x:f>IF(OR(UPPER(TRIM('Raw Actuals'!D120))="CATERING",UPPER(TRIM('Raw Actuals'!D120))="WORKSHOP CATERING",UPPER(TRIM('Raw Actuals'!D120))="MEALS",UPPER(TRIM('Raw Actuals'!D120))="CATERNG"),"Catering",IF(OR(UPPER(TRIM('Raw Actuals'!D120))="TRANSPORT",UPPER(TRIM('Raw Actuals'!D120))="LEARNER TRANSPORT",UPPER(TRIM('Raw Actuals'!D120))="TAXIS",UPPER(TRIM('Raw Actuals'!D120))="LEARNER TAXI"),"Transport",IF(OR(UPPER(TRIM('Raw Actuals'!D120))="FACILITATION",UPPER(TRIM('Raw Actuals'!D120))="CHAMPION PAYMENTS",UPPER(TRIM('Raw Actuals'!D120))="STIPENDS",UPPER(TRIM('Raw Actuals'!D120))="FACILITATOR FEE"),"Facilitation",IF(OR(UPPER(TRIM('Raw Actuals'!D120))="MATERIALS",UPPER(TRIM('Raw Actuals'!D120))="WORKSHOP MATERIALS",UPPER(TRIM('Raw Actuals'!D120))="MATERIALS / SUPPLIES"),"Materials",IF(OR(UPPER(TRIM('Raw Actuals'!D120))="PRINTING",UPPER(TRIM('Raw Actuals'!D120))="PRINT &amp; CONSENT",UPPER(TRIM('Raw Actuals'!D120))="PRINTING AND CONSENT"),"Printing",IF(OR(UPPER(TRIM('Raw Actuals'!D120))="TRAINING",UPPER(TRIM('Raw Actuals'!D120))="CHAMPION TRAINING",UPPER(TRIM('Raw Actuals'!D120))="FACILITATOR TRAINING"),"Training",IF(OR(UPPER(TRIM('Raw Actuals'!D120))="SITE VISITS",UPPER(TRIM('Raw Actuals'!D120))="SITE VISIT",UPPER(TRIM('Raw Actuals'!D120))="TRAVEL AND SITE VISITS"),"Site visits",IF(OR(UPPER(TRIM('Raw Actuals'!D120))="EVENTS",UPPER(TRIM('Raw Actuals'!D120))="RECOGNITION EVENT",UPPER(TRIM('Raw Actuals'!D120))="BADGE CEREMONY"),"Events",IF(OR(UPPER(TRIM('Raw Actuals'!D120))="VENUE",UPPER(TRIM('Raw Actuals'!D120))="VENUE HIRE",UPPER(TRIM('Raw Actuals'!D120))="TRAINING VENUE"),"Venue",IF(OR(UPPER(TRIM('Raw Actuals'!D120))="ADMINISTRATION",UPPER(TRIM('Raw Actuals'!D120))="ADMIN",UPPER(TRIM('Raw Actuals'!D120))="OPERATIONAL SUPPORT"),"Administration","Review"))))))))))</x:f>
        <x:v>Training</x:v>
      </x:c>
      <x:c r="E120" t="str">
        <x:f>IF(TRIM('Raw Actuals'!E120)="","Missing",PROPER(TRIM('Raw Actuals'!E120)))</x:f>
        <x:v>Northline Transport</x:v>
      </x:c>
      <x:c r="F120" t="str">
        <x:f>TRIM('Raw Actuals'!F120)</x:f>
        <x:v>Training expense 115</x:v>
      </x:c>
      <x:c r="G120" s="26" t="n">
        <x:v>15967</x:v>
      </x:c>
      <x:c r="H120" t="str">
        <x:f>IF(OR(UPPER(TRIM('Raw Actuals'!H120))="PAID",UPPER(TRIM('Raw Actuals'!H120))="PAID "),"Paid",IF(UPPER(TRIM('Raw Actuals'!H120))="APPROVED","Approved",IF(OR(UPPER(TRIM('Raw Actuals'!H120))="SUBMITTED",UPPER(TRIM('Raw Actuals'!H120))="PENDING"),"Submitted",IF(UPPER(TRIM('Raw Actuals'!H120))="REJECTED","Rejected","Review"))))</x:f>
        <x:v>Rejected</x:v>
      </x:c>
      <x:c r="I120" t="str">
        <x:f>IF(OR(H120="Paid",H120="Approved"),"Include","Exclude")</x:f>
        <x:v>Exclude</x:v>
      </x:c>
      <x:c r="J120" t="str">
        <x:f>IF(B120="","Missing invoice",IF(COUNTIF($B$6:B120,B120)&gt;1,"Duplicate","Unique"))</x:f>
        <x:v>Duplicate</x:v>
      </x:c>
      <x:c r="K120" s="17" t="str">
        <x:f>IF(A120="","Missing ID; ","")&amp;IF(B120="","Missing invoice; ","")&amp;IF(C120="","Invalid date; ","")&amp;IF(D120="Review","Unmapped category; ","")&amp;IF(E120="Missing","Missing supplier; ","")&amp;IF(OR(G120="",G120&lt;=0),"Invalid amount; ","")&amp;IF(H120="Review","Invalid payment state; ","")&amp;IF(J120="Duplicate","Duplicate invoice; ","")</x:f>
        <x:v>Duplicate invoice; </x:v>
      </x:c>
      <x:c r="L120" t="str">
        <x:f>IF(K120="","Ready","Review")</x:f>
        <x:v>Review</x:v>
      </x:c>
      <x:c r="M120" s="26" t="n">
        <x:f>IF(AND(L120="Ready",I120="Include"),G120,0)</x:f>
        <x:v>0</x:v>
      </x:c>
    </x:row>
    <x:row r="121">
      <x:c r="A121" t="str">
        <x:f>UPPER(TRIM('Raw Actuals'!A121))</x:f>
        <x:v>TXN-27-0116</x:v>
      </x:c>
      <x:c r="B121" t="str">
        <x:f>UPPER(TRIM('Raw Actuals'!B121))</x:f>
        <x:v>INV-27-0116</x:v>
      </x:c>
      <x:c r="C121" s="25" t="n">
        <x:f>IFERROR(IF(OR(MID(TRIM('Raw Actuals'!C121),5,1)="-",MID(TRIM('Raw Actuals'!C121),5,1)="/"),DATE(VALUE(LEFT(TRIM('Raw Actuals'!C121),4)),VALUE(MID(TRIM('Raw Actuals'!C121),6,2)),VALUE(RIGHT(TRIM('Raw Actuals'!C121),2))),IF(LEN(TRIM('Raw Actuals'!C121))=10,DATE(VALUE(RIGHT(TRIM('Raw Actuals'!C121),4)),VALUE(MID(TRIM('Raw Actuals'!C121),4,2)),VALUE(LEFT(TRIM('Raw Actuals'!C121),2))),IF(LEN(TRIM('Raw Actuals'!C121))=8,DATE(2000+VALUE(RIGHT(TRIM('Raw Actuals'!C121),2)),VALUE(MID(TRIM('Raw Actuals'!C121),4,2)),VALUE(LEFT(TRIM('Raw Actuals'!C121),2))),""))),"")</x:f>
        <x:v>46515</x:v>
      </x:c>
      <x:c r="D121" t="str">
        <x:f>IF(OR(UPPER(TRIM('Raw Actuals'!D121))="CATERING",UPPER(TRIM('Raw Actuals'!D121))="WORKSHOP CATERING",UPPER(TRIM('Raw Actuals'!D121))="MEALS",UPPER(TRIM('Raw Actuals'!D121))="CATERNG"),"Catering",IF(OR(UPPER(TRIM('Raw Actuals'!D121))="TRANSPORT",UPPER(TRIM('Raw Actuals'!D121))="LEARNER TRANSPORT",UPPER(TRIM('Raw Actuals'!D121))="TAXIS",UPPER(TRIM('Raw Actuals'!D121))="LEARNER TAXI"),"Transport",IF(OR(UPPER(TRIM('Raw Actuals'!D121))="FACILITATION",UPPER(TRIM('Raw Actuals'!D121))="CHAMPION PAYMENTS",UPPER(TRIM('Raw Actuals'!D121))="STIPENDS",UPPER(TRIM('Raw Actuals'!D121))="FACILITATOR FEE"),"Facilitation",IF(OR(UPPER(TRIM('Raw Actuals'!D121))="MATERIALS",UPPER(TRIM('Raw Actuals'!D121))="WORKSHOP MATERIALS",UPPER(TRIM('Raw Actuals'!D121))="MATERIALS / SUPPLIES"),"Materials",IF(OR(UPPER(TRIM('Raw Actuals'!D121))="PRINTING",UPPER(TRIM('Raw Actuals'!D121))="PRINT &amp; CONSENT",UPPER(TRIM('Raw Actuals'!D121))="PRINTING AND CONSENT"),"Printing",IF(OR(UPPER(TRIM('Raw Actuals'!D121))="TRAINING",UPPER(TRIM('Raw Actuals'!D121))="CHAMPION TRAINING",UPPER(TRIM('Raw Actuals'!D121))="FACILITATOR TRAINING"),"Training",IF(OR(UPPER(TRIM('Raw Actuals'!D121))="SITE VISITS",UPPER(TRIM('Raw Actuals'!D121))="SITE VISIT",UPPER(TRIM('Raw Actuals'!D121))="TRAVEL AND SITE VISITS"),"Site visits",IF(OR(UPPER(TRIM('Raw Actuals'!D121))="EVENTS",UPPER(TRIM('Raw Actuals'!D121))="RECOGNITION EVENT",UPPER(TRIM('Raw Actuals'!D121))="BADGE CEREMONY"),"Events",IF(OR(UPPER(TRIM('Raw Actuals'!D121))="VENUE",UPPER(TRIM('Raw Actuals'!D121))="VENUE HIRE",UPPER(TRIM('Raw Actuals'!D121))="TRAINING VENUE"),"Venue",IF(OR(UPPER(TRIM('Raw Actuals'!D121))="ADMINISTRATION",UPPER(TRIM('Raw Actuals'!D121))="ADMIN",UPPER(TRIM('Raw Actuals'!D121))="OPERATIONAL SUPPORT"),"Administration","Review"))))))))))</x:f>
        <x:v>Facilitation</x:v>
      </x:c>
      <x:c r="E121" t="str">
        <x:f>IF(TRIM('Raw Actuals'!E121)="","Missing",PROPER(TRIM('Raw Actuals'!E121)))</x:f>
        <x:v>Kopano Catering</x:v>
      </x:c>
      <x:c r="F121" t="str">
        <x:f>TRIM('Raw Actuals'!F121)</x:f>
        <x:v>Facilitation expense 116</x:v>
      </x:c>
      <x:c r="G121" s="26" t="n">
        <x:v>-5240</x:v>
      </x:c>
      <x:c r="H121" t="str">
        <x:f>IF(OR(UPPER(TRIM('Raw Actuals'!H121))="PAID",UPPER(TRIM('Raw Actuals'!H121))="PAID "),"Paid",IF(UPPER(TRIM('Raw Actuals'!H121))="APPROVED","Approved",IF(OR(UPPER(TRIM('Raw Actuals'!H121))="SUBMITTED",UPPER(TRIM('Raw Actuals'!H121))="PENDING"),"Submitted",IF(UPPER(TRIM('Raw Actuals'!H121))="REJECTED","Rejected","Review"))))</x:f>
        <x:v>Paid</x:v>
      </x:c>
      <x:c r="I121" t="str">
        <x:f>IF(OR(H121="Paid",H121="Approved"),"Include","Exclude")</x:f>
        <x:v>Include</x:v>
      </x:c>
      <x:c r="J121" t="str">
        <x:f>IF(B121="","Missing invoice",IF(COUNTIF($B$6:B121,B121)&gt;1,"Duplicate","Unique"))</x:f>
        <x:v>Unique</x:v>
      </x:c>
      <x:c r="K121" s="17" t="str">
        <x:f>IF(A121="","Missing ID; ","")&amp;IF(B121="","Missing invoice; ","")&amp;IF(C121="","Invalid date; ","")&amp;IF(D121="Review","Unmapped category; ","")&amp;IF(E121="Missing","Missing supplier; ","")&amp;IF(OR(G121="",G121&lt;=0),"Invalid amount; ","")&amp;IF(H121="Review","Invalid payment state; ","")&amp;IF(J121="Duplicate","Duplicate invoice; ","")</x:f>
        <x:v>Invalid amount; </x:v>
      </x:c>
      <x:c r="L121" t="str">
        <x:f>IF(K121="","Ready","Review")</x:f>
        <x:v>Review</x:v>
      </x:c>
      <x:c r="M121" s="26" t="n">
        <x:f>IF(AND(L121="Ready",I121="Include"),G121,0)</x:f>
        <x:v>0</x:v>
      </x:c>
    </x:row>
    <x:row r="122">
      <x:c r="A122" t="str">
        <x:f>UPPER(TRIM('Raw Actuals'!A122))</x:f>
        <x:v>TXN-27-0117</x:v>
      </x:c>
      <x:c r="B122" t="str">
        <x:f>UPPER(TRIM('Raw Actuals'!B122))</x:f>
        <x:v>INV-27-0117</x:v>
      </x:c>
      <x:c r="C122" s="25" t="n">
        <x:f>IFERROR(IF(OR(MID(TRIM('Raw Actuals'!C122),5,1)="-",MID(TRIM('Raw Actuals'!C122),5,1)="/"),DATE(VALUE(LEFT(TRIM('Raw Actuals'!C122),4)),VALUE(MID(TRIM('Raw Actuals'!C122),6,2)),VALUE(RIGHT(TRIM('Raw Actuals'!C122),2))),IF(LEN(TRIM('Raw Actuals'!C122))=10,DATE(VALUE(RIGHT(TRIM('Raw Actuals'!C122),4)),VALUE(MID(TRIM('Raw Actuals'!C122),4,2)),VALUE(LEFT(TRIM('Raw Actuals'!C122),2))),IF(LEN(TRIM('Raw Actuals'!C122))=8,DATE(2000+VALUE(RIGHT(TRIM('Raw Actuals'!C122),2)),VALUE(MID(TRIM('Raw Actuals'!C122),4,2)),VALUE(LEFT(TRIM('Raw Actuals'!C122),2))),""))),"")</x:f>
        <x:v>46496</x:v>
      </x:c>
      <x:c r="D122" t="str">
        <x:f>IF(OR(UPPER(TRIM('Raw Actuals'!D122))="CATERING",UPPER(TRIM('Raw Actuals'!D122))="WORKSHOP CATERING",UPPER(TRIM('Raw Actuals'!D122))="MEALS",UPPER(TRIM('Raw Actuals'!D122))="CATERNG"),"Catering",IF(OR(UPPER(TRIM('Raw Actuals'!D122))="TRANSPORT",UPPER(TRIM('Raw Actuals'!D122))="LEARNER TRANSPORT",UPPER(TRIM('Raw Actuals'!D122))="TAXIS",UPPER(TRIM('Raw Actuals'!D122))="LEARNER TAXI"),"Transport",IF(OR(UPPER(TRIM('Raw Actuals'!D122))="FACILITATION",UPPER(TRIM('Raw Actuals'!D122))="CHAMPION PAYMENTS",UPPER(TRIM('Raw Actuals'!D122))="STIPENDS",UPPER(TRIM('Raw Actuals'!D122))="FACILITATOR FEE"),"Facilitation",IF(OR(UPPER(TRIM('Raw Actuals'!D122))="MATERIALS",UPPER(TRIM('Raw Actuals'!D122))="WORKSHOP MATERIALS",UPPER(TRIM('Raw Actuals'!D122))="MATERIALS / SUPPLIES"),"Materials",IF(OR(UPPER(TRIM('Raw Actuals'!D122))="PRINTING",UPPER(TRIM('Raw Actuals'!D122))="PRINT &amp; CONSENT",UPPER(TRIM('Raw Actuals'!D122))="PRINTING AND CONSENT"),"Printing",IF(OR(UPPER(TRIM('Raw Actuals'!D122))="TRAINING",UPPER(TRIM('Raw Actuals'!D122))="CHAMPION TRAINING",UPPER(TRIM('Raw Actuals'!D122))="FACILITATOR TRAINING"),"Training",IF(OR(UPPER(TRIM('Raw Actuals'!D122))="SITE VISITS",UPPER(TRIM('Raw Actuals'!D122))="SITE VISIT",UPPER(TRIM('Raw Actuals'!D122))="TRAVEL AND SITE VISITS"),"Site visits",IF(OR(UPPER(TRIM('Raw Actuals'!D122))="EVENTS",UPPER(TRIM('Raw Actuals'!D122))="RECOGNITION EVENT",UPPER(TRIM('Raw Actuals'!D122))="BADGE CEREMONY"),"Events",IF(OR(UPPER(TRIM('Raw Actuals'!D122))="VENUE",UPPER(TRIM('Raw Actuals'!D122))="VENUE HIRE",UPPER(TRIM('Raw Actuals'!D122))="TRAINING VENUE"),"Venue",IF(OR(UPPER(TRIM('Raw Actuals'!D122))="ADMINISTRATION",UPPER(TRIM('Raw Actuals'!D122))="ADMIN",UPPER(TRIM('Raw Actuals'!D122))="OPERATIONAL SUPPORT"),"Administration","Review"))))))))))</x:f>
        <x:v>Administration</x:v>
      </x:c>
      <x:c r="E122" t="str">
        <x:f>IF(TRIM('Raw Actuals'!E122)="","Missing",PROPER(TRIM('Raw Actuals'!E122)))</x:f>
        <x:v>Riverside Venue Hire</x:v>
      </x:c>
      <x:c r="F122" t="str">
        <x:f>TRIM('Raw Actuals'!F122)</x:f>
        <x:v>Administration expense 117</x:v>
      </x:c>
      <x:c r="G122" s="26" t="n">
        <x:v>3035</x:v>
      </x:c>
      <x:c r="H122" t="str">
        <x:f>IF(OR(UPPER(TRIM('Raw Actuals'!H122))="PAID",UPPER(TRIM('Raw Actuals'!H122))="PAID "),"Paid",IF(UPPER(TRIM('Raw Actuals'!H122))="APPROVED","Approved",IF(OR(UPPER(TRIM('Raw Actuals'!H122))="SUBMITTED",UPPER(TRIM('Raw Actuals'!H122))="PENDING"),"Submitted",IF(UPPER(TRIM('Raw Actuals'!H122))="REJECTED","Rejected","Review"))))</x:f>
        <x:v>Approved</x:v>
      </x:c>
      <x:c r="I122" t="str">
        <x:f>IF(OR(H122="Paid",H122="Approved"),"Include","Exclude")</x:f>
        <x:v>Include</x:v>
      </x:c>
      <x:c r="J122" t="str">
        <x:f>IF(B122="","Missing invoice",IF(COUNTIF($B$6:B122,B122)&gt;1,"Duplicate","Unique"))</x:f>
        <x:v>Unique</x:v>
      </x:c>
      <x:c r="K122" s="17" t="str">
        <x:f>IF(A122="","Missing ID; ","")&amp;IF(B122="","Missing invoice; ","")&amp;IF(C122="","Invalid date; ","")&amp;IF(D122="Review","Unmapped category; ","")&amp;IF(E122="Missing","Missing supplier; ","")&amp;IF(OR(G122="",G122&lt;=0),"Invalid amount; ","")&amp;IF(H122="Review","Invalid payment state; ","")&amp;IF(J122="Duplicate","Duplicate invoice; ","")</x:f>
      </x:c>
      <x:c r="L122" t="str">
        <x:f>IF(K122="","Ready","Review")</x:f>
        <x:v>Ready</x:v>
      </x:c>
      <x:c r="M122" s="26" t="n">
        <x:f>IF(AND(L122="Ready",I122="Include"),G122,0)</x:f>
        <x:v>3035</x:v>
      </x:c>
    </x:row>
    <x:row r="123">
      <x:c r="A123" t="str">
        <x:f>UPPER(TRIM('Raw Actuals'!A123))</x:f>
        <x:v>TXN-27-0118</x:v>
      </x:c>
      <x:c r="B123" t="str">
        <x:f>UPPER(TRIM('Raw Actuals'!B123))</x:f>
        <x:v>INV-27-0118</x:v>
      </x:c>
      <x:c r="C123" s="25" t="n">
        <x:f>IFERROR(IF(OR(MID(TRIM('Raw Actuals'!C123),5,1)="-",MID(TRIM('Raw Actuals'!C123),5,1)="/"),DATE(VALUE(LEFT(TRIM('Raw Actuals'!C123),4)),VALUE(MID(TRIM('Raw Actuals'!C123),6,2)),VALUE(RIGHT(TRIM('Raw Actuals'!C123),2))),IF(LEN(TRIM('Raw Actuals'!C123))=10,DATE(VALUE(RIGHT(TRIM('Raw Actuals'!C123),4)),VALUE(MID(TRIM('Raw Actuals'!C123),4,2)),VALUE(LEFT(TRIM('Raw Actuals'!C123),2))),IF(LEN(TRIM('Raw Actuals'!C123))=8,DATE(2000+VALUE(RIGHT(TRIM('Raw Actuals'!C123),2)),VALUE(MID(TRIM('Raw Actuals'!C123),4,2)),VALUE(LEFT(TRIM('Raw Actuals'!C123),2))),""))),"")</x:f>
        <x:v>46449</x:v>
      </x:c>
      <x:c r="D123" t="str">
        <x:f>IF(OR(UPPER(TRIM('Raw Actuals'!D123))="CATERING",UPPER(TRIM('Raw Actuals'!D123))="WORKSHOP CATERING",UPPER(TRIM('Raw Actuals'!D123))="MEALS",UPPER(TRIM('Raw Actuals'!D123))="CATERNG"),"Catering",IF(OR(UPPER(TRIM('Raw Actuals'!D123))="TRANSPORT",UPPER(TRIM('Raw Actuals'!D123))="LEARNER TRANSPORT",UPPER(TRIM('Raw Actuals'!D123))="TAXIS",UPPER(TRIM('Raw Actuals'!D123))="LEARNER TAXI"),"Transport",IF(OR(UPPER(TRIM('Raw Actuals'!D123))="FACILITATION",UPPER(TRIM('Raw Actuals'!D123))="CHAMPION PAYMENTS",UPPER(TRIM('Raw Actuals'!D123))="STIPENDS",UPPER(TRIM('Raw Actuals'!D123))="FACILITATOR FEE"),"Facilitation",IF(OR(UPPER(TRIM('Raw Actuals'!D123))="MATERIALS",UPPER(TRIM('Raw Actuals'!D123))="WORKSHOP MATERIALS",UPPER(TRIM('Raw Actuals'!D123))="MATERIALS / SUPPLIES"),"Materials",IF(OR(UPPER(TRIM('Raw Actuals'!D123))="PRINTING",UPPER(TRIM('Raw Actuals'!D123))="PRINT &amp; CONSENT",UPPER(TRIM('Raw Actuals'!D123))="PRINTING AND CONSENT"),"Printing",IF(OR(UPPER(TRIM('Raw Actuals'!D123))="TRAINING",UPPER(TRIM('Raw Actuals'!D123))="CHAMPION TRAINING",UPPER(TRIM('Raw Actuals'!D123))="FACILITATOR TRAINING"),"Training",IF(OR(UPPER(TRIM('Raw Actuals'!D123))="SITE VISITS",UPPER(TRIM('Raw Actuals'!D123))="SITE VISIT",UPPER(TRIM('Raw Actuals'!D123))="TRAVEL AND SITE VISITS"),"Site visits",IF(OR(UPPER(TRIM('Raw Actuals'!D123))="EVENTS",UPPER(TRIM('Raw Actuals'!D123))="RECOGNITION EVENT",UPPER(TRIM('Raw Actuals'!D123))="BADGE CEREMONY"),"Events",IF(OR(UPPER(TRIM('Raw Actuals'!D123))="VENUE",UPPER(TRIM('Raw Actuals'!D123))="VENUE HIRE",UPPER(TRIM('Raw Actuals'!D123))="TRAINING VENUE"),"Venue",IF(OR(UPPER(TRIM('Raw Actuals'!D123))="ADMINISTRATION",UPPER(TRIM('Raw Actuals'!D123))="ADMIN",UPPER(TRIM('Raw Actuals'!D123))="OPERATIONAL SUPPORT"),"Administration","Review"))))))))))</x:f>
        <x:v>Site visits</x:v>
      </x:c>
      <x:c r="E123" t="str">
        <x:f>IF(TRIM('Raw Actuals'!E123)="","Missing",PROPER(TRIM('Raw Actuals'!E123)))</x:f>
        <x:v>Bright Print Studio</x:v>
      </x:c>
      <x:c r="F123" t="str">
        <x:f>TRIM('Raw Actuals'!F123)</x:f>
        <x:v>Site visits expense 118</x:v>
      </x:c>
      <x:c r="G123" s="26" t="n">
        <x:v>6235</x:v>
      </x:c>
      <x:c r="H123" t="str">
        <x:f>IF(OR(UPPER(TRIM('Raw Actuals'!H123))="PAID",UPPER(TRIM('Raw Actuals'!H123))="PAID "),"Paid",IF(UPPER(TRIM('Raw Actuals'!H123))="APPROVED","Approved",IF(OR(UPPER(TRIM('Raw Actuals'!H123))="SUBMITTED",UPPER(TRIM('Raw Actuals'!H123))="PENDING"),"Submitted",IF(UPPER(TRIM('Raw Actuals'!H123))="REJECTED","Rejected","Review"))))</x:f>
        <x:v>Submitted</x:v>
      </x:c>
      <x:c r="I123" t="str">
        <x:f>IF(OR(H123="Paid",H123="Approved"),"Include","Exclude")</x:f>
        <x:v>Exclude</x:v>
      </x:c>
      <x:c r="J123" t="str">
        <x:f>IF(B123="","Missing invoice",IF(COUNTIF($B$6:B123,B123)&gt;1,"Duplicate","Unique"))</x:f>
        <x:v>Unique</x:v>
      </x:c>
      <x:c r="K123" s="17" t="str">
        <x:f>IF(A123="","Missing ID; ","")&amp;IF(B123="","Missing invoice; ","")&amp;IF(C123="","Invalid date; ","")&amp;IF(D123="Review","Unmapped category; ","")&amp;IF(E123="Missing","Missing supplier; ","")&amp;IF(OR(G123="",G123&lt;=0),"Invalid amount; ","")&amp;IF(H123="Review","Invalid payment state; ","")&amp;IF(J123="Duplicate","Duplicate invoice; ","")</x:f>
      </x:c>
      <x:c r="L123" t="str">
        <x:f>IF(K123="","Ready","Review")</x:f>
        <x:v>Ready</x:v>
      </x:c>
      <x:c r="M123" s="26" t="n">
        <x:f>IF(AND(L123="Ready",I123="Include"),G123,0)</x:f>
        <x:v>0</x:v>
      </x:c>
    </x:row>
    <x:row r="124">
      <x:c r="A124" t="str">
        <x:f>UPPER(TRIM('Raw Actuals'!A124))</x:f>
        <x:v>TXN-27-0119</x:v>
      </x:c>
      <x:c r="B124" t="str">
        <x:f>UPPER(TRIM('Raw Actuals'!B124))</x:f>
        <x:v>INV-27-0119</x:v>
      </x:c>
      <x:c r="C124" s="25" t="n">
        <x:f>IFERROR(IF(OR(MID(TRIM('Raw Actuals'!C124),5,1)="-",MID(TRIM('Raw Actuals'!C124),5,1)="/"),DATE(VALUE(LEFT(TRIM('Raw Actuals'!C124),4)),VALUE(MID(TRIM('Raw Actuals'!C124),6,2)),VALUE(RIGHT(TRIM('Raw Actuals'!C124),2))),IF(LEN(TRIM('Raw Actuals'!C124))=10,DATE(VALUE(RIGHT(TRIM('Raw Actuals'!C124),4)),VALUE(MID(TRIM('Raw Actuals'!C124),4,2)),VALUE(LEFT(TRIM('Raw Actuals'!C124),2))),IF(LEN(TRIM('Raw Actuals'!C124))=8,DATE(2000+VALUE(RIGHT(TRIM('Raw Actuals'!C124),2)),VALUE(MID(TRIM('Raw Actuals'!C124),4,2)),VALUE(LEFT(TRIM('Raw Actuals'!C124),2))),""))),"")</x:f>
        <x:v>46432</x:v>
      </x:c>
      <x:c r="D124" t="str">
        <x:f>IF(OR(UPPER(TRIM('Raw Actuals'!D124))="CATERING",UPPER(TRIM('Raw Actuals'!D124))="WORKSHOP CATERING",UPPER(TRIM('Raw Actuals'!D124))="MEALS",UPPER(TRIM('Raw Actuals'!D124))="CATERNG"),"Catering",IF(OR(UPPER(TRIM('Raw Actuals'!D124))="TRANSPORT",UPPER(TRIM('Raw Actuals'!D124))="LEARNER TRANSPORT",UPPER(TRIM('Raw Actuals'!D124))="TAXIS",UPPER(TRIM('Raw Actuals'!D124))="LEARNER TAXI"),"Transport",IF(OR(UPPER(TRIM('Raw Actuals'!D124))="FACILITATION",UPPER(TRIM('Raw Actuals'!D124))="CHAMPION PAYMENTS",UPPER(TRIM('Raw Actuals'!D124))="STIPENDS",UPPER(TRIM('Raw Actuals'!D124))="FACILITATOR FEE"),"Facilitation",IF(OR(UPPER(TRIM('Raw Actuals'!D124))="MATERIALS",UPPER(TRIM('Raw Actuals'!D124))="WORKSHOP MATERIALS",UPPER(TRIM('Raw Actuals'!D124))="MATERIALS / SUPPLIES"),"Materials",IF(OR(UPPER(TRIM('Raw Actuals'!D124))="PRINTING",UPPER(TRIM('Raw Actuals'!D124))="PRINT &amp; CONSENT",UPPER(TRIM('Raw Actuals'!D124))="PRINTING AND CONSENT"),"Printing",IF(OR(UPPER(TRIM('Raw Actuals'!D124))="TRAINING",UPPER(TRIM('Raw Actuals'!D124))="CHAMPION TRAINING",UPPER(TRIM('Raw Actuals'!D124))="FACILITATOR TRAINING"),"Training",IF(OR(UPPER(TRIM('Raw Actuals'!D124))="SITE VISITS",UPPER(TRIM('Raw Actuals'!D124))="SITE VISIT",UPPER(TRIM('Raw Actuals'!D124))="TRAVEL AND SITE VISITS"),"Site visits",IF(OR(UPPER(TRIM('Raw Actuals'!D124))="EVENTS",UPPER(TRIM('Raw Actuals'!D124))="RECOGNITION EVENT",UPPER(TRIM('Raw Actuals'!D124))="BADGE CEREMONY"),"Events",IF(OR(UPPER(TRIM('Raw Actuals'!D124))="VENUE",UPPER(TRIM('Raw Actuals'!D124))="VENUE HIRE",UPPER(TRIM('Raw Actuals'!D124))="TRAINING VENUE"),"Venue",IF(OR(UPPER(TRIM('Raw Actuals'!D124))="ADMINISTRATION",UPPER(TRIM('Raw Actuals'!D124))="ADMIN",UPPER(TRIM('Raw Actuals'!D124))="OPERATIONAL SUPPORT"),"Administration","Review"))))))))))</x:f>
        <x:v>Materials</x:v>
      </x:c>
      <x:c r="E124" t="str">
        <x:f>IF(TRIM('Raw Actuals'!E124)="","Missing",PROPER(TRIM('Raw Actuals'!E124)))</x:f>
        <x:v>Thuto Facilitation</x:v>
      </x:c>
      <x:c r="F124" t="str">
        <x:f>TRIM('Raw Actuals'!F124)</x:f>
        <x:v>Materials expense 119</x:v>
      </x:c>
      <x:c r="G124" s="26" t="n">
        <x:v>7674</x:v>
      </x:c>
      <x:c r="H124" t="str">
        <x:f>IF(OR(UPPER(TRIM('Raw Actuals'!H124))="PAID",UPPER(TRIM('Raw Actuals'!H124))="PAID "),"Paid",IF(UPPER(TRIM('Raw Actuals'!H124))="APPROVED","Approved",IF(OR(UPPER(TRIM('Raw Actuals'!H124))="SUBMITTED",UPPER(TRIM('Raw Actuals'!H124))="PENDING"),"Submitted",IF(UPPER(TRIM('Raw Actuals'!H124))="REJECTED","Rejected","Review"))))</x:f>
        <x:v>Paid</x:v>
      </x:c>
      <x:c r="I124" t="str">
        <x:f>IF(OR(H124="Paid",H124="Approved"),"Include","Exclude")</x:f>
        <x:v>Include</x:v>
      </x:c>
      <x:c r="J124" t="str">
        <x:f>IF(B124="","Missing invoice",IF(COUNTIF($B$6:B124,B124)&gt;1,"Duplicate","Unique"))</x:f>
        <x:v>Unique</x:v>
      </x:c>
      <x:c r="K124" s="17" t="str">
        <x:f>IF(A124="","Missing ID; ","")&amp;IF(B124="","Missing invoice; ","")&amp;IF(C124="","Invalid date; ","")&amp;IF(D124="Review","Unmapped category; ","")&amp;IF(E124="Missing","Missing supplier; ","")&amp;IF(OR(G124="",G124&lt;=0),"Invalid amount; ","")&amp;IF(H124="Review","Invalid payment state; ","")&amp;IF(J124="Duplicate","Duplicate invoice; ","")</x:f>
      </x:c>
      <x:c r="L124" t="str">
        <x:f>IF(K124="","Ready","Review")</x:f>
        <x:v>Ready</x:v>
      </x:c>
      <x:c r="M124" s="26" t="n">
        <x:f>IF(AND(L124="Ready",I124="Include"),G124,0)</x:f>
        <x:v>7674</x:v>
      </x:c>
    </x:row>
    <x:row r="125">
      <x:c r="A125" t="str">
        <x:f>UPPER(TRIM('Raw Actuals'!A125))</x:f>
        <x:v>TXN-27-0120</x:v>
      </x:c>
      <x:c r="B125" t="str">
        <x:f>UPPER(TRIM('Raw Actuals'!B125))</x:f>
        <x:v>INV-27-0120</x:v>
      </x:c>
      <x:c r="C125" s="25" t="n">
        <x:f>IFERROR(IF(OR(MID(TRIM('Raw Actuals'!C125),5,1)="-",MID(TRIM('Raw Actuals'!C125),5,1)="/"),DATE(VALUE(LEFT(TRIM('Raw Actuals'!C125),4)),VALUE(MID(TRIM('Raw Actuals'!C125),6,2)),VALUE(RIGHT(TRIM('Raw Actuals'!C125),2))),IF(LEN(TRIM('Raw Actuals'!C125))=10,DATE(VALUE(RIGHT(TRIM('Raw Actuals'!C125),4)),VALUE(MID(TRIM('Raw Actuals'!C125),4,2)),VALUE(LEFT(TRIM('Raw Actuals'!C125),2))),IF(LEN(TRIM('Raw Actuals'!C125))=8,DATE(2000+VALUE(RIGHT(TRIM('Raw Actuals'!C125),2)),VALUE(MID(TRIM('Raw Actuals'!C125),4,2)),VALUE(LEFT(TRIM('Raw Actuals'!C125),2))),""))),"")</x:f>
        <x:v>46412</x:v>
      </x:c>
      <x:c r="D125" t="str">
        <x:f>IF(OR(UPPER(TRIM('Raw Actuals'!D125))="CATERING",UPPER(TRIM('Raw Actuals'!D125))="WORKSHOP CATERING",UPPER(TRIM('Raw Actuals'!D125))="MEALS",UPPER(TRIM('Raw Actuals'!D125))="CATERNG"),"Catering",IF(OR(UPPER(TRIM('Raw Actuals'!D125))="TRANSPORT",UPPER(TRIM('Raw Actuals'!D125))="LEARNER TRANSPORT",UPPER(TRIM('Raw Actuals'!D125))="TAXIS",UPPER(TRIM('Raw Actuals'!D125))="LEARNER TAXI"),"Transport",IF(OR(UPPER(TRIM('Raw Actuals'!D125))="FACILITATION",UPPER(TRIM('Raw Actuals'!D125))="CHAMPION PAYMENTS",UPPER(TRIM('Raw Actuals'!D125))="STIPENDS",UPPER(TRIM('Raw Actuals'!D125))="FACILITATOR FEE"),"Facilitation",IF(OR(UPPER(TRIM('Raw Actuals'!D125))="MATERIALS",UPPER(TRIM('Raw Actuals'!D125))="WORKSHOP MATERIALS",UPPER(TRIM('Raw Actuals'!D125))="MATERIALS / SUPPLIES"),"Materials",IF(OR(UPPER(TRIM('Raw Actuals'!D125))="PRINTING",UPPER(TRIM('Raw Actuals'!D125))="PRINT &amp; CONSENT",UPPER(TRIM('Raw Actuals'!D125))="PRINTING AND CONSENT"),"Printing",IF(OR(UPPER(TRIM('Raw Actuals'!D125))="TRAINING",UPPER(TRIM('Raw Actuals'!D125))="CHAMPION TRAINING",UPPER(TRIM('Raw Actuals'!D125))="FACILITATOR TRAINING"),"Training",IF(OR(UPPER(TRIM('Raw Actuals'!D125))="SITE VISITS",UPPER(TRIM('Raw Actuals'!D125))="SITE VISIT",UPPER(TRIM('Raw Actuals'!D125))="TRAVEL AND SITE VISITS"),"Site visits",IF(OR(UPPER(TRIM('Raw Actuals'!D125))="EVENTS",UPPER(TRIM('Raw Actuals'!D125))="RECOGNITION EVENT",UPPER(TRIM('Raw Actuals'!D125))="BADGE CEREMONY"),"Events",IF(OR(UPPER(TRIM('Raw Actuals'!D125))="VENUE",UPPER(TRIM('Raw Actuals'!D125))="VENUE HIRE",UPPER(TRIM('Raw Actuals'!D125))="TRAINING VENUE"),"Venue",IF(OR(UPPER(TRIM('Raw Actuals'!D125))="ADMINISTRATION",UPPER(TRIM('Raw Actuals'!D125))="ADMIN",UPPER(TRIM('Raw Actuals'!D125))="OPERATIONAL SUPPORT"),"Administration","Review"))))))))))</x:f>
        <x:v>Catering</x:v>
      </x:c>
      <x:c r="E125" t="str">
        <x:f>IF(TRIM('Raw Actuals'!E125)="","Missing",PROPER(TRIM('Raw Actuals'!E125)))</x:f>
        <x:v>Moya Supplies</x:v>
      </x:c>
      <x:c r="F125" t="str">
        <x:f>TRIM('Raw Actuals'!F125)</x:f>
        <x:v>Catering expense 120</x:v>
      </x:c>
      <x:c r="G125" s="26" t="n">
        <x:v>16452</x:v>
      </x:c>
      <x:c r="H125" t="str">
        <x:f>IF(OR(UPPER(TRIM('Raw Actuals'!H125))="PAID",UPPER(TRIM('Raw Actuals'!H125))="PAID "),"Paid",IF(UPPER(TRIM('Raw Actuals'!H125))="APPROVED","Approved",IF(OR(UPPER(TRIM('Raw Actuals'!H125))="SUBMITTED",UPPER(TRIM('Raw Actuals'!H125))="PENDING"),"Submitted",IF(UPPER(TRIM('Raw Actuals'!H125))="REJECTED","Rejected","Review"))))</x:f>
        <x:v>Paid</x:v>
      </x:c>
      <x:c r="I125" t="str">
        <x:f>IF(OR(H125="Paid",H125="Approved"),"Include","Exclude")</x:f>
        <x:v>Include</x:v>
      </x:c>
      <x:c r="J125" t="str">
        <x:f>IF(B125="","Missing invoice",IF(COUNTIF($B$6:B125,B125)&gt;1,"Duplicate","Unique"))</x:f>
        <x:v>Unique</x:v>
      </x:c>
      <x:c r="K125" s="17" t="str">
        <x:f>IF(A125="","Missing ID; ","")&amp;IF(B125="","Missing invoice; ","")&amp;IF(C125="","Invalid date; ","")&amp;IF(D125="Review","Unmapped category; ","")&amp;IF(E125="Missing","Missing supplier; ","")&amp;IF(OR(G125="",G125&lt;=0),"Invalid amount; ","")&amp;IF(H125="Review","Invalid payment state; ","")&amp;IF(J125="Duplicate","Duplicate invoice; ","")</x:f>
      </x:c>
      <x:c r="L125" t="str">
        <x:f>IF(K125="","Ready","Review")</x:f>
        <x:v>Ready</x:v>
      </x:c>
      <x:c r="M125" s="26" t="n">
        <x:f>IF(AND(L125="Ready",I125="Include"),G125,0)</x:f>
        <x:v>16452</x:v>
      </x:c>
    </x:row>
    <x:row r="126">
      <x:c r="A126" t="str">
        <x:f>UPPER(TRIM('Raw Actuals'!A126))</x:f>
        <x:v>TXN-27-0121</x:v>
      </x:c>
      <x:c r="B126" t="str">
        <x:f>UPPER(TRIM('Raw Actuals'!B126))</x:f>
        <x:v>INV-27-0121</x:v>
      </x:c>
      <x:c r="C126" s="25" t="n">
        <x:f>IFERROR(IF(OR(MID(TRIM('Raw Actuals'!C126),5,1)="-",MID(TRIM('Raw Actuals'!C126),5,1)="/"),DATE(VALUE(LEFT(TRIM('Raw Actuals'!C126),4)),VALUE(MID(TRIM('Raw Actuals'!C126),6,2)),VALUE(RIGHT(TRIM('Raw Actuals'!C126),2))),IF(LEN(TRIM('Raw Actuals'!C126))=10,DATE(VALUE(RIGHT(TRIM('Raw Actuals'!C126),4)),VALUE(MID(TRIM('Raw Actuals'!C126),4,2)),VALUE(LEFT(TRIM('Raw Actuals'!C126),2))),IF(LEN(TRIM('Raw Actuals'!C126))=8,DATE(2000+VALUE(RIGHT(TRIM('Raw Actuals'!C126),2)),VALUE(MID(TRIM('Raw Actuals'!C126),4,2)),VALUE(LEFT(TRIM('Raw Actuals'!C126),2))),""))),"")</x:f>
        <x:v>46547</x:v>
      </x:c>
      <x:c r="D126" t="str">
        <x:f>IF(OR(UPPER(TRIM('Raw Actuals'!D126))="CATERING",UPPER(TRIM('Raw Actuals'!D126))="WORKSHOP CATERING",UPPER(TRIM('Raw Actuals'!D126))="MEALS",UPPER(TRIM('Raw Actuals'!D126))="CATERNG"),"Catering",IF(OR(UPPER(TRIM('Raw Actuals'!D126))="TRANSPORT",UPPER(TRIM('Raw Actuals'!D126))="LEARNER TRANSPORT",UPPER(TRIM('Raw Actuals'!D126))="TAXIS",UPPER(TRIM('Raw Actuals'!D126))="LEARNER TAXI"),"Transport",IF(OR(UPPER(TRIM('Raw Actuals'!D126))="FACILITATION",UPPER(TRIM('Raw Actuals'!D126))="CHAMPION PAYMENTS",UPPER(TRIM('Raw Actuals'!D126))="STIPENDS",UPPER(TRIM('Raw Actuals'!D126))="FACILITATOR FEE"),"Facilitation",IF(OR(UPPER(TRIM('Raw Actuals'!D126))="MATERIALS",UPPER(TRIM('Raw Actuals'!D126))="WORKSHOP MATERIALS",UPPER(TRIM('Raw Actuals'!D126))="MATERIALS / SUPPLIES"),"Materials",IF(OR(UPPER(TRIM('Raw Actuals'!D126))="PRINTING",UPPER(TRIM('Raw Actuals'!D126))="PRINT &amp; CONSENT",UPPER(TRIM('Raw Actuals'!D126))="PRINTING AND CONSENT"),"Printing",IF(OR(UPPER(TRIM('Raw Actuals'!D126))="TRAINING",UPPER(TRIM('Raw Actuals'!D126))="CHAMPION TRAINING",UPPER(TRIM('Raw Actuals'!D126))="FACILITATOR TRAINING"),"Training",IF(OR(UPPER(TRIM('Raw Actuals'!D126))="SITE VISITS",UPPER(TRIM('Raw Actuals'!D126))="SITE VISIT",UPPER(TRIM('Raw Actuals'!D126))="TRAVEL AND SITE VISITS"),"Site visits",IF(OR(UPPER(TRIM('Raw Actuals'!D126))="EVENTS",UPPER(TRIM('Raw Actuals'!D126))="RECOGNITION EVENT",UPPER(TRIM('Raw Actuals'!D126))="BADGE CEREMONY"),"Events",IF(OR(UPPER(TRIM('Raw Actuals'!D126))="VENUE",UPPER(TRIM('Raw Actuals'!D126))="VENUE HIRE",UPPER(TRIM('Raw Actuals'!D126))="TRAINING VENUE"),"Venue",IF(OR(UPPER(TRIM('Raw Actuals'!D126))="ADMINISTRATION",UPPER(TRIM('Raw Actuals'!D126))="ADMIN",UPPER(TRIM('Raw Actuals'!D126))="OPERATIONAL SUPPORT"),"Administration","Review"))))))))))</x:f>
        <x:v>Events</x:v>
      </x:c>
      <x:c r="E126" t="str">
        <x:f>IF(TRIM('Raw Actuals'!E126)="","Missing",PROPER(TRIM('Raw Actuals'!E126)))</x:f>
        <x:v>Northline Transport</x:v>
      </x:c>
      <x:c r="F126" t="str">
        <x:f>TRIM('Raw Actuals'!F126)</x:f>
        <x:v>Events expense 121</x:v>
      </x:c>
      <x:c r="G126" s="26" t="n">
        <x:v>16591</x:v>
      </x:c>
      <x:c r="H126" t="str">
        <x:f>IF(OR(UPPER(TRIM('Raw Actuals'!H126))="PAID",UPPER(TRIM('Raw Actuals'!H126))="PAID "),"Paid",IF(UPPER(TRIM('Raw Actuals'!H126))="APPROVED","Approved",IF(OR(UPPER(TRIM('Raw Actuals'!H126))="SUBMITTED",UPPER(TRIM('Raw Actuals'!H126))="PENDING"),"Submitted",IF(UPPER(TRIM('Raw Actuals'!H126))="REJECTED","Rejected","Review"))))</x:f>
        <x:v>Approved</x:v>
      </x:c>
      <x:c r="I126" t="str">
        <x:f>IF(OR(H126="Paid",H126="Approved"),"Include","Exclude")</x:f>
        <x:v>Include</x:v>
      </x:c>
      <x:c r="J126" t="str">
        <x:f>IF(B126="","Missing invoice",IF(COUNTIF($B$6:B126,B126)&gt;1,"Duplicate","Unique"))</x:f>
        <x:v>Unique</x:v>
      </x:c>
      <x:c r="K126" s="17" t="str">
        <x:f>IF(A126="","Missing ID; ","")&amp;IF(B126="","Missing invoice; ","")&amp;IF(C126="","Invalid date; ","")&amp;IF(D126="Review","Unmapped category; ","")&amp;IF(E126="Missing","Missing supplier; ","")&amp;IF(OR(G126="",G126&lt;=0),"Invalid amount; ","")&amp;IF(H126="Review","Invalid payment state; ","")&amp;IF(J126="Duplicate","Duplicate invoice; ","")</x:f>
      </x:c>
      <x:c r="L126" t="str">
        <x:f>IF(K126="","Ready","Review")</x:f>
        <x:v>Ready</x:v>
      </x:c>
      <x:c r="M126" s="26" t="n">
        <x:f>IF(AND(L126="Ready",I126="Include"),G126,0)</x:f>
        <x:v>16591</x:v>
      </x:c>
    </x:row>
    <x:row r="127">
      <x:c r="A127" t="str">
        <x:f>UPPER(TRIM('Raw Actuals'!A127))</x:f>
        <x:v>TXN-27-0122</x:v>
      </x:c>
      <x:c r="B127" t="str">
        <x:f>UPPER(TRIM('Raw Actuals'!B127))</x:f>
        <x:v>INV-27-0122</x:v>
      </x:c>
      <x:c r="C127" s="25" t="n">
        <x:f>IFERROR(IF(OR(MID(TRIM('Raw Actuals'!C127),5,1)="-",MID(TRIM('Raw Actuals'!C127),5,1)="/"),DATE(VALUE(LEFT(TRIM('Raw Actuals'!C127),4)),VALUE(MID(TRIM('Raw Actuals'!C127),6,2)),VALUE(RIGHT(TRIM('Raw Actuals'!C127),2))),IF(LEN(TRIM('Raw Actuals'!C127))=10,DATE(VALUE(RIGHT(TRIM('Raw Actuals'!C127),4)),VALUE(MID(TRIM('Raw Actuals'!C127),4,2)),VALUE(LEFT(TRIM('Raw Actuals'!C127),2))),IF(LEN(TRIM('Raw Actuals'!C127))=8,DATE(2000+VALUE(RIGHT(TRIM('Raw Actuals'!C127),2)),VALUE(MID(TRIM('Raw Actuals'!C127),4,2)),VALUE(LEFT(TRIM('Raw Actuals'!C127),2))),""))),"")</x:f>
        <x:v>46527</x:v>
      </x:c>
      <x:c r="D127" t="str">
        <x:f>IF(OR(UPPER(TRIM('Raw Actuals'!D127))="CATERING",UPPER(TRIM('Raw Actuals'!D127))="WORKSHOP CATERING",UPPER(TRIM('Raw Actuals'!D127))="MEALS",UPPER(TRIM('Raw Actuals'!D127))="CATERNG"),"Catering",IF(OR(UPPER(TRIM('Raw Actuals'!D127))="TRANSPORT",UPPER(TRIM('Raw Actuals'!D127))="LEARNER TRANSPORT",UPPER(TRIM('Raw Actuals'!D127))="TAXIS",UPPER(TRIM('Raw Actuals'!D127))="LEARNER TAXI"),"Transport",IF(OR(UPPER(TRIM('Raw Actuals'!D127))="FACILITATION",UPPER(TRIM('Raw Actuals'!D127))="CHAMPION PAYMENTS",UPPER(TRIM('Raw Actuals'!D127))="STIPENDS",UPPER(TRIM('Raw Actuals'!D127))="FACILITATOR FEE"),"Facilitation",IF(OR(UPPER(TRIM('Raw Actuals'!D127))="MATERIALS",UPPER(TRIM('Raw Actuals'!D127))="WORKSHOP MATERIALS",UPPER(TRIM('Raw Actuals'!D127))="MATERIALS / SUPPLIES"),"Materials",IF(OR(UPPER(TRIM('Raw Actuals'!D127))="PRINTING",UPPER(TRIM('Raw Actuals'!D127))="PRINT &amp; CONSENT",UPPER(TRIM('Raw Actuals'!D127))="PRINTING AND CONSENT"),"Printing",IF(OR(UPPER(TRIM('Raw Actuals'!D127))="TRAINING",UPPER(TRIM('Raw Actuals'!D127))="CHAMPION TRAINING",UPPER(TRIM('Raw Actuals'!D127))="FACILITATOR TRAINING"),"Training",IF(OR(UPPER(TRIM('Raw Actuals'!D127))="SITE VISITS",UPPER(TRIM('Raw Actuals'!D127))="SITE VISIT",UPPER(TRIM('Raw Actuals'!D127))="TRAVEL AND SITE VISITS"),"Site visits",IF(OR(UPPER(TRIM('Raw Actuals'!D127))="EVENTS",UPPER(TRIM('Raw Actuals'!D127))="RECOGNITION EVENT",UPPER(TRIM('Raw Actuals'!D127))="BADGE CEREMONY"),"Events",IF(OR(UPPER(TRIM('Raw Actuals'!D127))="VENUE",UPPER(TRIM('Raw Actuals'!D127))="VENUE HIRE",UPPER(TRIM('Raw Actuals'!D127))="TRAINING VENUE"),"Venue",IF(OR(UPPER(TRIM('Raw Actuals'!D127))="ADMINISTRATION",UPPER(TRIM('Raw Actuals'!D127))="ADMIN",UPPER(TRIM('Raw Actuals'!D127))="OPERATIONAL SUPPORT"),"Administration","Review"))))))))))</x:f>
        <x:v>Review</x:v>
      </x:c>
      <x:c r="E127" t="str">
        <x:f>IF(TRIM('Raw Actuals'!E127)="","Missing",PROPER(TRIM('Raw Actuals'!E127)))</x:f>
        <x:v>Kopano Catering</x:v>
      </x:c>
      <x:c r="F127" t="str">
        <x:f>TRIM('Raw Actuals'!F127)</x:f>
        <x:v>Printing expense 122</x:v>
      </x:c>
      <x:c r="G127" s="26" t="n">
        <x:v>3936</x:v>
      </x:c>
      <x:c r="H127" t="str">
        <x:f>IF(OR(UPPER(TRIM('Raw Actuals'!H127))="PAID",UPPER(TRIM('Raw Actuals'!H127))="PAID "),"Paid",IF(UPPER(TRIM('Raw Actuals'!H127))="APPROVED","Approved",IF(OR(UPPER(TRIM('Raw Actuals'!H127))="SUBMITTED",UPPER(TRIM('Raw Actuals'!H127))="PENDING"),"Submitted",IF(UPPER(TRIM('Raw Actuals'!H127))="REJECTED","Rejected","Review"))))</x:f>
        <x:v>Submitted</x:v>
      </x:c>
      <x:c r="I127" t="str">
        <x:f>IF(OR(H127="Paid",H127="Approved"),"Include","Exclude")</x:f>
        <x:v>Exclude</x:v>
      </x:c>
      <x:c r="J127" t="str">
        <x:f>IF(B127="","Missing invoice",IF(COUNTIF($B$6:B127,B127)&gt;1,"Duplicate","Unique"))</x:f>
        <x:v>Unique</x:v>
      </x:c>
      <x:c r="K127" s="17" t="str">
        <x:f>IF(A127="","Missing ID; ","")&amp;IF(B127="","Missing invoice; ","")&amp;IF(C127="","Invalid date; ","")&amp;IF(D127="Review","Unmapped category; ","")&amp;IF(E127="Missing","Missing supplier; ","")&amp;IF(OR(G127="",G127&lt;=0),"Invalid amount; ","")&amp;IF(H127="Review","Invalid payment state; ","")&amp;IF(J127="Duplicate","Duplicate invoice; ","")</x:f>
        <x:v>Unmapped category; </x:v>
      </x:c>
      <x:c r="L127" t="str">
        <x:f>IF(K127="","Ready","Review")</x:f>
        <x:v>Review</x:v>
      </x:c>
      <x:c r="M127" s="26" t="n">
        <x:f>IF(AND(L127="Ready",I127="Include"),G127,0)</x:f>
        <x:v>0</x:v>
      </x:c>
    </x:row>
    <x:row r="128">
      <x:c r="A128" t="str">
        <x:f>UPPER(TRIM('Raw Actuals'!A128))</x:f>
        <x:v>TXN-27-0123</x:v>
      </x:c>
      <x:c r="B128" t="str">
        <x:f>UPPER(TRIM('Raw Actuals'!B128))</x:f>
      </x:c>
      <x:c r="C128" s="25" t="n">
        <x:f>IFERROR(IF(OR(MID(TRIM('Raw Actuals'!C128),5,1)="-",MID(TRIM('Raw Actuals'!C128),5,1)="/"),DATE(VALUE(LEFT(TRIM('Raw Actuals'!C128),4)),VALUE(MID(TRIM('Raw Actuals'!C128),6,2)),VALUE(RIGHT(TRIM('Raw Actuals'!C128),2))),IF(LEN(TRIM('Raw Actuals'!C128))=10,DATE(VALUE(RIGHT(TRIM('Raw Actuals'!C128),4)),VALUE(MID(TRIM('Raw Actuals'!C128),4,2)),VALUE(LEFT(TRIM('Raw Actuals'!C128),2))),IF(LEN(TRIM('Raw Actuals'!C128))=8,DATE(2000+VALUE(RIGHT(TRIM('Raw Actuals'!C128),2)),VALUE(MID(TRIM('Raw Actuals'!C128),4,2)),VALUE(LEFT(TRIM('Raw Actuals'!C128),2))),""))),"")</x:f>
        <x:v>46481</x:v>
      </x:c>
      <x:c r="D128" t="str">
        <x:f>IF(OR(UPPER(TRIM('Raw Actuals'!D128))="CATERING",UPPER(TRIM('Raw Actuals'!D128))="WORKSHOP CATERING",UPPER(TRIM('Raw Actuals'!D128))="MEALS",UPPER(TRIM('Raw Actuals'!D128))="CATERNG"),"Catering",IF(OR(UPPER(TRIM('Raw Actuals'!D128))="TRANSPORT",UPPER(TRIM('Raw Actuals'!D128))="LEARNER TRANSPORT",UPPER(TRIM('Raw Actuals'!D128))="TAXIS",UPPER(TRIM('Raw Actuals'!D128))="LEARNER TAXI"),"Transport",IF(OR(UPPER(TRIM('Raw Actuals'!D128))="FACILITATION",UPPER(TRIM('Raw Actuals'!D128))="CHAMPION PAYMENTS",UPPER(TRIM('Raw Actuals'!D128))="STIPENDS",UPPER(TRIM('Raw Actuals'!D128))="FACILITATOR FEE"),"Facilitation",IF(OR(UPPER(TRIM('Raw Actuals'!D128))="MATERIALS",UPPER(TRIM('Raw Actuals'!D128))="WORKSHOP MATERIALS",UPPER(TRIM('Raw Actuals'!D128))="MATERIALS / SUPPLIES"),"Materials",IF(OR(UPPER(TRIM('Raw Actuals'!D128))="PRINTING",UPPER(TRIM('Raw Actuals'!D128))="PRINT &amp; CONSENT",UPPER(TRIM('Raw Actuals'!D128))="PRINTING AND CONSENT"),"Printing",IF(OR(UPPER(TRIM('Raw Actuals'!D128))="TRAINING",UPPER(TRIM('Raw Actuals'!D128))="CHAMPION TRAINING",UPPER(TRIM('Raw Actuals'!D128))="FACILITATOR TRAINING"),"Training",IF(OR(UPPER(TRIM('Raw Actuals'!D128))="SITE VISITS",UPPER(TRIM('Raw Actuals'!D128))="SITE VISIT",UPPER(TRIM('Raw Actuals'!D128))="TRAVEL AND SITE VISITS"),"Site visits",IF(OR(UPPER(TRIM('Raw Actuals'!D128))="EVENTS",UPPER(TRIM('Raw Actuals'!D128))="RECOGNITION EVENT",UPPER(TRIM('Raw Actuals'!D128))="BADGE CEREMONY"),"Events",IF(OR(UPPER(TRIM('Raw Actuals'!D128))="VENUE",UPPER(TRIM('Raw Actuals'!D128))="VENUE HIRE",UPPER(TRIM('Raw Actuals'!D128))="TRAINING VENUE"),"Venue",IF(OR(UPPER(TRIM('Raw Actuals'!D128))="ADMINISTRATION",UPPER(TRIM('Raw Actuals'!D128))="ADMIN",UPPER(TRIM('Raw Actuals'!D128))="OPERATIONAL SUPPORT"),"Administration","Review"))))))))))</x:f>
        <x:v>Transport</x:v>
      </x:c>
      <x:c r="E128" t="str">
        <x:f>IF(TRIM('Raw Actuals'!E128)="","Missing",PROPER(TRIM('Raw Actuals'!E128)))</x:f>
        <x:v>Riverside Venue Hire</x:v>
      </x:c>
      <x:c r="F128" t="str">
        <x:f>TRIM('Raw Actuals'!F128)</x:f>
        <x:v>Transport expense 123</x:v>
      </x:c>
      <x:c r="G128" s="26" t="n">
        <x:v>17442</x:v>
      </x:c>
      <x:c r="H128" t="str">
        <x:f>IF(OR(UPPER(TRIM('Raw Actuals'!H128))="PAID",UPPER(TRIM('Raw Actuals'!H128))="PAID "),"Paid",IF(UPPER(TRIM('Raw Actuals'!H128))="APPROVED","Approved",IF(OR(UPPER(TRIM('Raw Actuals'!H128))="SUBMITTED",UPPER(TRIM('Raw Actuals'!H128))="PENDING"),"Submitted",IF(UPPER(TRIM('Raw Actuals'!H128))="REJECTED","Rejected","Review"))))</x:f>
        <x:v>Rejected</x:v>
      </x:c>
      <x:c r="I128" t="str">
        <x:f>IF(OR(H128="Paid",H128="Approved"),"Include","Exclude")</x:f>
        <x:v>Exclude</x:v>
      </x:c>
      <x:c r="J128" t="str">
        <x:f>IF(B128="","Missing invoice",IF(COUNTIF($B$6:B128,B128)&gt;1,"Duplicate","Unique"))</x:f>
        <x:v>Missing invoice</x:v>
      </x:c>
      <x:c r="K128" s="17" t="str">
        <x:f>IF(A128="","Missing ID; ","")&amp;IF(B128="","Missing invoice; ","")&amp;IF(C128="","Invalid date; ","")&amp;IF(D128="Review","Unmapped category; ","")&amp;IF(E128="Missing","Missing supplier; ","")&amp;IF(OR(G128="",G128&lt;=0),"Invalid amount; ","")&amp;IF(H128="Review","Invalid payment state; ","")&amp;IF(J128="Duplicate","Duplicate invoice; ","")</x:f>
        <x:v>Missing invoice; </x:v>
      </x:c>
      <x:c r="L128" t="str">
        <x:f>IF(K128="","Ready","Review")</x:f>
        <x:v>Review</x:v>
      </x:c>
      <x:c r="M128" s="26" t="n">
        <x:f>IF(AND(L128="Ready",I128="Include"),G128,0)</x:f>
        <x:v>0</x:v>
      </x:c>
    </x:row>
    <x:row r="129">
      <x:c r="A129" t="str">
        <x:f>UPPER(TRIM('Raw Actuals'!A129))</x:f>
        <x:v>TXN-27-0124</x:v>
      </x:c>
      <x:c r="B129" t="str">
        <x:f>UPPER(TRIM('Raw Actuals'!B129))</x:f>
        <x:v>INV-27-0124</x:v>
      </x:c>
      <x:c r="C129" s="25" t="n">
        <x:f>IFERROR(IF(OR(MID(TRIM('Raw Actuals'!C129),5,1)="-",MID(TRIM('Raw Actuals'!C129),5,1)="/"),DATE(VALUE(LEFT(TRIM('Raw Actuals'!C129),4)),VALUE(MID(TRIM('Raw Actuals'!C129),6,2)),VALUE(RIGHT(TRIM('Raw Actuals'!C129),2))),IF(LEN(TRIM('Raw Actuals'!C129))=10,DATE(VALUE(RIGHT(TRIM('Raw Actuals'!C129),4)),VALUE(MID(TRIM('Raw Actuals'!C129),4,2)),VALUE(LEFT(TRIM('Raw Actuals'!C129),2))),IF(LEN(TRIM('Raw Actuals'!C129))=8,DATE(2000+VALUE(RIGHT(TRIM('Raw Actuals'!C129),2)),VALUE(MID(TRIM('Raw Actuals'!C129),4,2)),VALUE(LEFT(TRIM('Raw Actuals'!C129),2))),""))),"")</x:f>
        <x:v>46461</x:v>
      </x:c>
      <x:c r="D129" t="str">
        <x:f>IF(OR(UPPER(TRIM('Raw Actuals'!D129))="CATERING",UPPER(TRIM('Raw Actuals'!D129))="WORKSHOP CATERING",UPPER(TRIM('Raw Actuals'!D129))="MEALS",UPPER(TRIM('Raw Actuals'!D129))="CATERNG"),"Catering",IF(OR(UPPER(TRIM('Raw Actuals'!D129))="TRANSPORT",UPPER(TRIM('Raw Actuals'!D129))="LEARNER TRANSPORT",UPPER(TRIM('Raw Actuals'!D129))="TAXIS",UPPER(TRIM('Raw Actuals'!D129))="LEARNER TAXI"),"Transport",IF(OR(UPPER(TRIM('Raw Actuals'!D129))="FACILITATION",UPPER(TRIM('Raw Actuals'!D129))="CHAMPION PAYMENTS",UPPER(TRIM('Raw Actuals'!D129))="STIPENDS",UPPER(TRIM('Raw Actuals'!D129))="FACILITATOR FEE"),"Facilitation",IF(OR(UPPER(TRIM('Raw Actuals'!D129))="MATERIALS",UPPER(TRIM('Raw Actuals'!D129))="WORKSHOP MATERIALS",UPPER(TRIM('Raw Actuals'!D129))="MATERIALS / SUPPLIES"),"Materials",IF(OR(UPPER(TRIM('Raw Actuals'!D129))="PRINTING",UPPER(TRIM('Raw Actuals'!D129))="PRINT &amp; CONSENT",UPPER(TRIM('Raw Actuals'!D129))="PRINTING AND CONSENT"),"Printing",IF(OR(UPPER(TRIM('Raw Actuals'!D129))="TRAINING",UPPER(TRIM('Raw Actuals'!D129))="CHAMPION TRAINING",UPPER(TRIM('Raw Actuals'!D129))="FACILITATOR TRAINING"),"Training",IF(OR(UPPER(TRIM('Raw Actuals'!D129))="SITE VISITS",UPPER(TRIM('Raw Actuals'!D129))="SITE VISIT",UPPER(TRIM('Raw Actuals'!D129))="TRAVEL AND SITE VISITS"),"Site visits",IF(OR(UPPER(TRIM('Raw Actuals'!D129))="EVENTS",UPPER(TRIM('Raw Actuals'!D129))="RECOGNITION EVENT",UPPER(TRIM('Raw Actuals'!D129))="BADGE CEREMONY"),"Events",IF(OR(UPPER(TRIM('Raw Actuals'!D129))="VENUE",UPPER(TRIM('Raw Actuals'!D129))="VENUE HIRE",UPPER(TRIM('Raw Actuals'!D129))="TRAINING VENUE"),"Venue",IF(OR(UPPER(TRIM('Raw Actuals'!D129))="ADMINISTRATION",UPPER(TRIM('Raw Actuals'!D129))="ADMIN",UPPER(TRIM('Raw Actuals'!D129))="OPERATIONAL SUPPORT"),"Administration","Review"))))))))))</x:f>
        <x:v>Venue</x:v>
      </x:c>
      <x:c r="E129" t="str">
        <x:f>IF(TRIM('Raw Actuals'!E129)="","Missing",PROPER(TRIM('Raw Actuals'!E129)))</x:f>
        <x:v>Bright Print Studio</x:v>
      </x:c>
      <x:c r="F129" t="str">
        <x:f>TRIM('Raw Actuals'!F129)</x:f>
        <x:v>Venue expense 124</x:v>
      </x:c>
      <x:c r="G129" s="26" t="n">
        <x:v>3103</x:v>
      </x:c>
      <x:c r="H129" t="str">
        <x:f>IF(OR(UPPER(TRIM('Raw Actuals'!H129))="PAID",UPPER(TRIM('Raw Actuals'!H129))="PAID "),"Paid",IF(UPPER(TRIM('Raw Actuals'!H129))="APPROVED","Approved",IF(OR(UPPER(TRIM('Raw Actuals'!H129))="SUBMITTED",UPPER(TRIM('Raw Actuals'!H129))="PENDING"),"Submitted",IF(UPPER(TRIM('Raw Actuals'!H129))="REJECTED","Rejected","Review"))))</x:f>
        <x:v>Paid</x:v>
      </x:c>
      <x:c r="I129" t="str">
        <x:f>IF(OR(H129="Paid",H129="Approved"),"Include","Exclude")</x:f>
        <x:v>Include</x:v>
      </x:c>
      <x:c r="J129" t="str">
        <x:f>IF(B129="","Missing invoice",IF(COUNTIF($B$6:B129,B129)&gt;1,"Duplicate","Unique"))</x:f>
        <x:v>Unique</x:v>
      </x:c>
      <x:c r="K129" s="17" t="str">
        <x:f>IF(A129="","Missing ID; ","")&amp;IF(B129="","Missing invoice; ","")&amp;IF(C129="","Invalid date; ","")&amp;IF(D129="Review","Unmapped category; ","")&amp;IF(E129="Missing","Missing supplier; ","")&amp;IF(OR(G129="",G129&lt;=0),"Invalid amount; ","")&amp;IF(H129="Review","Invalid payment state; ","")&amp;IF(J129="Duplicate","Duplicate invoice; ","")</x:f>
      </x:c>
      <x:c r="L129" t="str">
        <x:f>IF(K129="","Ready","Review")</x:f>
        <x:v>Ready</x:v>
      </x:c>
      <x:c r="M129" s="26" t="n">
        <x:f>IF(AND(L129="Ready",I129="Include"),G129,0)</x:f>
        <x:v>3103</x:v>
      </x:c>
    </x:row>
    <x:row r="130">
      <x:c r="A130" t="str">
        <x:f>UPPER(TRIM('Raw Actuals'!A130))</x:f>
        <x:v>TXN-27-0125</x:v>
      </x:c>
      <x:c r="B130" t="str">
        <x:f>UPPER(TRIM('Raw Actuals'!B130))</x:f>
        <x:v>INV-27-0125</x:v>
      </x:c>
      <x:c r="C130" s="25" t="n">
        <x:f>IFERROR(IF(OR(MID(TRIM('Raw Actuals'!C130),5,1)="-",MID(TRIM('Raw Actuals'!C130),5,1)="/"),DATE(VALUE(LEFT(TRIM('Raw Actuals'!C130),4)),VALUE(MID(TRIM('Raw Actuals'!C130),6,2)),VALUE(RIGHT(TRIM('Raw Actuals'!C130),2))),IF(LEN(TRIM('Raw Actuals'!C130))=10,DATE(VALUE(RIGHT(TRIM('Raw Actuals'!C130),4)),VALUE(MID(TRIM('Raw Actuals'!C130),4,2)),VALUE(LEFT(TRIM('Raw Actuals'!C130),2))),IF(LEN(TRIM('Raw Actuals'!C130))=8,DATE(2000+VALUE(RIGHT(TRIM('Raw Actuals'!C130),2)),VALUE(MID(TRIM('Raw Actuals'!C130),4,2)),VALUE(LEFT(TRIM('Raw Actuals'!C130),2))),""))),"")</x:f>
        <x:v>46444</x:v>
      </x:c>
      <x:c r="D130" t="str">
        <x:f>IF(OR(UPPER(TRIM('Raw Actuals'!D130))="CATERING",UPPER(TRIM('Raw Actuals'!D130))="WORKSHOP CATERING",UPPER(TRIM('Raw Actuals'!D130))="MEALS",UPPER(TRIM('Raw Actuals'!D130))="CATERNG"),"Catering",IF(OR(UPPER(TRIM('Raw Actuals'!D130))="TRANSPORT",UPPER(TRIM('Raw Actuals'!D130))="LEARNER TRANSPORT",UPPER(TRIM('Raw Actuals'!D130))="TAXIS",UPPER(TRIM('Raw Actuals'!D130))="LEARNER TAXI"),"Transport",IF(OR(UPPER(TRIM('Raw Actuals'!D130))="FACILITATION",UPPER(TRIM('Raw Actuals'!D130))="CHAMPION PAYMENTS",UPPER(TRIM('Raw Actuals'!D130))="STIPENDS",UPPER(TRIM('Raw Actuals'!D130))="FACILITATOR FEE"),"Facilitation",IF(OR(UPPER(TRIM('Raw Actuals'!D130))="MATERIALS",UPPER(TRIM('Raw Actuals'!D130))="WORKSHOP MATERIALS",UPPER(TRIM('Raw Actuals'!D130))="MATERIALS / SUPPLIES"),"Materials",IF(OR(UPPER(TRIM('Raw Actuals'!D130))="PRINTING",UPPER(TRIM('Raw Actuals'!D130))="PRINT &amp; CONSENT",UPPER(TRIM('Raw Actuals'!D130))="PRINTING AND CONSENT"),"Printing",IF(OR(UPPER(TRIM('Raw Actuals'!D130))="TRAINING",UPPER(TRIM('Raw Actuals'!D130))="CHAMPION TRAINING",UPPER(TRIM('Raw Actuals'!D130))="FACILITATOR TRAINING"),"Training",IF(OR(UPPER(TRIM('Raw Actuals'!D130))="SITE VISITS",UPPER(TRIM('Raw Actuals'!D130))="SITE VISIT",UPPER(TRIM('Raw Actuals'!D130))="TRAVEL AND SITE VISITS"),"Site visits",IF(OR(UPPER(TRIM('Raw Actuals'!D130))="EVENTS",UPPER(TRIM('Raw Actuals'!D130))="RECOGNITION EVENT",UPPER(TRIM('Raw Actuals'!D130))="BADGE CEREMONY"),"Events",IF(OR(UPPER(TRIM('Raw Actuals'!D130))="VENUE",UPPER(TRIM('Raw Actuals'!D130))="VENUE HIRE",UPPER(TRIM('Raw Actuals'!D130))="TRAINING VENUE"),"Venue",IF(OR(UPPER(TRIM('Raw Actuals'!D130))="ADMINISTRATION",UPPER(TRIM('Raw Actuals'!D130))="ADMIN",UPPER(TRIM('Raw Actuals'!D130))="OPERATIONAL SUPPORT"),"Administration","Review"))))))))))</x:f>
        <x:v>Training</x:v>
      </x:c>
      <x:c r="E130" t="str">
        <x:f>IF(TRIM('Raw Actuals'!E130)="","Missing",PROPER(TRIM('Raw Actuals'!E130)))</x:f>
        <x:v>Thuto Facilitation</x:v>
      </x:c>
      <x:c r="F130" t="str">
        <x:f>TRIM('Raw Actuals'!F130)</x:f>
        <x:v>Training expense 125</x:v>
      </x:c>
      <x:c r="G130" s="26" t="n">
        <x:v>17137</x:v>
      </x:c>
      <x:c r="H130" t="str">
        <x:f>IF(OR(UPPER(TRIM('Raw Actuals'!H130))="PAID",UPPER(TRIM('Raw Actuals'!H130))="PAID "),"Paid",IF(UPPER(TRIM('Raw Actuals'!H130))="APPROVED","Approved",IF(OR(UPPER(TRIM('Raw Actuals'!H130))="SUBMITTED",UPPER(TRIM('Raw Actuals'!H130))="PENDING"),"Submitted",IF(UPPER(TRIM('Raw Actuals'!H130))="REJECTED","Rejected","Review"))))</x:f>
        <x:v>Approved</x:v>
      </x:c>
      <x:c r="I130" t="str">
        <x:f>IF(OR(H130="Paid",H130="Approved"),"Include","Exclude")</x:f>
        <x:v>Include</x:v>
      </x:c>
      <x:c r="J130" t="str">
        <x:f>IF(B130="","Missing invoice",IF(COUNTIF($B$6:B130,B130)&gt;1,"Duplicate","Unique"))</x:f>
        <x:v>Unique</x:v>
      </x:c>
      <x:c r="K130" s="17" t="str">
        <x:f>IF(A130="","Missing ID; ","")&amp;IF(B130="","Missing invoice; ","")&amp;IF(C130="","Invalid date; ","")&amp;IF(D130="Review","Unmapped category; ","")&amp;IF(E130="Missing","Missing supplier; ","")&amp;IF(OR(G130="",G130&lt;=0),"Invalid amount; ","")&amp;IF(H130="Review","Invalid payment state; ","")&amp;IF(J130="Duplicate","Duplicate invoice; ","")</x:f>
      </x:c>
      <x:c r="L130" t="str">
        <x:f>IF(K130="","Ready","Review")</x:f>
        <x:v>Ready</x:v>
      </x:c>
      <x:c r="M130" s="26" t="n">
        <x:f>IF(AND(L130="Ready",I130="Include"),G130,0)</x:f>
        <x:v>17137</x:v>
      </x:c>
    </x:row>
    <x:row r="131">
      <x:c r="A131" t="str">
        <x:f>UPPER(TRIM('Raw Actuals'!A131))</x:f>
        <x:v>TXN-27-0126</x:v>
      </x:c>
      <x:c r="B131" t="str">
        <x:f>UPPER(TRIM('Raw Actuals'!B131))</x:f>
        <x:v>INV-27-0126</x:v>
      </x:c>
      <x:c r="C131" s="25" t="n">
        <x:f>IFERROR(IF(OR(MID(TRIM('Raw Actuals'!C131),5,1)="-",MID(TRIM('Raw Actuals'!C131),5,1)="/"),DATE(VALUE(LEFT(TRIM('Raw Actuals'!C131),4)),VALUE(MID(TRIM('Raw Actuals'!C131),6,2)),VALUE(RIGHT(TRIM('Raw Actuals'!C131),2))),IF(LEN(TRIM('Raw Actuals'!C131))=10,DATE(VALUE(RIGHT(TRIM('Raw Actuals'!C131),4)),VALUE(MID(TRIM('Raw Actuals'!C131),4,2)),VALUE(LEFT(TRIM('Raw Actuals'!C131),2))),IF(LEN(TRIM('Raw Actuals'!C131))=8,DATE(2000+VALUE(RIGHT(TRIM('Raw Actuals'!C131),2)),VALUE(MID(TRIM('Raw Actuals'!C131),4,2)),VALUE(LEFT(TRIM('Raw Actuals'!C131),2))),""))),"")</x:f>
        <x:v>46397</x:v>
      </x:c>
      <x:c r="D131" t="str">
        <x:f>IF(OR(UPPER(TRIM('Raw Actuals'!D131))="CATERING",UPPER(TRIM('Raw Actuals'!D131))="WORKSHOP CATERING",UPPER(TRIM('Raw Actuals'!D131))="MEALS",UPPER(TRIM('Raw Actuals'!D131))="CATERNG"),"Catering",IF(OR(UPPER(TRIM('Raw Actuals'!D131))="TRANSPORT",UPPER(TRIM('Raw Actuals'!D131))="LEARNER TRANSPORT",UPPER(TRIM('Raw Actuals'!D131))="TAXIS",UPPER(TRIM('Raw Actuals'!D131))="LEARNER TAXI"),"Transport",IF(OR(UPPER(TRIM('Raw Actuals'!D131))="FACILITATION",UPPER(TRIM('Raw Actuals'!D131))="CHAMPION PAYMENTS",UPPER(TRIM('Raw Actuals'!D131))="STIPENDS",UPPER(TRIM('Raw Actuals'!D131))="FACILITATOR FEE"),"Facilitation",IF(OR(UPPER(TRIM('Raw Actuals'!D131))="MATERIALS",UPPER(TRIM('Raw Actuals'!D131))="WORKSHOP MATERIALS",UPPER(TRIM('Raw Actuals'!D131))="MATERIALS / SUPPLIES"),"Materials",IF(OR(UPPER(TRIM('Raw Actuals'!D131))="PRINTING",UPPER(TRIM('Raw Actuals'!D131))="PRINT &amp; CONSENT",UPPER(TRIM('Raw Actuals'!D131))="PRINTING AND CONSENT"),"Printing",IF(OR(UPPER(TRIM('Raw Actuals'!D131))="TRAINING",UPPER(TRIM('Raw Actuals'!D131))="CHAMPION TRAINING",UPPER(TRIM('Raw Actuals'!D131))="FACILITATOR TRAINING"),"Training",IF(OR(UPPER(TRIM('Raw Actuals'!D131))="SITE VISITS",UPPER(TRIM('Raw Actuals'!D131))="SITE VISIT",UPPER(TRIM('Raw Actuals'!D131))="TRAVEL AND SITE VISITS"),"Site visits",IF(OR(UPPER(TRIM('Raw Actuals'!D131))="EVENTS",UPPER(TRIM('Raw Actuals'!D131))="RECOGNITION EVENT",UPPER(TRIM('Raw Actuals'!D131))="BADGE CEREMONY"),"Events",IF(OR(UPPER(TRIM('Raw Actuals'!D131))="VENUE",UPPER(TRIM('Raw Actuals'!D131))="VENUE HIRE",UPPER(TRIM('Raw Actuals'!D131))="TRAINING VENUE"),"Venue",IF(OR(UPPER(TRIM('Raw Actuals'!D131))="ADMINISTRATION",UPPER(TRIM('Raw Actuals'!D131))="ADMIN",UPPER(TRIM('Raw Actuals'!D131))="OPERATIONAL SUPPORT"),"Administration","Review"))))))))))</x:f>
        <x:v>Facilitation</x:v>
      </x:c>
      <x:c r="E131" t="str">
        <x:f>IF(TRIM('Raw Actuals'!E131)="","Missing",PROPER(TRIM('Raw Actuals'!E131)))</x:f>
        <x:v>Moya Supplies</x:v>
      </x:c>
      <x:c r="F131" t="str">
        <x:f>TRIM('Raw Actuals'!F131)</x:f>
        <x:v>Facilitation expense 126</x:v>
      </x:c>
      <x:c r="G131" s="26" t="n">
        <x:v>6410</x:v>
      </x:c>
      <x:c r="H131" t="str">
        <x:f>IF(OR(UPPER(TRIM('Raw Actuals'!H131))="PAID",UPPER(TRIM('Raw Actuals'!H131))="PAID "),"Paid",IF(UPPER(TRIM('Raw Actuals'!H131))="APPROVED","Approved",IF(OR(UPPER(TRIM('Raw Actuals'!H131))="SUBMITTED",UPPER(TRIM('Raw Actuals'!H131))="PENDING"),"Submitted",IF(UPPER(TRIM('Raw Actuals'!H131))="REJECTED","Rejected","Review"))))</x:f>
        <x:v>Submitted</x:v>
      </x:c>
      <x:c r="I131" t="str">
        <x:f>IF(OR(H131="Paid",H131="Approved"),"Include","Exclude")</x:f>
        <x:v>Exclude</x:v>
      </x:c>
      <x:c r="J131" t="str">
        <x:f>IF(B131="","Missing invoice",IF(COUNTIF($B$6:B131,B131)&gt;1,"Duplicate","Unique"))</x:f>
        <x:v>Unique</x:v>
      </x:c>
      <x:c r="K131" s="17" t="str">
        <x:f>IF(A131="","Missing ID; ","")&amp;IF(B131="","Missing invoice; ","")&amp;IF(C131="","Invalid date; ","")&amp;IF(D131="Review","Unmapped category; ","")&amp;IF(E131="Missing","Missing supplier; ","")&amp;IF(OR(G131="",G131&lt;=0),"Invalid amount; ","")&amp;IF(H131="Review","Invalid payment state; ","")&amp;IF(J131="Duplicate","Duplicate invoice; ","")</x:f>
      </x:c>
      <x:c r="L131" t="str">
        <x:f>IF(K131="","Ready","Review")</x:f>
        <x:v>Ready</x:v>
      </x:c>
      <x:c r="M131" s="26" t="n">
        <x:f>IF(AND(L131="Ready",I131="Include"),G131,0)</x:f>
        <x:v>0</x:v>
      </x:c>
    </x:row>
    <x:row r="132">
      <x:c r="A132" t="str">
        <x:f>UPPER(TRIM('Raw Actuals'!A132))</x:f>
        <x:v>TXN-27-0127</x:v>
      </x:c>
      <x:c r="B132" t="str">
        <x:f>UPPER(TRIM('Raw Actuals'!B132))</x:f>
        <x:v>INV-27-0127</x:v>
      </x:c>
      <x:c r="C132" s="25" t="n">
        <x:f>IFERROR(IF(OR(MID(TRIM('Raw Actuals'!C132),5,1)="-",MID(TRIM('Raw Actuals'!C132),5,1)="/"),DATE(VALUE(LEFT(TRIM('Raw Actuals'!C132),4)),VALUE(MID(TRIM('Raw Actuals'!C132),6,2)),VALUE(RIGHT(TRIM('Raw Actuals'!C132),2))),IF(LEN(TRIM('Raw Actuals'!C132))=10,DATE(VALUE(RIGHT(TRIM('Raw Actuals'!C132),4)),VALUE(MID(TRIM('Raw Actuals'!C132),4,2)),VALUE(LEFT(TRIM('Raw Actuals'!C132),2))),IF(LEN(TRIM('Raw Actuals'!C132))=8,DATE(2000+VALUE(RIGHT(TRIM('Raw Actuals'!C132),2)),VALUE(MID(TRIM('Raw Actuals'!C132),4,2)),VALUE(LEFT(TRIM('Raw Actuals'!C132),2))),""))),"")</x:f>
        <x:v>46559</x:v>
      </x:c>
      <x:c r="D132" t="str">
        <x:f>IF(OR(UPPER(TRIM('Raw Actuals'!D132))="CATERING",UPPER(TRIM('Raw Actuals'!D132))="WORKSHOP CATERING",UPPER(TRIM('Raw Actuals'!D132))="MEALS",UPPER(TRIM('Raw Actuals'!D132))="CATERNG"),"Catering",IF(OR(UPPER(TRIM('Raw Actuals'!D132))="TRANSPORT",UPPER(TRIM('Raw Actuals'!D132))="LEARNER TRANSPORT",UPPER(TRIM('Raw Actuals'!D132))="TAXIS",UPPER(TRIM('Raw Actuals'!D132))="LEARNER TAXI"),"Transport",IF(OR(UPPER(TRIM('Raw Actuals'!D132))="FACILITATION",UPPER(TRIM('Raw Actuals'!D132))="CHAMPION PAYMENTS",UPPER(TRIM('Raw Actuals'!D132))="STIPENDS",UPPER(TRIM('Raw Actuals'!D132))="FACILITATOR FEE"),"Facilitation",IF(OR(UPPER(TRIM('Raw Actuals'!D132))="MATERIALS",UPPER(TRIM('Raw Actuals'!D132))="WORKSHOP MATERIALS",UPPER(TRIM('Raw Actuals'!D132))="MATERIALS / SUPPLIES"),"Materials",IF(OR(UPPER(TRIM('Raw Actuals'!D132))="PRINTING",UPPER(TRIM('Raw Actuals'!D132))="PRINT &amp; CONSENT",UPPER(TRIM('Raw Actuals'!D132))="PRINTING AND CONSENT"),"Printing",IF(OR(UPPER(TRIM('Raw Actuals'!D132))="TRAINING",UPPER(TRIM('Raw Actuals'!D132))="CHAMPION TRAINING",UPPER(TRIM('Raw Actuals'!D132))="FACILITATOR TRAINING"),"Training",IF(OR(UPPER(TRIM('Raw Actuals'!D132))="SITE VISITS",UPPER(TRIM('Raw Actuals'!D132))="SITE VISIT",UPPER(TRIM('Raw Actuals'!D132))="TRAVEL AND SITE VISITS"),"Site visits",IF(OR(UPPER(TRIM('Raw Actuals'!D132))="EVENTS",UPPER(TRIM('Raw Actuals'!D132))="RECOGNITION EVENT",UPPER(TRIM('Raw Actuals'!D132))="BADGE CEREMONY"),"Events",IF(OR(UPPER(TRIM('Raw Actuals'!D132))="VENUE",UPPER(TRIM('Raw Actuals'!D132))="VENUE HIRE",UPPER(TRIM('Raw Actuals'!D132))="TRAINING VENUE"),"Venue",IF(OR(UPPER(TRIM('Raw Actuals'!D132))="ADMINISTRATION",UPPER(TRIM('Raw Actuals'!D132))="ADMIN",UPPER(TRIM('Raw Actuals'!D132))="OPERATIONAL SUPPORT"),"Administration","Review"))))))))))</x:f>
        <x:v>Administration</x:v>
      </x:c>
      <x:c r="E132" t="str">
        <x:f>IF(TRIM('Raw Actuals'!E132)="","Missing",PROPER(TRIM('Raw Actuals'!E132)))</x:f>
        <x:v>Northline Transport</x:v>
      </x:c>
      <x:c r="F132" t="str">
        <x:f>TRIM('Raw Actuals'!F132)</x:f>
        <x:v>Administration expense 127</x:v>
      </x:c>
      <x:c r="G132" s="26" t="n">
        <x:v>4205</x:v>
      </x:c>
      <x:c r="H132" t="str">
        <x:f>IF(OR(UPPER(TRIM('Raw Actuals'!H132))="PAID",UPPER(TRIM('Raw Actuals'!H132))="PAID "),"Paid",IF(UPPER(TRIM('Raw Actuals'!H132))="APPROVED","Approved",IF(OR(UPPER(TRIM('Raw Actuals'!H132))="SUBMITTED",UPPER(TRIM('Raw Actuals'!H132))="PENDING"),"Submitted",IF(UPPER(TRIM('Raw Actuals'!H132))="REJECTED","Rejected","Review"))))</x:f>
        <x:v>Rejected</x:v>
      </x:c>
      <x:c r="I132" t="str">
        <x:f>IF(OR(H132="Paid",H132="Approved"),"Include","Exclude")</x:f>
        <x:v>Exclude</x:v>
      </x:c>
      <x:c r="J132" t="str">
        <x:f>IF(B132="","Missing invoice",IF(COUNTIF($B$6:B132,B132)&gt;1,"Duplicate","Unique"))</x:f>
        <x:v>Unique</x:v>
      </x:c>
      <x:c r="K132" s="17" t="str">
        <x:f>IF(A132="","Missing ID; ","")&amp;IF(B132="","Missing invoice; ","")&amp;IF(C132="","Invalid date; ","")&amp;IF(D132="Review","Unmapped category; ","")&amp;IF(E132="Missing","Missing supplier; ","")&amp;IF(OR(G132="",G132&lt;=0),"Invalid amount; ","")&amp;IF(H132="Review","Invalid payment state; ","")&amp;IF(J132="Duplicate","Duplicate invoice; ","")</x:f>
      </x:c>
      <x:c r="L132" t="str">
        <x:f>IF(K132="","Ready","Review")</x:f>
        <x:v>Ready</x:v>
      </x:c>
      <x:c r="M132" s="26" t="n">
        <x:f>IF(AND(L132="Ready",I132="Include"),G132,0)</x:f>
        <x:v>0</x:v>
      </x:c>
    </x:row>
    <x:row r="133">
      <x:c r="A133" t="str">
        <x:f>UPPER(TRIM('Raw Actuals'!A133))</x:f>
        <x:v>TXN-27-0128</x:v>
      </x:c>
      <x:c r="B133" t="str">
        <x:f>UPPER(TRIM('Raw Actuals'!B133))</x:f>
        <x:v>INV-27-0128</x:v>
      </x:c>
      <x:c r="C133" s="25" t="n">
        <x:f>IFERROR(IF(OR(MID(TRIM('Raw Actuals'!C133),5,1)="-",MID(TRIM('Raw Actuals'!C133),5,1)="/"),DATE(VALUE(LEFT(TRIM('Raw Actuals'!C133),4)),VALUE(MID(TRIM('Raw Actuals'!C133),6,2)),VALUE(RIGHT(TRIM('Raw Actuals'!C133),2))),IF(LEN(TRIM('Raw Actuals'!C133))=10,DATE(VALUE(RIGHT(TRIM('Raw Actuals'!C133),4)),VALUE(MID(TRIM('Raw Actuals'!C133),4,2)),VALUE(LEFT(TRIM('Raw Actuals'!C133),2))),IF(LEN(TRIM('Raw Actuals'!C133))=8,DATE(2000+VALUE(RIGHT(TRIM('Raw Actuals'!C133),2)),VALUE(MID(TRIM('Raw Actuals'!C133),4,2)),VALUE(LEFT(TRIM('Raw Actuals'!C133),2))),""))),"")</x:f>
        <x:v>46512</x:v>
      </x:c>
      <x:c r="D133" t="str">
        <x:f>IF(OR(UPPER(TRIM('Raw Actuals'!D133))="CATERING",UPPER(TRIM('Raw Actuals'!D133))="WORKSHOP CATERING",UPPER(TRIM('Raw Actuals'!D133))="MEALS",UPPER(TRIM('Raw Actuals'!D133))="CATERNG"),"Catering",IF(OR(UPPER(TRIM('Raw Actuals'!D133))="TRANSPORT",UPPER(TRIM('Raw Actuals'!D133))="LEARNER TRANSPORT",UPPER(TRIM('Raw Actuals'!D133))="TAXIS",UPPER(TRIM('Raw Actuals'!D133))="LEARNER TAXI"),"Transport",IF(OR(UPPER(TRIM('Raw Actuals'!D133))="FACILITATION",UPPER(TRIM('Raw Actuals'!D133))="CHAMPION PAYMENTS",UPPER(TRIM('Raw Actuals'!D133))="STIPENDS",UPPER(TRIM('Raw Actuals'!D133))="FACILITATOR FEE"),"Facilitation",IF(OR(UPPER(TRIM('Raw Actuals'!D133))="MATERIALS",UPPER(TRIM('Raw Actuals'!D133))="WORKSHOP MATERIALS",UPPER(TRIM('Raw Actuals'!D133))="MATERIALS / SUPPLIES"),"Materials",IF(OR(UPPER(TRIM('Raw Actuals'!D133))="PRINTING",UPPER(TRIM('Raw Actuals'!D133))="PRINT &amp; CONSENT",UPPER(TRIM('Raw Actuals'!D133))="PRINTING AND CONSENT"),"Printing",IF(OR(UPPER(TRIM('Raw Actuals'!D133))="TRAINING",UPPER(TRIM('Raw Actuals'!D133))="CHAMPION TRAINING",UPPER(TRIM('Raw Actuals'!D133))="FACILITATOR TRAINING"),"Training",IF(OR(UPPER(TRIM('Raw Actuals'!D133))="SITE VISITS",UPPER(TRIM('Raw Actuals'!D133))="SITE VISIT",UPPER(TRIM('Raw Actuals'!D133))="TRAVEL AND SITE VISITS"),"Site visits",IF(OR(UPPER(TRIM('Raw Actuals'!D133))="EVENTS",UPPER(TRIM('Raw Actuals'!D133))="RECOGNITION EVENT",UPPER(TRIM('Raw Actuals'!D133))="BADGE CEREMONY"),"Events",IF(OR(UPPER(TRIM('Raw Actuals'!D133))="VENUE",UPPER(TRIM('Raw Actuals'!D133))="VENUE HIRE",UPPER(TRIM('Raw Actuals'!D133))="TRAINING VENUE"),"Venue",IF(OR(UPPER(TRIM('Raw Actuals'!D133))="ADMINISTRATION",UPPER(TRIM('Raw Actuals'!D133))="ADMIN",UPPER(TRIM('Raw Actuals'!D133))="OPERATIONAL SUPPORT"),"Administration","Review"))))))))))</x:f>
        <x:v>Site visits</x:v>
      </x:c>
      <x:c r="E133" t="str">
        <x:f>IF(TRIM('Raw Actuals'!E133)="","Missing",PROPER(TRIM('Raw Actuals'!E133)))</x:f>
        <x:v>Kopano Catering</x:v>
      </x:c>
      <x:c r="F133" t="str">
        <x:f>TRIM('Raw Actuals'!F133)</x:f>
        <x:v>Site visits expense 128</x:v>
      </x:c>
      <x:c r="G133" s="26" t="n">
        <x:v>7405</x:v>
      </x:c>
      <x:c r="H133" t="str">
        <x:f>IF(OR(UPPER(TRIM('Raw Actuals'!H133))="PAID",UPPER(TRIM('Raw Actuals'!H133))="PAID "),"Paid",IF(UPPER(TRIM('Raw Actuals'!H133))="APPROVED","Approved",IF(OR(UPPER(TRIM('Raw Actuals'!H133))="SUBMITTED",UPPER(TRIM('Raw Actuals'!H133))="PENDING"),"Submitted",IF(UPPER(TRIM('Raw Actuals'!H133))="REJECTED","Rejected","Review"))))</x:f>
        <x:v>Paid</x:v>
      </x:c>
      <x:c r="I133" t="str">
        <x:f>IF(OR(H133="Paid",H133="Approved"),"Include","Exclude")</x:f>
        <x:v>Include</x:v>
      </x:c>
      <x:c r="J133" t="str">
        <x:f>IF(B133="","Missing invoice",IF(COUNTIF($B$6:B133,B133)&gt;1,"Duplicate","Unique"))</x:f>
        <x:v>Unique</x:v>
      </x:c>
      <x:c r="K133" s="17" t="str">
        <x:f>IF(A133="","Missing ID; ","")&amp;IF(B133="","Missing invoice; ","")&amp;IF(C133="","Invalid date; ","")&amp;IF(D133="Review","Unmapped category; ","")&amp;IF(E133="Missing","Missing supplier; ","")&amp;IF(OR(G133="",G133&lt;=0),"Invalid amount; ","")&amp;IF(H133="Review","Invalid payment state; ","")&amp;IF(J133="Duplicate","Duplicate invoice; ","")</x:f>
      </x:c>
      <x:c r="L133" t="str">
        <x:f>IF(K133="","Ready","Review")</x:f>
        <x:v>Ready</x:v>
      </x:c>
      <x:c r="M133" s="26" t="n">
        <x:f>IF(AND(L133="Ready",I133="Include"),G133,0)</x:f>
        <x:v>7405</x:v>
      </x:c>
    </x:row>
    <x:row r="134">
      <x:c r="A134" t="str">
        <x:f>UPPER(TRIM('Raw Actuals'!A134))</x:f>
        <x:v>TXN-27-0129</x:v>
      </x:c>
      <x:c r="B134" t="str">
        <x:f>UPPER(TRIM('Raw Actuals'!B134))</x:f>
        <x:v>INV-27-0129</x:v>
      </x:c>
      <x:c r="C134" s="25" t="n">
        <x:f>IFERROR(IF(OR(MID(TRIM('Raw Actuals'!C134),5,1)="-",MID(TRIM('Raw Actuals'!C134),5,1)="/"),DATE(VALUE(LEFT(TRIM('Raw Actuals'!C134),4)),VALUE(MID(TRIM('Raw Actuals'!C134),6,2)),VALUE(RIGHT(TRIM('Raw Actuals'!C134),2))),IF(LEN(TRIM('Raw Actuals'!C134))=10,DATE(VALUE(RIGHT(TRIM('Raw Actuals'!C134),4)),VALUE(MID(TRIM('Raw Actuals'!C134),4,2)),VALUE(LEFT(TRIM('Raw Actuals'!C134),2))),IF(LEN(TRIM('Raw Actuals'!C134))=8,DATE(2000+VALUE(RIGHT(TRIM('Raw Actuals'!C134),2)),VALUE(MID(TRIM('Raw Actuals'!C134),4,2)),VALUE(LEFT(TRIM('Raw Actuals'!C134),2))),""))),"")</x:f>
        <x:v>46493</x:v>
      </x:c>
      <x:c r="D134" t="str">
        <x:f>IF(OR(UPPER(TRIM('Raw Actuals'!D134))="CATERING",UPPER(TRIM('Raw Actuals'!D134))="WORKSHOP CATERING",UPPER(TRIM('Raw Actuals'!D134))="MEALS",UPPER(TRIM('Raw Actuals'!D134))="CATERNG"),"Catering",IF(OR(UPPER(TRIM('Raw Actuals'!D134))="TRANSPORT",UPPER(TRIM('Raw Actuals'!D134))="LEARNER TRANSPORT",UPPER(TRIM('Raw Actuals'!D134))="TAXIS",UPPER(TRIM('Raw Actuals'!D134))="LEARNER TAXI"),"Transport",IF(OR(UPPER(TRIM('Raw Actuals'!D134))="FACILITATION",UPPER(TRIM('Raw Actuals'!D134))="CHAMPION PAYMENTS",UPPER(TRIM('Raw Actuals'!D134))="STIPENDS",UPPER(TRIM('Raw Actuals'!D134))="FACILITATOR FEE"),"Facilitation",IF(OR(UPPER(TRIM('Raw Actuals'!D134))="MATERIALS",UPPER(TRIM('Raw Actuals'!D134))="WORKSHOP MATERIALS",UPPER(TRIM('Raw Actuals'!D134))="MATERIALS / SUPPLIES"),"Materials",IF(OR(UPPER(TRIM('Raw Actuals'!D134))="PRINTING",UPPER(TRIM('Raw Actuals'!D134))="PRINT &amp; CONSENT",UPPER(TRIM('Raw Actuals'!D134))="PRINTING AND CONSENT"),"Printing",IF(OR(UPPER(TRIM('Raw Actuals'!D134))="TRAINING",UPPER(TRIM('Raw Actuals'!D134))="CHAMPION TRAINING",UPPER(TRIM('Raw Actuals'!D134))="FACILITATOR TRAINING"),"Training",IF(OR(UPPER(TRIM('Raw Actuals'!D134))="SITE VISITS",UPPER(TRIM('Raw Actuals'!D134))="SITE VISIT",UPPER(TRIM('Raw Actuals'!D134))="TRAVEL AND SITE VISITS"),"Site visits",IF(OR(UPPER(TRIM('Raw Actuals'!D134))="EVENTS",UPPER(TRIM('Raw Actuals'!D134))="RECOGNITION EVENT",UPPER(TRIM('Raw Actuals'!D134))="BADGE CEREMONY"),"Events",IF(OR(UPPER(TRIM('Raw Actuals'!D134))="VENUE",UPPER(TRIM('Raw Actuals'!D134))="VENUE HIRE",UPPER(TRIM('Raw Actuals'!D134))="TRAINING VENUE"),"Venue",IF(OR(UPPER(TRIM('Raw Actuals'!D134))="ADMINISTRATION",UPPER(TRIM('Raw Actuals'!D134))="ADMIN",UPPER(TRIM('Raw Actuals'!D134))="OPERATIONAL SUPPORT"),"Administration","Review"))))))))))</x:f>
        <x:v>Materials</x:v>
      </x:c>
      <x:c r="E134" t="str">
        <x:f>IF(TRIM('Raw Actuals'!E134)="","Missing",PROPER(TRIM('Raw Actuals'!E134)))</x:f>
        <x:v>Riverside Venue Hire</x:v>
      </x:c>
      <x:c r="F134" t="str">
        <x:f>TRIM('Raw Actuals'!F134)</x:f>
        <x:v>Materials expense 129</x:v>
      </x:c>
      <x:c r="G134" s="26" t="n">
        <x:v>8844</x:v>
      </x:c>
      <x:c r="H134" t="str">
        <x:f>IF(OR(UPPER(TRIM('Raw Actuals'!H134))="PAID",UPPER(TRIM('Raw Actuals'!H134))="PAID "),"Paid",IF(UPPER(TRIM('Raw Actuals'!H134))="APPROVED","Approved",IF(OR(UPPER(TRIM('Raw Actuals'!H134))="SUBMITTED",UPPER(TRIM('Raw Actuals'!H134))="PENDING"),"Submitted",IF(UPPER(TRIM('Raw Actuals'!H134))="REJECTED","Rejected","Review"))))</x:f>
        <x:v>Approved</x:v>
      </x:c>
      <x:c r="I134" t="str">
        <x:f>IF(OR(H134="Paid",H134="Approved"),"Include","Exclude")</x:f>
        <x:v>Include</x:v>
      </x:c>
      <x:c r="J134" t="str">
        <x:f>IF(B134="","Missing invoice",IF(COUNTIF($B$6:B134,B134)&gt;1,"Duplicate","Unique"))</x:f>
        <x:v>Unique</x:v>
      </x:c>
      <x:c r="K134" s="17" t="str">
        <x:f>IF(A134="","Missing ID; ","")&amp;IF(B134="","Missing invoice; ","")&amp;IF(C134="","Invalid date; ","")&amp;IF(D134="Review","Unmapped category; ","")&amp;IF(E134="Missing","Missing supplier; ","")&amp;IF(OR(G134="",G134&lt;=0),"Invalid amount; ","")&amp;IF(H134="Review","Invalid payment state; ","")&amp;IF(J134="Duplicate","Duplicate invoice; ","")</x:f>
      </x:c>
      <x:c r="L134" t="str">
        <x:f>IF(K134="","Ready","Review")</x:f>
        <x:v>Ready</x:v>
      </x:c>
      <x:c r="M134" s="26" t="n">
        <x:f>IF(AND(L134="Ready",I134="Include"),G134,0)</x:f>
        <x:v>8844</x:v>
      </x:c>
    </x:row>
    <x:row r="135">
      <x:c r="A135" t="str">
        <x:f>UPPER(TRIM('Raw Actuals'!A135))</x:f>
        <x:v>TXN-27-0130</x:v>
      </x:c>
      <x:c r="B135" t="str">
        <x:f>UPPER(TRIM('Raw Actuals'!B135))</x:f>
        <x:v>INV-27-0130</x:v>
      </x:c>
      <x:c r="C135" s="25" t="n">
        <x:f>IFERROR(IF(OR(MID(TRIM('Raw Actuals'!C135),5,1)="-",MID(TRIM('Raw Actuals'!C135),5,1)="/"),DATE(VALUE(LEFT(TRIM('Raw Actuals'!C135),4)),VALUE(MID(TRIM('Raw Actuals'!C135),6,2)),VALUE(RIGHT(TRIM('Raw Actuals'!C135),2))),IF(LEN(TRIM('Raw Actuals'!C135))=10,DATE(VALUE(RIGHT(TRIM('Raw Actuals'!C135),4)),VALUE(MID(TRIM('Raw Actuals'!C135),4,2)),VALUE(LEFT(TRIM('Raw Actuals'!C135),2))),IF(LEN(TRIM('Raw Actuals'!C135))=8,DATE(2000+VALUE(RIGHT(TRIM('Raw Actuals'!C135),2)),VALUE(MID(TRIM('Raw Actuals'!C135),4,2)),VALUE(LEFT(TRIM('Raw Actuals'!C135),2))),""))),"")</x:f>
        <x:v>46473</x:v>
      </x:c>
      <x:c r="D135" t="str">
        <x:f>IF(OR(UPPER(TRIM('Raw Actuals'!D135))="CATERING",UPPER(TRIM('Raw Actuals'!D135))="WORKSHOP CATERING",UPPER(TRIM('Raw Actuals'!D135))="MEALS",UPPER(TRIM('Raw Actuals'!D135))="CATERNG"),"Catering",IF(OR(UPPER(TRIM('Raw Actuals'!D135))="TRANSPORT",UPPER(TRIM('Raw Actuals'!D135))="LEARNER TRANSPORT",UPPER(TRIM('Raw Actuals'!D135))="TAXIS",UPPER(TRIM('Raw Actuals'!D135))="LEARNER TAXI"),"Transport",IF(OR(UPPER(TRIM('Raw Actuals'!D135))="FACILITATION",UPPER(TRIM('Raw Actuals'!D135))="CHAMPION PAYMENTS",UPPER(TRIM('Raw Actuals'!D135))="STIPENDS",UPPER(TRIM('Raw Actuals'!D135))="FACILITATOR FEE"),"Facilitation",IF(OR(UPPER(TRIM('Raw Actuals'!D135))="MATERIALS",UPPER(TRIM('Raw Actuals'!D135))="WORKSHOP MATERIALS",UPPER(TRIM('Raw Actuals'!D135))="MATERIALS / SUPPLIES"),"Materials",IF(OR(UPPER(TRIM('Raw Actuals'!D135))="PRINTING",UPPER(TRIM('Raw Actuals'!D135))="PRINT &amp; CONSENT",UPPER(TRIM('Raw Actuals'!D135))="PRINTING AND CONSENT"),"Printing",IF(OR(UPPER(TRIM('Raw Actuals'!D135))="TRAINING",UPPER(TRIM('Raw Actuals'!D135))="CHAMPION TRAINING",UPPER(TRIM('Raw Actuals'!D135))="FACILITATOR TRAINING"),"Training",IF(OR(UPPER(TRIM('Raw Actuals'!D135))="SITE VISITS",UPPER(TRIM('Raw Actuals'!D135))="SITE VISIT",UPPER(TRIM('Raw Actuals'!D135))="TRAVEL AND SITE VISITS"),"Site visits",IF(OR(UPPER(TRIM('Raw Actuals'!D135))="EVENTS",UPPER(TRIM('Raw Actuals'!D135))="RECOGNITION EVENT",UPPER(TRIM('Raw Actuals'!D135))="BADGE CEREMONY"),"Events",IF(OR(UPPER(TRIM('Raw Actuals'!D135))="VENUE",UPPER(TRIM('Raw Actuals'!D135))="VENUE HIRE",UPPER(TRIM('Raw Actuals'!D135))="TRAINING VENUE"),"Venue",IF(OR(UPPER(TRIM('Raw Actuals'!D135))="ADMINISTRATION",UPPER(TRIM('Raw Actuals'!D135))="ADMIN",UPPER(TRIM('Raw Actuals'!D135))="OPERATIONAL SUPPORT"),"Administration","Review"))))))))))</x:f>
        <x:v>Catering</x:v>
      </x:c>
      <x:c r="E135" t="str">
        <x:f>IF(TRIM('Raw Actuals'!E135)="","Missing",PROPER(TRIM('Raw Actuals'!E135)))</x:f>
        <x:v>Bright Print Studio</x:v>
      </x:c>
      <x:c r="F135" t="str">
        <x:f>TRIM('Raw Actuals'!F135)</x:f>
        <x:v>Catering expense 130</x:v>
      </x:c>
      <x:c r="G135" s="26" t="n">
        <x:v>17622</x:v>
      </x:c>
      <x:c r="H135" t="str">
        <x:f>IF(OR(UPPER(TRIM('Raw Actuals'!H135))="PAID",UPPER(TRIM('Raw Actuals'!H135))="PAID "),"Paid",IF(UPPER(TRIM('Raw Actuals'!H135))="APPROVED","Approved",IF(OR(UPPER(TRIM('Raw Actuals'!H135))="SUBMITTED",UPPER(TRIM('Raw Actuals'!H135))="PENDING"),"Submitted",IF(UPPER(TRIM('Raw Actuals'!H135))="REJECTED","Rejected","Review"))))</x:f>
        <x:v>Submitted</x:v>
      </x:c>
      <x:c r="I135" t="str">
        <x:f>IF(OR(H135="Paid",H135="Approved"),"Include","Exclude")</x:f>
        <x:v>Exclude</x:v>
      </x:c>
      <x:c r="J135" t="str">
        <x:f>IF(B135="","Missing invoice",IF(COUNTIF($B$6:B135,B135)&gt;1,"Duplicate","Unique"))</x:f>
        <x:v>Unique</x:v>
      </x:c>
      <x:c r="K135" s="17" t="str">
        <x:f>IF(A135="","Missing ID; ","")&amp;IF(B135="","Missing invoice; ","")&amp;IF(C135="","Invalid date; ","")&amp;IF(D135="Review","Unmapped category; ","")&amp;IF(E135="Missing","Missing supplier; ","")&amp;IF(OR(G135="",G135&lt;=0),"Invalid amount; ","")&amp;IF(H135="Review","Invalid payment state; ","")&amp;IF(J135="Duplicate","Duplicate invoice; ","")</x:f>
      </x:c>
      <x:c r="L135" t="str">
        <x:f>IF(K135="","Ready","Review")</x:f>
        <x:v>Ready</x:v>
      </x:c>
      <x:c r="M135" s="26" t="n">
        <x:f>IF(AND(L135="Ready",I135="Include"),G135,0)</x:f>
        <x:v>0</x:v>
      </x:c>
    </x:row>
    <x:row r="136">
      <x:c r="A136" t="str">
        <x:f>UPPER(TRIM('Raw Actuals'!A136))</x:f>
        <x:v>TXN-27-0131</x:v>
      </x:c>
      <x:c r="B136" t="str">
        <x:f>UPPER(TRIM('Raw Actuals'!B136))</x:f>
        <x:v>INV-27-0131</x:v>
      </x:c>
      <x:c r="C136" s="25" t="n">
        <x:f>IFERROR(IF(OR(MID(TRIM('Raw Actuals'!C136),5,1)="-",MID(TRIM('Raw Actuals'!C136),5,1)="/"),DATE(VALUE(LEFT(TRIM('Raw Actuals'!C136),4)),VALUE(MID(TRIM('Raw Actuals'!C136),6,2)),VALUE(RIGHT(TRIM('Raw Actuals'!C136),2))),IF(LEN(TRIM('Raw Actuals'!C136))=10,DATE(VALUE(RIGHT(TRIM('Raw Actuals'!C136),4)),VALUE(MID(TRIM('Raw Actuals'!C136),4,2)),VALUE(LEFT(TRIM('Raw Actuals'!C136),2))),IF(LEN(TRIM('Raw Actuals'!C136))=8,DATE(2000+VALUE(RIGHT(TRIM('Raw Actuals'!C136),2)),VALUE(MID(TRIM('Raw Actuals'!C136),4,2)),VALUE(LEFT(TRIM('Raw Actuals'!C136),2))),""))),"")</x:f>
        <x:v>46429</x:v>
      </x:c>
      <x:c r="D136" t="str">
        <x:f>IF(OR(UPPER(TRIM('Raw Actuals'!D136))="CATERING",UPPER(TRIM('Raw Actuals'!D136))="WORKSHOP CATERING",UPPER(TRIM('Raw Actuals'!D136))="MEALS",UPPER(TRIM('Raw Actuals'!D136))="CATERNG"),"Catering",IF(OR(UPPER(TRIM('Raw Actuals'!D136))="TRANSPORT",UPPER(TRIM('Raw Actuals'!D136))="LEARNER TRANSPORT",UPPER(TRIM('Raw Actuals'!D136))="TAXIS",UPPER(TRIM('Raw Actuals'!D136))="LEARNER TAXI"),"Transport",IF(OR(UPPER(TRIM('Raw Actuals'!D136))="FACILITATION",UPPER(TRIM('Raw Actuals'!D136))="CHAMPION PAYMENTS",UPPER(TRIM('Raw Actuals'!D136))="STIPENDS",UPPER(TRIM('Raw Actuals'!D136))="FACILITATOR FEE"),"Facilitation",IF(OR(UPPER(TRIM('Raw Actuals'!D136))="MATERIALS",UPPER(TRIM('Raw Actuals'!D136))="WORKSHOP MATERIALS",UPPER(TRIM('Raw Actuals'!D136))="MATERIALS / SUPPLIES"),"Materials",IF(OR(UPPER(TRIM('Raw Actuals'!D136))="PRINTING",UPPER(TRIM('Raw Actuals'!D136))="PRINT &amp; CONSENT",UPPER(TRIM('Raw Actuals'!D136))="PRINTING AND CONSENT"),"Printing",IF(OR(UPPER(TRIM('Raw Actuals'!D136))="TRAINING",UPPER(TRIM('Raw Actuals'!D136))="CHAMPION TRAINING",UPPER(TRIM('Raw Actuals'!D136))="FACILITATOR TRAINING"),"Training",IF(OR(UPPER(TRIM('Raw Actuals'!D136))="SITE VISITS",UPPER(TRIM('Raw Actuals'!D136))="SITE VISIT",UPPER(TRIM('Raw Actuals'!D136))="TRAVEL AND SITE VISITS"),"Site visits",IF(OR(UPPER(TRIM('Raw Actuals'!D136))="EVENTS",UPPER(TRIM('Raw Actuals'!D136))="RECOGNITION EVENT",UPPER(TRIM('Raw Actuals'!D136))="BADGE CEREMONY"),"Events",IF(OR(UPPER(TRIM('Raw Actuals'!D136))="VENUE",UPPER(TRIM('Raw Actuals'!D136))="VENUE HIRE",UPPER(TRIM('Raw Actuals'!D136))="TRAINING VENUE"),"Venue",IF(OR(UPPER(TRIM('Raw Actuals'!D136))="ADMINISTRATION",UPPER(TRIM('Raw Actuals'!D136))="ADMIN",UPPER(TRIM('Raw Actuals'!D136))="OPERATIONAL SUPPORT"),"Administration","Review"))))))))))</x:f>
        <x:v>Events</x:v>
      </x:c>
      <x:c r="E136" t="str">
        <x:f>IF(TRIM('Raw Actuals'!E136)="","Missing",PROPER(TRIM('Raw Actuals'!E136)))</x:f>
        <x:v>Thuto Facilitation</x:v>
      </x:c>
      <x:c r="F136" t="str">
        <x:f>TRIM('Raw Actuals'!F136)</x:f>
        <x:v>Events expense 131</x:v>
      </x:c>
      <x:c r="G136" s="26" t="n">
        <x:v>17761</x:v>
      </x:c>
      <x:c r="H136" t="str">
        <x:f>IF(OR(UPPER(TRIM('Raw Actuals'!H136))="PAID",UPPER(TRIM('Raw Actuals'!H136))="PAID "),"Paid",IF(UPPER(TRIM('Raw Actuals'!H136))="APPROVED","Approved",IF(OR(UPPER(TRIM('Raw Actuals'!H136))="SUBMITTED",UPPER(TRIM('Raw Actuals'!H136))="PENDING"),"Submitted",IF(UPPER(TRIM('Raw Actuals'!H136))="REJECTED","Rejected","Review"))))</x:f>
        <x:v>Rejected</x:v>
      </x:c>
      <x:c r="I136" t="str">
        <x:f>IF(OR(H136="Paid",H136="Approved"),"Include","Exclude")</x:f>
        <x:v>Exclude</x:v>
      </x:c>
      <x:c r="J136" t="str">
        <x:f>IF(B136="","Missing invoice",IF(COUNTIF($B$6:B136,B136)&gt;1,"Duplicate","Unique"))</x:f>
        <x:v>Unique</x:v>
      </x:c>
      <x:c r="K136" s="17" t="str">
        <x:f>IF(A136="","Missing ID; ","")&amp;IF(B136="","Missing invoice; ","")&amp;IF(C136="","Invalid date; ","")&amp;IF(D136="Review","Unmapped category; ","")&amp;IF(E136="Missing","Missing supplier; ","")&amp;IF(OR(G136="",G136&lt;=0),"Invalid amount; ","")&amp;IF(H136="Review","Invalid payment state; ","")&amp;IF(J136="Duplicate","Duplicate invoice; ","")</x:f>
      </x:c>
      <x:c r="L136" t="str">
        <x:f>IF(K136="","Ready","Review")</x:f>
        <x:v>Ready</x:v>
      </x:c>
      <x:c r="M136" s="26" t="n">
        <x:f>IF(AND(L136="Ready",I136="Include"),G136,0)</x:f>
        <x:v>0</x:v>
      </x:c>
    </x:row>
    <x:row r="137">
      <x:c r="A137" t="str">
        <x:f>UPPER(TRIM('Raw Actuals'!A137))</x:f>
        <x:v>TXN-27-0132</x:v>
      </x:c>
      <x:c r="B137" t="str">
        <x:f>UPPER(TRIM('Raw Actuals'!B137))</x:f>
        <x:v>INV-27-0132</x:v>
      </x:c>
      <x:c r="C137" s="25" t="n">
        <x:f>IFERROR(IF(OR(MID(TRIM('Raw Actuals'!C137),5,1)="-",MID(TRIM('Raw Actuals'!C137),5,1)="/"),DATE(VALUE(LEFT(TRIM('Raw Actuals'!C137),4)),VALUE(MID(TRIM('Raw Actuals'!C137),6,2)),VALUE(RIGHT(TRIM('Raw Actuals'!C137),2))),IF(LEN(TRIM('Raw Actuals'!C137))=10,DATE(VALUE(RIGHT(TRIM('Raw Actuals'!C137),4)),VALUE(MID(TRIM('Raw Actuals'!C137),4,2)),VALUE(LEFT(TRIM('Raw Actuals'!C137),2))),IF(LEN(TRIM('Raw Actuals'!C137))=8,DATE(2000+VALUE(RIGHT(TRIM('Raw Actuals'!C137),2)),VALUE(MID(TRIM('Raw Actuals'!C137),4,2)),VALUE(LEFT(TRIM('Raw Actuals'!C137),2))),""))),"")</x:f>
        <x:v>46409</x:v>
      </x:c>
      <x:c r="D137" t="str">
        <x:f>IF(OR(UPPER(TRIM('Raw Actuals'!D137))="CATERING",UPPER(TRIM('Raw Actuals'!D137))="WORKSHOP CATERING",UPPER(TRIM('Raw Actuals'!D137))="MEALS",UPPER(TRIM('Raw Actuals'!D137))="CATERNG"),"Catering",IF(OR(UPPER(TRIM('Raw Actuals'!D137))="TRANSPORT",UPPER(TRIM('Raw Actuals'!D137))="LEARNER TRANSPORT",UPPER(TRIM('Raw Actuals'!D137))="TAXIS",UPPER(TRIM('Raw Actuals'!D137))="LEARNER TAXI"),"Transport",IF(OR(UPPER(TRIM('Raw Actuals'!D137))="FACILITATION",UPPER(TRIM('Raw Actuals'!D137))="CHAMPION PAYMENTS",UPPER(TRIM('Raw Actuals'!D137))="STIPENDS",UPPER(TRIM('Raw Actuals'!D137))="FACILITATOR FEE"),"Facilitation",IF(OR(UPPER(TRIM('Raw Actuals'!D137))="MATERIALS",UPPER(TRIM('Raw Actuals'!D137))="WORKSHOP MATERIALS",UPPER(TRIM('Raw Actuals'!D137))="MATERIALS / SUPPLIES"),"Materials",IF(OR(UPPER(TRIM('Raw Actuals'!D137))="PRINTING",UPPER(TRIM('Raw Actuals'!D137))="PRINT &amp; CONSENT",UPPER(TRIM('Raw Actuals'!D137))="PRINTING AND CONSENT"),"Printing",IF(OR(UPPER(TRIM('Raw Actuals'!D137))="TRAINING",UPPER(TRIM('Raw Actuals'!D137))="CHAMPION TRAINING",UPPER(TRIM('Raw Actuals'!D137))="FACILITATOR TRAINING"),"Training",IF(OR(UPPER(TRIM('Raw Actuals'!D137))="SITE VISITS",UPPER(TRIM('Raw Actuals'!D137))="SITE VISIT",UPPER(TRIM('Raw Actuals'!D137))="TRAVEL AND SITE VISITS"),"Site visits",IF(OR(UPPER(TRIM('Raw Actuals'!D137))="EVENTS",UPPER(TRIM('Raw Actuals'!D137))="RECOGNITION EVENT",UPPER(TRIM('Raw Actuals'!D137))="BADGE CEREMONY"),"Events",IF(OR(UPPER(TRIM('Raw Actuals'!D137))="VENUE",UPPER(TRIM('Raw Actuals'!D137))="VENUE HIRE",UPPER(TRIM('Raw Actuals'!D137))="TRAINING VENUE"),"Venue",IF(OR(UPPER(TRIM('Raw Actuals'!D137))="ADMINISTRATION",UPPER(TRIM('Raw Actuals'!D137))="ADMIN",UPPER(TRIM('Raw Actuals'!D137))="OPERATIONAL SUPPORT"),"Administration","Review"))))))))))</x:f>
        <x:v>Printing</x:v>
      </x:c>
      <x:c r="E137" t="str">
        <x:f>IF(TRIM('Raw Actuals'!E137)="","Missing",PROPER(TRIM('Raw Actuals'!E137)))</x:f>
        <x:v>Moya Supplies</x:v>
      </x:c>
      <x:c r="F137" t="str">
        <x:f>TRIM('Raw Actuals'!F137)</x:f>
        <x:v>Printing expense 132</x:v>
      </x:c>
      <x:c r="G137" s="26" t="n">
        <x:v>5106</x:v>
      </x:c>
      <x:c r="H137" t="str">
        <x:f>IF(OR(UPPER(TRIM('Raw Actuals'!H137))="PAID",UPPER(TRIM('Raw Actuals'!H137))="PAID "),"Paid",IF(UPPER(TRIM('Raw Actuals'!H137))="APPROVED","Approved",IF(OR(UPPER(TRIM('Raw Actuals'!H137))="SUBMITTED",UPPER(TRIM('Raw Actuals'!H137))="PENDING"),"Submitted",IF(UPPER(TRIM('Raw Actuals'!H137))="REJECTED","Rejected","Review"))))</x:f>
        <x:v>Paid</x:v>
      </x:c>
      <x:c r="I137" t="str">
        <x:f>IF(OR(H137="Paid",H137="Approved"),"Include","Exclude")</x:f>
        <x:v>Include</x:v>
      </x:c>
      <x:c r="J137" t="str">
        <x:f>IF(B137="","Missing invoice",IF(COUNTIF($B$6:B137,B137)&gt;1,"Duplicate","Unique"))</x:f>
        <x:v>Unique</x:v>
      </x:c>
      <x:c r="K137" s="17" t="str">
        <x:f>IF(A137="","Missing ID; ","")&amp;IF(B137="","Missing invoice; ","")&amp;IF(C137="","Invalid date; ","")&amp;IF(D137="Review","Unmapped category; ","")&amp;IF(E137="Missing","Missing supplier; ","")&amp;IF(OR(G137="",G137&lt;=0),"Invalid amount; ","")&amp;IF(H137="Review","Invalid payment state; ","")&amp;IF(J137="Duplicate","Duplicate invoice; ","")</x:f>
      </x:c>
      <x:c r="L137" t="str">
        <x:f>IF(K137="","Ready","Review")</x:f>
        <x:v>Ready</x:v>
      </x:c>
      <x:c r="M137" s="26" t="n">
        <x:f>IF(AND(L137="Ready",I137="Include"),G137,0)</x:f>
        <x:v>5106</x:v>
      </x:c>
    </x:row>
    <x:row r="138">
      <x:c r="A138" t="str">
        <x:f>UPPER(TRIM('Raw Actuals'!A138))</x:f>
        <x:v>TXN-27-0133</x:v>
      </x:c>
      <x:c r="B138" t="str">
        <x:f>UPPER(TRIM('Raw Actuals'!B138))</x:f>
        <x:v>INV-27-0133</x:v>
      </x:c>
      <x:c r="C138" s="25" t="n">
        <x:f>IFERROR(IF(OR(MID(TRIM('Raw Actuals'!C138),5,1)="-",MID(TRIM('Raw Actuals'!C138),5,1)="/"),DATE(VALUE(LEFT(TRIM('Raw Actuals'!C138),4)),VALUE(MID(TRIM('Raw Actuals'!C138),6,2)),VALUE(RIGHT(TRIM('Raw Actuals'!C138),2))),IF(LEN(TRIM('Raw Actuals'!C138))=10,DATE(VALUE(RIGHT(TRIM('Raw Actuals'!C138),4)),VALUE(MID(TRIM('Raw Actuals'!C138),4,2)),VALUE(LEFT(TRIM('Raw Actuals'!C138),2))),IF(LEN(TRIM('Raw Actuals'!C138))=8,DATE(2000+VALUE(RIGHT(TRIM('Raw Actuals'!C138),2)),VALUE(MID(TRIM('Raw Actuals'!C138),4,2)),VALUE(LEFT(TRIM('Raw Actuals'!C138),2))),""))),"")</x:f>
        <x:v>46544</x:v>
      </x:c>
      <x:c r="D138" t="str">
        <x:f>IF(OR(UPPER(TRIM('Raw Actuals'!D138))="CATERING",UPPER(TRIM('Raw Actuals'!D138))="WORKSHOP CATERING",UPPER(TRIM('Raw Actuals'!D138))="MEALS",UPPER(TRIM('Raw Actuals'!D138))="CATERNG"),"Catering",IF(OR(UPPER(TRIM('Raw Actuals'!D138))="TRANSPORT",UPPER(TRIM('Raw Actuals'!D138))="LEARNER TRANSPORT",UPPER(TRIM('Raw Actuals'!D138))="TAXIS",UPPER(TRIM('Raw Actuals'!D138))="LEARNER TAXI"),"Transport",IF(OR(UPPER(TRIM('Raw Actuals'!D138))="FACILITATION",UPPER(TRIM('Raw Actuals'!D138))="CHAMPION PAYMENTS",UPPER(TRIM('Raw Actuals'!D138))="STIPENDS",UPPER(TRIM('Raw Actuals'!D138))="FACILITATOR FEE"),"Facilitation",IF(OR(UPPER(TRIM('Raw Actuals'!D138))="MATERIALS",UPPER(TRIM('Raw Actuals'!D138))="WORKSHOP MATERIALS",UPPER(TRIM('Raw Actuals'!D138))="MATERIALS / SUPPLIES"),"Materials",IF(OR(UPPER(TRIM('Raw Actuals'!D138))="PRINTING",UPPER(TRIM('Raw Actuals'!D138))="PRINT &amp; CONSENT",UPPER(TRIM('Raw Actuals'!D138))="PRINTING AND CONSENT"),"Printing",IF(OR(UPPER(TRIM('Raw Actuals'!D138))="TRAINING",UPPER(TRIM('Raw Actuals'!D138))="CHAMPION TRAINING",UPPER(TRIM('Raw Actuals'!D138))="FACILITATOR TRAINING"),"Training",IF(OR(UPPER(TRIM('Raw Actuals'!D138))="SITE VISITS",UPPER(TRIM('Raw Actuals'!D138))="SITE VISIT",UPPER(TRIM('Raw Actuals'!D138))="TRAVEL AND SITE VISITS"),"Site visits",IF(OR(UPPER(TRIM('Raw Actuals'!D138))="EVENTS",UPPER(TRIM('Raw Actuals'!D138))="RECOGNITION EVENT",UPPER(TRIM('Raw Actuals'!D138))="BADGE CEREMONY"),"Events",IF(OR(UPPER(TRIM('Raw Actuals'!D138))="VENUE",UPPER(TRIM('Raw Actuals'!D138))="VENUE HIRE",UPPER(TRIM('Raw Actuals'!D138))="TRAINING VENUE"),"Venue",IF(OR(UPPER(TRIM('Raw Actuals'!D138))="ADMINISTRATION",UPPER(TRIM('Raw Actuals'!D138))="ADMIN",UPPER(TRIM('Raw Actuals'!D138))="OPERATIONAL SUPPORT"),"Administration","Review"))))))))))</x:f>
        <x:v>Transport</x:v>
      </x:c>
      <x:c r="E138" t="str">
        <x:f>IF(TRIM('Raw Actuals'!E138)="","Missing",PROPER(TRIM('Raw Actuals'!E138)))</x:f>
        <x:v>Northline Transport</x:v>
      </x:c>
      <x:c r="F138" t="str">
        <x:f>TRIM('Raw Actuals'!F138)</x:f>
        <x:v>Transport expense 133</x:v>
      </x:c>
      <x:c r="G138" s="26" t="n">
        <x:v>18612</x:v>
      </x:c>
      <x:c r="H138" t="str">
        <x:f>IF(OR(UPPER(TRIM('Raw Actuals'!H138))="PAID",UPPER(TRIM('Raw Actuals'!H138))="PAID "),"Paid",IF(UPPER(TRIM('Raw Actuals'!H138))="APPROVED","Approved",IF(OR(UPPER(TRIM('Raw Actuals'!H138))="SUBMITTED",UPPER(TRIM('Raw Actuals'!H138))="PENDING"),"Submitted",IF(UPPER(TRIM('Raw Actuals'!H138))="REJECTED","Rejected","Review"))))</x:f>
        <x:v>Approved</x:v>
      </x:c>
      <x:c r="I138" t="str">
        <x:f>IF(OR(H138="Paid",H138="Approved"),"Include","Exclude")</x:f>
        <x:v>Include</x:v>
      </x:c>
      <x:c r="J138" t="str">
        <x:f>IF(B138="","Missing invoice",IF(COUNTIF($B$6:B138,B138)&gt;1,"Duplicate","Unique"))</x:f>
        <x:v>Unique</x:v>
      </x:c>
      <x:c r="K138" s="17" t="str">
        <x:f>IF(A138="","Missing ID; ","")&amp;IF(B138="","Missing invoice; ","")&amp;IF(C138="","Invalid date; ","")&amp;IF(D138="Review","Unmapped category; ","")&amp;IF(E138="Missing","Missing supplier; ","")&amp;IF(OR(G138="",G138&lt;=0),"Invalid amount; ","")&amp;IF(H138="Review","Invalid payment state; ","")&amp;IF(J138="Duplicate","Duplicate invoice; ","")</x:f>
      </x:c>
      <x:c r="L138" t="str">
        <x:f>IF(K138="","Ready","Review")</x:f>
        <x:v>Ready</x:v>
      </x:c>
      <x:c r="M138" s="26" t="n">
        <x:f>IF(AND(L138="Ready",I138="Include"),G138,0)</x:f>
        <x:v>18612</x:v>
      </x:c>
    </x:row>
    <x:row r="139">
      <x:c r="A139" t="str">
        <x:f>UPPER(TRIM('Raw Actuals'!A139))</x:f>
        <x:v>TXN-27-0134</x:v>
      </x:c>
      <x:c r="B139" t="str">
        <x:f>UPPER(TRIM('Raw Actuals'!B139))</x:f>
        <x:v>INV-27-0134</x:v>
      </x:c>
      <x:c r="C139" s="25" t="n">
        <x:f>IFERROR(IF(OR(MID(TRIM('Raw Actuals'!C139),5,1)="-",MID(TRIM('Raw Actuals'!C139),5,1)="/"),DATE(VALUE(LEFT(TRIM('Raw Actuals'!C139),4)),VALUE(MID(TRIM('Raw Actuals'!C139),6,2)),VALUE(RIGHT(TRIM('Raw Actuals'!C139),2))),IF(LEN(TRIM('Raw Actuals'!C139))=10,DATE(VALUE(RIGHT(TRIM('Raw Actuals'!C139),4)),VALUE(MID(TRIM('Raw Actuals'!C139),4,2)),VALUE(LEFT(TRIM('Raw Actuals'!C139),2))),IF(LEN(TRIM('Raw Actuals'!C139))=8,DATE(2000+VALUE(RIGHT(TRIM('Raw Actuals'!C139),2)),VALUE(MID(TRIM('Raw Actuals'!C139),4,2)),VALUE(LEFT(TRIM('Raw Actuals'!C139),2))),""))),"")</x:f>
        <x:v>46524</x:v>
      </x:c>
      <x:c r="D139" t="str">
        <x:f>IF(OR(UPPER(TRIM('Raw Actuals'!D139))="CATERING",UPPER(TRIM('Raw Actuals'!D139))="WORKSHOP CATERING",UPPER(TRIM('Raw Actuals'!D139))="MEALS",UPPER(TRIM('Raw Actuals'!D139))="CATERNG"),"Catering",IF(OR(UPPER(TRIM('Raw Actuals'!D139))="TRANSPORT",UPPER(TRIM('Raw Actuals'!D139))="LEARNER TRANSPORT",UPPER(TRIM('Raw Actuals'!D139))="TAXIS",UPPER(TRIM('Raw Actuals'!D139))="LEARNER TAXI"),"Transport",IF(OR(UPPER(TRIM('Raw Actuals'!D139))="FACILITATION",UPPER(TRIM('Raw Actuals'!D139))="CHAMPION PAYMENTS",UPPER(TRIM('Raw Actuals'!D139))="STIPENDS",UPPER(TRIM('Raw Actuals'!D139))="FACILITATOR FEE"),"Facilitation",IF(OR(UPPER(TRIM('Raw Actuals'!D139))="MATERIALS",UPPER(TRIM('Raw Actuals'!D139))="WORKSHOP MATERIALS",UPPER(TRIM('Raw Actuals'!D139))="MATERIALS / SUPPLIES"),"Materials",IF(OR(UPPER(TRIM('Raw Actuals'!D139))="PRINTING",UPPER(TRIM('Raw Actuals'!D139))="PRINT &amp; CONSENT",UPPER(TRIM('Raw Actuals'!D139))="PRINTING AND CONSENT"),"Printing",IF(OR(UPPER(TRIM('Raw Actuals'!D139))="TRAINING",UPPER(TRIM('Raw Actuals'!D139))="CHAMPION TRAINING",UPPER(TRIM('Raw Actuals'!D139))="FACILITATOR TRAINING"),"Training",IF(OR(UPPER(TRIM('Raw Actuals'!D139))="SITE VISITS",UPPER(TRIM('Raw Actuals'!D139))="SITE VISIT",UPPER(TRIM('Raw Actuals'!D139))="TRAVEL AND SITE VISITS"),"Site visits",IF(OR(UPPER(TRIM('Raw Actuals'!D139))="EVENTS",UPPER(TRIM('Raw Actuals'!D139))="RECOGNITION EVENT",UPPER(TRIM('Raw Actuals'!D139))="BADGE CEREMONY"),"Events",IF(OR(UPPER(TRIM('Raw Actuals'!D139))="VENUE",UPPER(TRIM('Raw Actuals'!D139))="VENUE HIRE",UPPER(TRIM('Raw Actuals'!D139))="TRAINING VENUE"),"Venue",IF(OR(UPPER(TRIM('Raw Actuals'!D139))="ADMINISTRATION",UPPER(TRIM('Raw Actuals'!D139))="ADMIN",UPPER(TRIM('Raw Actuals'!D139))="OPERATIONAL SUPPORT"),"Administration","Review"))))))))))</x:f>
        <x:v>Venue</x:v>
      </x:c>
      <x:c r="E139" t="str">
        <x:f>IF(TRIM('Raw Actuals'!E139)="","Missing",PROPER(TRIM('Raw Actuals'!E139)))</x:f>
        <x:v>Kopano Catering</x:v>
      </x:c>
      <x:c r="F139" t="str">
        <x:f>TRIM('Raw Actuals'!F139)</x:f>
        <x:v>Venue expense 134</x:v>
      </x:c>
      <x:c r="G139" s="26" t="n">
        <x:v>4273</x:v>
      </x:c>
      <x:c r="H139" t="str">
        <x:f>IF(OR(UPPER(TRIM('Raw Actuals'!H139))="PAID",UPPER(TRIM('Raw Actuals'!H139))="PAID "),"Paid",IF(UPPER(TRIM('Raw Actuals'!H139))="APPROVED","Approved",IF(OR(UPPER(TRIM('Raw Actuals'!H139))="SUBMITTED",UPPER(TRIM('Raw Actuals'!H139))="PENDING"),"Submitted",IF(UPPER(TRIM('Raw Actuals'!H139))="REJECTED","Rejected","Review"))))</x:f>
        <x:v>Submitted</x:v>
      </x:c>
      <x:c r="I139" t="str">
        <x:f>IF(OR(H139="Paid",H139="Approved"),"Include","Exclude")</x:f>
        <x:v>Exclude</x:v>
      </x:c>
      <x:c r="J139" t="str">
        <x:f>IF(B139="","Missing invoice",IF(COUNTIF($B$6:B139,B139)&gt;1,"Duplicate","Unique"))</x:f>
        <x:v>Unique</x:v>
      </x:c>
      <x:c r="K139" s="17" t="str">
        <x:f>IF(A139="","Missing ID; ","")&amp;IF(B139="","Missing invoice; ","")&amp;IF(C139="","Invalid date; ","")&amp;IF(D139="Review","Unmapped category; ","")&amp;IF(E139="Missing","Missing supplier; ","")&amp;IF(OR(G139="",G139&lt;=0),"Invalid amount; ","")&amp;IF(H139="Review","Invalid payment state; ","")&amp;IF(J139="Duplicate","Duplicate invoice; ","")</x:f>
      </x:c>
      <x:c r="L139" t="str">
        <x:f>IF(K139="","Ready","Review")</x:f>
        <x:v>Ready</x:v>
      </x:c>
      <x:c r="M139" s="26" t="n">
        <x:f>IF(AND(L139="Ready",I139="Include"),G139,0)</x:f>
        <x:v>0</x:v>
      </x:c>
    </x:row>
    <x:row r="140">
      <x:c r="A140" t="str">
        <x:f>UPPER(TRIM('Raw Actuals'!A140))</x:f>
        <x:v>TXN-27-0135</x:v>
      </x:c>
      <x:c r="B140" t="str">
        <x:f>UPPER(TRIM('Raw Actuals'!B140))</x:f>
        <x:v>INV-27-0135</x:v>
      </x:c>
      <x:c r="C140" s="25" t="n">
        <x:f>IFERROR(IF(OR(MID(TRIM('Raw Actuals'!C140),5,1)="-",MID(TRIM('Raw Actuals'!C140),5,1)="/"),DATE(VALUE(LEFT(TRIM('Raw Actuals'!C140),4)),VALUE(MID(TRIM('Raw Actuals'!C140),6,2)),VALUE(RIGHT(TRIM('Raw Actuals'!C140),2))),IF(LEN(TRIM('Raw Actuals'!C140))=10,DATE(VALUE(RIGHT(TRIM('Raw Actuals'!C140),4)),VALUE(MID(TRIM('Raw Actuals'!C140),4,2)),VALUE(LEFT(TRIM('Raw Actuals'!C140),2))),IF(LEN(TRIM('Raw Actuals'!C140))=8,DATE(2000+VALUE(RIGHT(TRIM('Raw Actuals'!C140),2)),VALUE(MID(TRIM('Raw Actuals'!C140),4,2)),VALUE(LEFT(TRIM('Raw Actuals'!C140),2))),""))),"")</x:f>
        <x:v>46478</x:v>
      </x:c>
      <x:c r="D140" t="str">
        <x:f>IF(OR(UPPER(TRIM('Raw Actuals'!D140))="CATERING",UPPER(TRIM('Raw Actuals'!D140))="WORKSHOP CATERING",UPPER(TRIM('Raw Actuals'!D140))="MEALS",UPPER(TRIM('Raw Actuals'!D140))="CATERNG"),"Catering",IF(OR(UPPER(TRIM('Raw Actuals'!D140))="TRANSPORT",UPPER(TRIM('Raw Actuals'!D140))="LEARNER TRANSPORT",UPPER(TRIM('Raw Actuals'!D140))="TAXIS",UPPER(TRIM('Raw Actuals'!D140))="LEARNER TAXI"),"Transport",IF(OR(UPPER(TRIM('Raw Actuals'!D140))="FACILITATION",UPPER(TRIM('Raw Actuals'!D140))="CHAMPION PAYMENTS",UPPER(TRIM('Raw Actuals'!D140))="STIPENDS",UPPER(TRIM('Raw Actuals'!D140))="FACILITATOR FEE"),"Facilitation",IF(OR(UPPER(TRIM('Raw Actuals'!D140))="MATERIALS",UPPER(TRIM('Raw Actuals'!D140))="WORKSHOP MATERIALS",UPPER(TRIM('Raw Actuals'!D140))="MATERIALS / SUPPLIES"),"Materials",IF(OR(UPPER(TRIM('Raw Actuals'!D140))="PRINTING",UPPER(TRIM('Raw Actuals'!D140))="PRINT &amp; CONSENT",UPPER(TRIM('Raw Actuals'!D140))="PRINTING AND CONSENT"),"Printing",IF(OR(UPPER(TRIM('Raw Actuals'!D140))="TRAINING",UPPER(TRIM('Raw Actuals'!D140))="CHAMPION TRAINING",UPPER(TRIM('Raw Actuals'!D140))="FACILITATOR TRAINING"),"Training",IF(OR(UPPER(TRIM('Raw Actuals'!D140))="SITE VISITS",UPPER(TRIM('Raw Actuals'!D140))="SITE VISIT",UPPER(TRIM('Raw Actuals'!D140))="TRAVEL AND SITE VISITS"),"Site visits",IF(OR(UPPER(TRIM('Raw Actuals'!D140))="EVENTS",UPPER(TRIM('Raw Actuals'!D140))="RECOGNITION EVENT",UPPER(TRIM('Raw Actuals'!D140))="BADGE CEREMONY"),"Events",IF(OR(UPPER(TRIM('Raw Actuals'!D140))="VENUE",UPPER(TRIM('Raw Actuals'!D140))="VENUE HIRE",UPPER(TRIM('Raw Actuals'!D140))="TRAINING VENUE"),"Venue",IF(OR(UPPER(TRIM('Raw Actuals'!D140))="ADMINISTRATION",UPPER(TRIM('Raw Actuals'!D140))="ADMIN",UPPER(TRIM('Raw Actuals'!D140))="OPERATIONAL SUPPORT"),"Administration","Review"))))))))))</x:f>
        <x:v>Training</x:v>
      </x:c>
      <x:c r="E140" t="str">
        <x:f>IF(TRIM('Raw Actuals'!E140)="","Missing",PROPER(TRIM('Raw Actuals'!E140)))</x:f>
        <x:v>Riverside Venue Hire</x:v>
      </x:c>
      <x:c r="F140" t="str">
        <x:f>TRIM('Raw Actuals'!F140)</x:f>
        <x:v>Training expense 135</x:v>
      </x:c>
      <x:c r="G140" s="26" t="n">
        <x:v>18307</x:v>
      </x:c>
      <x:c r="H140" t="str">
        <x:f>IF(OR(UPPER(TRIM('Raw Actuals'!H140))="PAID",UPPER(TRIM('Raw Actuals'!H140))="PAID "),"Paid",IF(UPPER(TRIM('Raw Actuals'!H140))="APPROVED","Approved",IF(OR(UPPER(TRIM('Raw Actuals'!H140))="SUBMITTED",UPPER(TRIM('Raw Actuals'!H140))="PENDING"),"Submitted",IF(UPPER(TRIM('Raw Actuals'!H140))="REJECTED","Rejected","Review"))))</x:f>
        <x:v>Rejected</x:v>
      </x:c>
      <x:c r="I140" t="str">
        <x:f>IF(OR(H140="Paid",H140="Approved"),"Include","Exclude")</x:f>
        <x:v>Exclude</x:v>
      </x:c>
      <x:c r="J140" t="str">
        <x:f>IF(B140="","Missing invoice",IF(COUNTIF($B$6:B140,B140)&gt;1,"Duplicate","Unique"))</x:f>
        <x:v>Unique</x:v>
      </x:c>
      <x:c r="K140" s="17" t="str">
        <x:f>IF(A140="","Missing ID; ","")&amp;IF(B140="","Missing invoice; ","")&amp;IF(C140="","Invalid date; ","")&amp;IF(D140="Review","Unmapped category; ","")&amp;IF(E140="Missing","Missing supplier; ","")&amp;IF(OR(G140="",G140&lt;=0),"Invalid amount; ","")&amp;IF(H140="Review","Invalid payment state; ","")&amp;IF(J140="Duplicate","Duplicate invoice; ","")</x:f>
      </x:c>
      <x:c r="L140" t="str">
        <x:f>IF(K140="","Ready","Review")</x:f>
        <x:v>Ready</x:v>
      </x:c>
      <x:c r="M140" s="26" t="n">
        <x:f>IF(AND(L140="Ready",I140="Include"),G140,0)</x:f>
        <x:v>0</x:v>
      </x:c>
    </x:row>
    <x:row r="141">
      <x:c r="A141" t="str">
        <x:f>UPPER(TRIM('Raw Actuals'!A141))</x:f>
        <x:v>TXN-27-0136</x:v>
      </x:c>
      <x:c r="B141" t="str">
        <x:f>UPPER(TRIM('Raw Actuals'!B141))</x:f>
        <x:v>INV-27-0136</x:v>
      </x:c>
      <x:c r="C141" s="25" t="n">
        <x:f>IFERROR(IF(OR(MID(TRIM('Raw Actuals'!C141),5,1)="-",MID(TRIM('Raw Actuals'!C141),5,1)="/"),DATE(VALUE(LEFT(TRIM('Raw Actuals'!C141),4)),VALUE(MID(TRIM('Raw Actuals'!C141),6,2)),VALUE(RIGHT(TRIM('Raw Actuals'!C141),2))),IF(LEN(TRIM('Raw Actuals'!C141))=10,DATE(VALUE(RIGHT(TRIM('Raw Actuals'!C141),4)),VALUE(MID(TRIM('Raw Actuals'!C141),4,2)),VALUE(LEFT(TRIM('Raw Actuals'!C141),2))),IF(LEN(TRIM('Raw Actuals'!C141))=8,DATE(2000+VALUE(RIGHT(TRIM('Raw Actuals'!C141),2)),VALUE(MID(TRIM('Raw Actuals'!C141),4,2)),VALUE(LEFT(TRIM('Raw Actuals'!C141),2))),""))),"")</x:f>
        <x:v>46458</x:v>
      </x:c>
      <x:c r="D141" t="str">
        <x:f>IF(OR(UPPER(TRIM('Raw Actuals'!D141))="CATERING",UPPER(TRIM('Raw Actuals'!D141))="WORKSHOP CATERING",UPPER(TRIM('Raw Actuals'!D141))="MEALS",UPPER(TRIM('Raw Actuals'!D141))="CATERNG"),"Catering",IF(OR(UPPER(TRIM('Raw Actuals'!D141))="TRANSPORT",UPPER(TRIM('Raw Actuals'!D141))="LEARNER TRANSPORT",UPPER(TRIM('Raw Actuals'!D141))="TAXIS",UPPER(TRIM('Raw Actuals'!D141))="LEARNER TAXI"),"Transport",IF(OR(UPPER(TRIM('Raw Actuals'!D141))="FACILITATION",UPPER(TRIM('Raw Actuals'!D141))="CHAMPION PAYMENTS",UPPER(TRIM('Raw Actuals'!D141))="STIPENDS",UPPER(TRIM('Raw Actuals'!D141))="FACILITATOR FEE"),"Facilitation",IF(OR(UPPER(TRIM('Raw Actuals'!D141))="MATERIALS",UPPER(TRIM('Raw Actuals'!D141))="WORKSHOP MATERIALS",UPPER(TRIM('Raw Actuals'!D141))="MATERIALS / SUPPLIES"),"Materials",IF(OR(UPPER(TRIM('Raw Actuals'!D141))="PRINTING",UPPER(TRIM('Raw Actuals'!D141))="PRINT &amp; CONSENT",UPPER(TRIM('Raw Actuals'!D141))="PRINTING AND CONSENT"),"Printing",IF(OR(UPPER(TRIM('Raw Actuals'!D141))="TRAINING",UPPER(TRIM('Raw Actuals'!D141))="CHAMPION TRAINING",UPPER(TRIM('Raw Actuals'!D141))="FACILITATOR TRAINING"),"Training",IF(OR(UPPER(TRIM('Raw Actuals'!D141))="SITE VISITS",UPPER(TRIM('Raw Actuals'!D141))="SITE VISIT",UPPER(TRIM('Raw Actuals'!D141))="TRAVEL AND SITE VISITS"),"Site visits",IF(OR(UPPER(TRIM('Raw Actuals'!D141))="EVENTS",UPPER(TRIM('Raw Actuals'!D141))="RECOGNITION EVENT",UPPER(TRIM('Raw Actuals'!D141))="BADGE CEREMONY"),"Events",IF(OR(UPPER(TRIM('Raw Actuals'!D141))="VENUE",UPPER(TRIM('Raw Actuals'!D141))="VENUE HIRE",UPPER(TRIM('Raw Actuals'!D141))="TRAINING VENUE"),"Venue",IF(OR(UPPER(TRIM('Raw Actuals'!D141))="ADMINISTRATION",UPPER(TRIM('Raw Actuals'!D141))="ADMIN",UPPER(TRIM('Raw Actuals'!D141))="OPERATIONAL SUPPORT"),"Administration","Review"))))))))))</x:f>
        <x:v>Facilitation</x:v>
      </x:c>
      <x:c r="E141" t="str">
        <x:f>IF(TRIM('Raw Actuals'!E141)="","Missing",PROPER(TRIM('Raw Actuals'!E141)))</x:f>
        <x:v>Bright Print Studio</x:v>
      </x:c>
      <x:c r="F141" t="str">
        <x:f>TRIM('Raw Actuals'!F141)</x:f>
        <x:v>Facilitation expense 136</x:v>
      </x:c>
      <x:c r="G141" s="26" t="n">
        <x:v>7580</x:v>
      </x:c>
      <x:c r="H141" t="str">
        <x:f>IF(OR(UPPER(TRIM('Raw Actuals'!H141))="PAID",UPPER(TRIM('Raw Actuals'!H141))="PAID "),"Paid",IF(UPPER(TRIM('Raw Actuals'!H141))="APPROVED","Approved",IF(OR(UPPER(TRIM('Raw Actuals'!H141))="SUBMITTED",UPPER(TRIM('Raw Actuals'!H141))="PENDING"),"Submitted",IF(UPPER(TRIM('Raw Actuals'!H141))="REJECTED","Rejected","Review"))))</x:f>
        <x:v>Paid</x:v>
      </x:c>
      <x:c r="I141" t="str">
        <x:f>IF(OR(H141="Paid",H141="Approved"),"Include","Exclude")</x:f>
        <x:v>Include</x:v>
      </x:c>
      <x:c r="J141" t="str">
        <x:f>IF(B141="","Missing invoice",IF(COUNTIF($B$6:B141,B141)&gt;1,"Duplicate","Unique"))</x:f>
        <x:v>Unique</x:v>
      </x:c>
      <x:c r="K141" s="17" t="str">
        <x:f>IF(A141="","Missing ID; ","")&amp;IF(B141="","Missing invoice; ","")&amp;IF(C141="","Invalid date; ","")&amp;IF(D141="Review","Unmapped category; ","")&amp;IF(E141="Missing","Missing supplier; ","")&amp;IF(OR(G141="",G141&lt;=0),"Invalid amount; ","")&amp;IF(H141="Review","Invalid payment state; ","")&amp;IF(J141="Duplicate","Duplicate invoice; ","")</x:f>
      </x:c>
      <x:c r="L141" t="str">
        <x:f>IF(K141="","Ready","Review")</x:f>
        <x:v>Ready</x:v>
      </x:c>
      <x:c r="M141" s="26" t="n">
        <x:f>IF(AND(L141="Ready",I141="Include"),G141,0)</x:f>
        <x:v>7580</x:v>
      </x:c>
    </x:row>
    <x:row r="142">
      <x:c r="A142" t="str">
        <x:f>UPPER(TRIM('Raw Actuals'!A142))</x:f>
        <x:v>TXN-27-0137</x:v>
      </x:c>
      <x:c r="B142" t="str">
        <x:f>UPPER(TRIM('Raw Actuals'!B142))</x:f>
        <x:v>INV-27-0137</x:v>
      </x:c>
      <x:c r="C142" s="25" t="n">
        <x:f>IFERROR(IF(OR(MID(TRIM('Raw Actuals'!C142),5,1)="-",MID(TRIM('Raw Actuals'!C142),5,1)="/"),DATE(VALUE(LEFT(TRIM('Raw Actuals'!C142),4)),VALUE(MID(TRIM('Raw Actuals'!C142),6,2)),VALUE(RIGHT(TRIM('Raw Actuals'!C142),2))),IF(LEN(TRIM('Raw Actuals'!C142))=10,DATE(VALUE(RIGHT(TRIM('Raw Actuals'!C142),4)),VALUE(MID(TRIM('Raw Actuals'!C142),4,2)),VALUE(LEFT(TRIM('Raw Actuals'!C142),2))),IF(LEN(TRIM('Raw Actuals'!C142))=8,DATE(2000+VALUE(RIGHT(TRIM('Raw Actuals'!C142),2)),VALUE(MID(TRIM('Raw Actuals'!C142),4,2)),VALUE(LEFT(TRIM('Raw Actuals'!C142),2))),""))),"")</x:f>
        <x:v>46441</x:v>
      </x:c>
      <x:c r="D142" t="str">
        <x:f>IF(OR(UPPER(TRIM('Raw Actuals'!D142))="CATERING",UPPER(TRIM('Raw Actuals'!D142))="WORKSHOP CATERING",UPPER(TRIM('Raw Actuals'!D142))="MEALS",UPPER(TRIM('Raw Actuals'!D142))="CATERNG"),"Catering",IF(OR(UPPER(TRIM('Raw Actuals'!D142))="TRANSPORT",UPPER(TRIM('Raw Actuals'!D142))="LEARNER TRANSPORT",UPPER(TRIM('Raw Actuals'!D142))="TAXIS",UPPER(TRIM('Raw Actuals'!D142))="LEARNER TAXI"),"Transport",IF(OR(UPPER(TRIM('Raw Actuals'!D142))="FACILITATION",UPPER(TRIM('Raw Actuals'!D142))="CHAMPION PAYMENTS",UPPER(TRIM('Raw Actuals'!D142))="STIPENDS",UPPER(TRIM('Raw Actuals'!D142))="FACILITATOR FEE"),"Facilitation",IF(OR(UPPER(TRIM('Raw Actuals'!D142))="MATERIALS",UPPER(TRIM('Raw Actuals'!D142))="WORKSHOP MATERIALS",UPPER(TRIM('Raw Actuals'!D142))="MATERIALS / SUPPLIES"),"Materials",IF(OR(UPPER(TRIM('Raw Actuals'!D142))="PRINTING",UPPER(TRIM('Raw Actuals'!D142))="PRINT &amp; CONSENT",UPPER(TRIM('Raw Actuals'!D142))="PRINTING AND CONSENT"),"Printing",IF(OR(UPPER(TRIM('Raw Actuals'!D142))="TRAINING",UPPER(TRIM('Raw Actuals'!D142))="CHAMPION TRAINING",UPPER(TRIM('Raw Actuals'!D142))="FACILITATOR TRAINING"),"Training",IF(OR(UPPER(TRIM('Raw Actuals'!D142))="SITE VISITS",UPPER(TRIM('Raw Actuals'!D142))="SITE VISIT",UPPER(TRIM('Raw Actuals'!D142))="TRAVEL AND SITE VISITS"),"Site visits",IF(OR(UPPER(TRIM('Raw Actuals'!D142))="EVENTS",UPPER(TRIM('Raw Actuals'!D142))="RECOGNITION EVENT",UPPER(TRIM('Raw Actuals'!D142))="BADGE CEREMONY"),"Events",IF(OR(UPPER(TRIM('Raw Actuals'!D142))="VENUE",UPPER(TRIM('Raw Actuals'!D142))="VENUE HIRE",UPPER(TRIM('Raw Actuals'!D142))="TRAINING VENUE"),"Venue",IF(OR(UPPER(TRIM('Raw Actuals'!D142))="ADMINISTRATION",UPPER(TRIM('Raw Actuals'!D142))="ADMIN",UPPER(TRIM('Raw Actuals'!D142))="OPERATIONAL SUPPORT"),"Administration","Review"))))))))))</x:f>
        <x:v>Administration</x:v>
      </x:c>
      <x:c r="E142" t="str">
        <x:f>IF(TRIM('Raw Actuals'!E142)="","Missing",PROPER(TRIM('Raw Actuals'!E142)))</x:f>
        <x:v>Thuto Facilitation</x:v>
      </x:c>
      <x:c r="F142" t="str">
        <x:f>TRIM('Raw Actuals'!F142)</x:f>
        <x:v>Administration expense 137</x:v>
      </x:c>
      <x:c r="G142" s="26" t="n">
        <x:v>5375</x:v>
      </x:c>
      <x:c r="H142" t="str">
        <x:f>IF(OR(UPPER(TRIM('Raw Actuals'!H142))="PAID",UPPER(TRIM('Raw Actuals'!H142))="PAID "),"Paid",IF(UPPER(TRIM('Raw Actuals'!H142))="APPROVED","Approved",IF(OR(UPPER(TRIM('Raw Actuals'!H142))="SUBMITTED",UPPER(TRIM('Raw Actuals'!H142))="PENDING"),"Submitted",IF(UPPER(TRIM('Raw Actuals'!H142))="REJECTED","Rejected","Review"))))</x:f>
        <x:v>Approved</x:v>
      </x:c>
      <x:c r="I142" t="str">
        <x:f>IF(OR(H142="Paid",H142="Approved"),"Include","Exclude")</x:f>
        <x:v>Include</x:v>
      </x:c>
      <x:c r="J142" t="str">
        <x:f>IF(B142="","Missing invoice",IF(COUNTIF($B$6:B142,B142)&gt;1,"Duplicate","Unique"))</x:f>
        <x:v>Unique</x:v>
      </x:c>
      <x:c r="K142" s="17" t="str">
        <x:f>IF(A142="","Missing ID; ","")&amp;IF(B142="","Missing invoice; ","")&amp;IF(C142="","Invalid date; ","")&amp;IF(D142="Review","Unmapped category; ","")&amp;IF(E142="Missing","Missing supplier; ","")&amp;IF(OR(G142="",G142&lt;=0),"Invalid amount; ","")&amp;IF(H142="Review","Invalid payment state; ","")&amp;IF(J142="Duplicate","Duplicate invoice; ","")</x:f>
      </x:c>
      <x:c r="L142" t="str">
        <x:f>IF(K142="","Ready","Review")</x:f>
        <x:v>Ready</x:v>
      </x:c>
      <x:c r="M142" s="26" t="n">
        <x:f>IF(AND(L142="Ready",I142="Include"),G142,0)</x:f>
        <x:v>5375</x:v>
      </x:c>
    </x:row>
    <x:row r="143">
      <x:c r="A143" t="str">
        <x:f>UPPER(TRIM('Raw Actuals'!A143))</x:f>
        <x:v>TXN-27-0138</x:v>
      </x:c>
      <x:c r="B143" t="str">
        <x:f>UPPER(TRIM('Raw Actuals'!B143))</x:f>
        <x:v>INV-27-0137</x:v>
      </x:c>
      <x:c r="C143" s="25" t="n">
        <x:f>IFERROR(IF(OR(MID(TRIM('Raw Actuals'!C143),5,1)="-",MID(TRIM('Raw Actuals'!C143),5,1)="/"),DATE(VALUE(LEFT(TRIM('Raw Actuals'!C143),4)),VALUE(MID(TRIM('Raw Actuals'!C143),6,2)),VALUE(RIGHT(TRIM('Raw Actuals'!C143),2))),IF(LEN(TRIM('Raw Actuals'!C143))=10,DATE(VALUE(RIGHT(TRIM('Raw Actuals'!C143),4)),VALUE(MID(TRIM('Raw Actuals'!C143),4,2)),VALUE(LEFT(TRIM('Raw Actuals'!C143),2))),IF(LEN(TRIM('Raw Actuals'!C143))=8,DATE(2000+VALUE(RIGHT(TRIM('Raw Actuals'!C143),2)),VALUE(MID(TRIM('Raw Actuals'!C143),4,2)),VALUE(LEFT(TRIM('Raw Actuals'!C143),2))),""))),"")</x:f>
        <x:v>46394</x:v>
      </x:c>
      <x:c r="D143" t="str">
        <x:f>IF(OR(UPPER(TRIM('Raw Actuals'!D143))="CATERING",UPPER(TRIM('Raw Actuals'!D143))="WORKSHOP CATERING",UPPER(TRIM('Raw Actuals'!D143))="MEALS",UPPER(TRIM('Raw Actuals'!D143))="CATERNG"),"Catering",IF(OR(UPPER(TRIM('Raw Actuals'!D143))="TRANSPORT",UPPER(TRIM('Raw Actuals'!D143))="LEARNER TRANSPORT",UPPER(TRIM('Raw Actuals'!D143))="TAXIS",UPPER(TRIM('Raw Actuals'!D143))="LEARNER TAXI"),"Transport",IF(OR(UPPER(TRIM('Raw Actuals'!D143))="FACILITATION",UPPER(TRIM('Raw Actuals'!D143))="CHAMPION PAYMENTS",UPPER(TRIM('Raw Actuals'!D143))="STIPENDS",UPPER(TRIM('Raw Actuals'!D143))="FACILITATOR FEE"),"Facilitation",IF(OR(UPPER(TRIM('Raw Actuals'!D143))="MATERIALS",UPPER(TRIM('Raw Actuals'!D143))="WORKSHOP MATERIALS",UPPER(TRIM('Raw Actuals'!D143))="MATERIALS / SUPPLIES"),"Materials",IF(OR(UPPER(TRIM('Raw Actuals'!D143))="PRINTING",UPPER(TRIM('Raw Actuals'!D143))="PRINT &amp; CONSENT",UPPER(TRIM('Raw Actuals'!D143))="PRINTING AND CONSENT"),"Printing",IF(OR(UPPER(TRIM('Raw Actuals'!D143))="TRAINING",UPPER(TRIM('Raw Actuals'!D143))="CHAMPION TRAINING",UPPER(TRIM('Raw Actuals'!D143))="FACILITATOR TRAINING"),"Training",IF(OR(UPPER(TRIM('Raw Actuals'!D143))="SITE VISITS",UPPER(TRIM('Raw Actuals'!D143))="SITE VISIT",UPPER(TRIM('Raw Actuals'!D143))="TRAVEL AND SITE VISITS"),"Site visits",IF(OR(UPPER(TRIM('Raw Actuals'!D143))="EVENTS",UPPER(TRIM('Raw Actuals'!D143))="RECOGNITION EVENT",UPPER(TRIM('Raw Actuals'!D143))="BADGE CEREMONY"),"Events",IF(OR(UPPER(TRIM('Raw Actuals'!D143))="VENUE",UPPER(TRIM('Raw Actuals'!D143))="VENUE HIRE",UPPER(TRIM('Raw Actuals'!D143))="TRAINING VENUE"),"Venue",IF(OR(UPPER(TRIM('Raw Actuals'!D143))="ADMINISTRATION",UPPER(TRIM('Raw Actuals'!D143))="ADMIN",UPPER(TRIM('Raw Actuals'!D143))="OPERATIONAL SUPPORT"),"Administration","Review"))))))))))</x:f>
        <x:v>Site visits</x:v>
      </x:c>
      <x:c r="E143" t="str">
        <x:f>IF(TRIM('Raw Actuals'!E143)="","Missing",PROPER(TRIM('Raw Actuals'!E143)))</x:f>
        <x:v>Moya Supplies</x:v>
      </x:c>
      <x:c r="F143" t="str">
        <x:f>TRIM('Raw Actuals'!F143)</x:f>
        <x:v>Site visits expense 138</x:v>
      </x:c>
      <x:c r="G143" s="26" t="n">
        <x:v>8575</x:v>
      </x:c>
      <x:c r="H143" t="str">
        <x:f>IF(OR(UPPER(TRIM('Raw Actuals'!H143))="PAID",UPPER(TRIM('Raw Actuals'!H143))="PAID "),"Paid",IF(UPPER(TRIM('Raw Actuals'!H143))="APPROVED","Approved",IF(OR(UPPER(TRIM('Raw Actuals'!H143))="SUBMITTED",UPPER(TRIM('Raw Actuals'!H143))="PENDING"),"Submitted",IF(UPPER(TRIM('Raw Actuals'!H143))="REJECTED","Rejected","Review"))))</x:f>
        <x:v>Submitted</x:v>
      </x:c>
      <x:c r="I143" t="str">
        <x:f>IF(OR(H143="Paid",H143="Approved"),"Include","Exclude")</x:f>
        <x:v>Exclude</x:v>
      </x:c>
      <x:c r="J143" t="str">
        <x:f>IF(B143="","Missing invoice",IF(COUNTIF($B$6:B143,B143)&gt;1,"Duplicate","Unique"))</x:f>
        <x:v>Duplicate</x:v>
      </x:c>
      <x:c r="K143" s="17" t="str">
        <x:f>IF(A143="","Missing ID; ","")&amp;IF(B143="","Missing invoice; ","")&amp;IF(C143="","Invalid date; ","")&amp;IF(D143="Review","Unmapped category; ","")&amp;IF(E143="Missing","Missing supplier; ","")&amp;IF(OR(G143="",G143&lt;=0),"Invalid amount; ","")&amp;IF(H143="Review","Invalid payment state; ","")&amp;IF(J143="Duplicate","Duplicate invoice; ","")</x:f>
        <x:v>Duplicate invoice; </x:v>
      </x:c>
      <x:c r="L143" t="str">
        <x:f>IF(K143="","Ready","Review")</x:f>
        <x:v>Review</x:v>
      </x:c>
      <x:c r="M143" s="26" t="n">
        <x:f>IF(AND(L143="Ready",I143="Include"),G143,0)</x:f>
        <x:v>0</x:v>
      </x:c>
    </x:row>
    <x:row r="144">
      <x:c r="A144" t="str">
        <x:f>UPPER(TRIM('Raw Actuals'!A144))</x:f>
        <x:v>TXN-27-0139</x:v>
      </x:c>
      <x:c r="B144" t="str">
        <x:f>UPPER(TRIM('Raw Actuals'!B144))</x:f>
        <x:v>INV-27-0139</x:v>
      </x:c>
      <x:c r="C144" s="25" t="n">
        <x:f>IFERROR(IF(OR(MID(TRIM('Raw Actuals'!C144),5,1)="-",MID(TRIM('Raw Actuals'!C144),5,1)="/"),DATE(VALUE(LEFT(TRIM('Raw Actuals'!C144),4)),VALUE(MID(TRIM('Raw Actuals'!C144),6,2)),VALUE(RIGHT(TRIM('Raw Actuals'!C144),2))),IF(LEN(TRIM('Raw Actuals'!C144))=10,DATE(VALUE(RIGHT(TRIM('Raw Actuals'!C144),4)),VALUE(MID(TRIM('Raw Actuals'!C144),4,2)),VALUE(LEFT(TRIM('Raw Actuals'!C144),2))),IF(LEN(TRIM('Raw Actuals'!C144))=8,DATE(2000+VALUE(RIGHT(TRIM('Raw Actuals'!C144),2)),VALUE(MID(TRIM('Raw Actuals'!C144),4,2)),VALUE(LEFT(TRIM('Raw Actuals'!C144),2))),""))),"")</x:f>
        <x:v>46556</x:v>
      </x:c>
      <x:c r="D144" t="str">
        <x:f>IF(OR(UPPER(TRIM('Raw Actuals'!D144))="CATERING",UPPER(TRIM('Raw Actuals'!D144))="WORKSHOP CATERING",UPPER(TRIM('Raw Actuals'!D144))="MEALS",UPPER(TRIM('Raw Actuals'!D144))="CATERNG"),"Catering",IF(OR(UPPER(TRIM('Raw Actuals'!D144))="TRANSPORT",UPPER(TRIM('Raw Actuals'!D144))="LEARNER TRANSPORT",UPPER(TRIM('Raw Actuals'!D144))="TAXIS",UPPER(TRIM('Raw Actuals'!D144))="LEARNER TAXI"),"Transport",IF(OR(UPPER(TRIM('Raw Actuals'!D144))="FACILITATION",UPPER(TRIM('Raw Actuals'!D144))="CHAMPION PAYMENTS",UPPER(TRIM('Raw Actuals'!D144))="STIPENDS",UPPER(TRIM('Raw Actuals'!D144))="FACILITATOR FEE"),"Facilitation",IF(OR(UPPER(TRIM('Raw Actuals'!D144))="MATERIALS",UPPER(TRIM('Raw Actuals'!D144))="WORKSHOP MATERIALS",UPPER(TRIM('Raw Actuals'!D144))="MATERIALS / SUPPLIES"),"Materials",IF(OR(UPPER(TRIM('Raw Actuals'!D144))="PRINTING",UPPER(TRIM('Raw Actuals'!D144))="PRINT &amp; CONSENT",UPPER(TRIM('Raw Actuals'!D144))="PRINTING AND CONSENT"),"Printing",IF(OR(UPPER(TRIM('Raw Actuals'!D144))="TRAINING",UPPER(TRIM('Raw Actuals'!D144))="CHAMPION TRAINING",UPPER(TRIM('Raw Actuals'!D144))="FACILITATOR TRAINING"),"Training",IF(OR(UPPER(TRIM('Raw Actuals'!D144))="SITE VISITS",UPPER(TRIM('Raw Actuals'!D144))="SITE VISIT",UPPER(TRIM('Raw Actuals'!D144))="TRAVEL AND SITE VISITS"),"Site visits",IF(OR(UPPER(TRIM('Raw Actuals'!D144))="EVENTS",UPPER(TRIM('Raw Actuals'!D144))="RECOGNITION EVENT",UPPER(TRIM('Raw Actuals'!D144))="BADGE CEREMONY"),"Events",IF(OR(UPPER(TRIM('Raw Actuals'!D144))="VENUE",UPPER(TRIM('Raw Actuals'!D144))="VENUE HIRE",UPPER(TRIM('Raw Actuals'!D144))="TRAINING VENUE"),"Venue",IF(OR(UPPER(TRIM('Raw Actuals'!D144))="ADMINISTRATION",UPPER(TRIM('Raw Actuals'!D144))="ADMIN",UPPER(TRIM('Raw Actuals'!D144))="OPERATIONAL SUPPORT"),"Administration","Review"))))))))))</x:f>
        <x:v>Materials</x:v>
      </x:c>
      <x:c r="E144" t="str">
        <x:f>IF(TRIM('Raw Actuals'!E144)="","Missing",PROPER(TRIM('Raw Actuals'!E144)))</x:f>
        <x:v>Northline Transport</x:v>
      </x:c>
      <x:c r="F144" t="str">
        <x:f>TRIM('Raw Actuals'!F144)</x:f>
        <x:v>Materials expense 139</x:v>
      </x:c>
      <x:c r="G144" s="26" t="n">
        <x:v>1314</x:v>
      </x:c>
      <x:c r="H144" t="str">
        <x:f>IF(OR(UPPER(TRIM('Raw Actuals'!H144))="PAID",UPPER(TRIM('Raw Actuals'!H144))="PAID "),"Paid",IF(UPPER(TRIM('Raw Actuals'!H144))="APPROVED","Approved",IF(OR(UPPER(TRIM('Raw Actuals'!H144))="SUBMITTED",UPPER(TRIM('Raw Actuals'!H144))="PENDING"),"Submitted",IF(UPPER(TRIM('Raw Actuals'!H144))="REJECTED","Rejected","Review"))))</x:f>
        <x:v>Rejected</x:v>
      </x:c>
      <x:c r="I144" t="str">
        <x:f>IF(OR(H144="Paid",H144="Approved"),"Include","Exclude")</x:f>
        <x:v>Exclude</x:v>
      </x:c>
      <x:c r="J144" t="str">
        <x:f>IF(B144="","Missing invoice",IF(COUNTIF($B$6:B144,B144)&gt;1,"Duplicate","Unique"))</x:f>
        <x:v>Unique</x:v>
      </x:c>
      <x:c r="K144" s="17" t="str">
        <x:f>IF(A144="","Missing ID; ","")&amp;IF(B144="","Missing invoice; ","")&amp;IF(C144="","Invalid date; ","")&amp;IF(D144="Review","Unmapped category; ","")&amp;IF(E144="Missing","Missing supplier; ","")&amp;IF(OR(G144="",G144&lt;=0),"Invalid amount; ","")&amp;IF(H144="Review","Invalid payment state; ","")&amp;IF(J144="Duplicate","Duplicate invoice; ","")</x:f>
      </x:c>
      <x:c r="L144" t="str">
        <x:f>IF(K144="","Ready","Review")</x:f>
        <x:v>Ready</x:v>
      </x:c>
      <x:c r="M144" s="26" t="n">
        <x:f>IF(AND(L144="Ready",I144="Include"),G144,0)</x:f>
        <x:v>0</x:v>
      </x:c>
    </x:row>
    <x:row r="145">
      <x:c r="A145" t="str">
        <x:f>UPPER(TRIM('Raw Actuals'!A145))</x:f>
        <x:v>TXN-27-0140</x:v>
      </x:c>
      <x:c r="B145" t="str">
        <x:f>UPPER(TRIM('Raw Actuals'!B145))</x:f>
        <x:v>INV-27-0140</x:v>
      </x:c>
      <x:c r="C145" s="25" t="n">
        <x:f>IFERROR(IF(OR(MID(TRIM('Raw Actuals'!C145),5,1)="-",MID(TRIM('Raw Actuals'!C145),5,1)="/"),DATE(VALUE(LEFT(TRIM('Raw Actuals'!C145),4)),VALUE(MID(TRIM('Raw Actuals'!C145),6,2)),VALUE(RIGHT(TRIM('Raw Actuals'!C145),2))),IF(LEN(TRIM('Raw Actuals'!C145))=10,DATE(VALUE(RIGHT(TRIM('Raw Actuals'!C145),4)),VALUE(MID(TRIM('Raw Actuals'!C145),4,2)),VALUE(LEFT(TRIM('Raw Actuals'!C145),2))),IF(LEN(TRIM('Raw Actuals'!C145))=8,DATE(2000+VALUE(RIGHT(TRIM('Raw Actuals'!C145),2)),VALUE(MID(TRIM('Raw Actuals'!C145),4,2)),VALUE(LEFT(TRIM('Raw Actuals'!C145),2))),""))),"")</x:f>
        <x:v>46509</x:v>
      </x:c>
      <x:c r="D145" t="str">
        <x:f>IF(OR(UPPER(TRIM('Raw Actuals'!D145))="CATERING",UPPER(TRIM('Raw Actuals'!D145))="WORKSHOP CATERING",UPPER(TRIM('Raw Actuals'!D145))="MEALS",UPPER(TRIM('Raw Actuals'!D145))="CATERNG"),"Catering",IF(OR(UPPER(TRIM('Raw Actuals'!D145))="TRANSPORT",UPPER(TRIM('Raw Actuals'!D145))="LEARNER TRANSPORT",UPPER(TRIM('Raw Actuals'!D145))="TAXIS",UPPER(TRIM('Raw Actuals'!D145))="LEARNER TAXI"),"Transport",IF(OR(UPPER(TRIM('Raw Actuals'!D145))="FACILITATION",UPPER(TRIM('Raw Actuals'!D145))="CHAMPION PAYMENTS",UPPER(TRIM('Raw Actuals'!D145))="STIPENDS",UPPER(TRIM('Raw Actuals'!D145))="FACILITATOR FEE"),"Facilitation",IF(OR(UPPER(TRIM('Raw Actuals'!D145))="MATERIALS",UPPER(TRIM('Raw Actuals'!D145))="WORKSHOP MATERIALS",UPPER(TRIM('Raw Actuals'!D145))="MATERIALS / SUPPLIES"),"Materials",IF(OR(UPPER(TRIM('Raw Actuals'!D145))="PRINTING",UPPER(TRIM('Raw Actuals'!D145))="PRINT &amp; CONSENT",UPPER(TRIM('Raw Actuals'!D145))="PRINTING AND CONSENT"),"Printing",IF(OR(UPPER(TRIM('Raw Actuals'!D145))="TRAINING",UPPER(TRIM('Raw Actuals'!D145))="CHAMPION TRAINING",UPPER(TRIM('Raw Actuals'!D145))="FACILITATOR TRAINING"),"Training",IF(OR(UPPER(TRIM('Raw Actuals'!D145))="SITE VISITS",UPPER(TRIM('Raw Actuals'!D145))="SITE VISIT",UPPER(TRIM('Raw Actuals'!D145))="TRAVEL AND SITE VISITS"),"Site visits",IF(OR(UPPER(TRIM('Raw Actuals'!D145))="EVENTS",UPPER(TRIM('Raw Actuals'!D145))="RECOGNITION EVENT",UPPER(TRIM('Raw Actuals'!D145))="BADGE CEREMONY"),"Events",IF(OR(UPPER(TRIM('Raw Actuals'!D145))="VENUE",UPPER(TRIM('Raw Actuals'!D145))="VENUE HIRE",UPPER(TRIM('Raw Actuals'!D145))="TRAINING VENUE"),"Venue",IF(OR(UPPER(TRIM('Raw Actuals'!D145))="ADMINISTRATION",UPPER(TRIM('Raw Actuals'!D145))="ADMIN",UPPER(TRIM('Raw Actuals'!D145))="OPERATIONAL SUPPORT"),"Administration","Review"))))))))))</x:f>
        <x:v>Catering</x:v>
      </x:c>
      <x:c r="E145" t="str">
        <x:f>IF(TRIM('Raw Actuals'!E145)="","Missing",PROPER(TRIM('Raw Actuals'!E145)))</x:f>
        <x:v>Kopano Catering</x:v>
      </x:c>
      <x:c r="F145" t="str">
        <x:f>TRIM('Raw Actuals'!F145)</x:f>
        <x:v>Catering expense 140</x:v>
      </x:c>
      <x:c r="G145" s="26" t="n">
        <x:v>1292</x:v>
      </x:c>
      <x:c r="H145" t="str">
        <x:f>IF(OR(UPPER(TRIM('Raw Actuals'!H145))="PAID",UPPER(TRIM('Raw Actuals'!H145))="PAID "),"Paid",IF(UPPER(TRIM('Raw Actuals'!H145))="APPROVED","Approved",IF(OR(UPPER(TRIM('Raw Actuals'!H145))="SUBMITTED",UPPER(TRIM('Raw Actuals'!H145))="PENDING"),"Submitted",IF(UPPER(TRIM('Raw Actuals'!H145))="REJECTED","Rejected","Review"))))</x:f>
        <x:v>Paid</x:v>
      </x:c>
      <x:c r="I145" t="str">
        <x:f>IF(OR(H145="Paid",H145="Approved"),"Include","Exclude")</x:f>
        <x:v>Include</x:v>
      </x:c>
      <x:c r="J145" t="str">
        <x:f>IF(B145="","Missing invoice",IF(COUNTIF($B$6:B145,B145)&gt;1,"Duplicate","Unique"))</x:f>
        <x:v>Unique</x:v>
      </x:c>
      <x:c r="K145" s="17" t="str">
        <x:f>IF(A145="","Missing ID; ","")&amp;IF(B145="","Missing invoice; ","")&amp;IF(C145="","Invalid date; ","")&amp;IF(D145="Review","Unmapped category; ","")&amp;IF(E145="Missing","Missing supplier; ","")&amp;IF(OR(G145="",G145&lt;=0),"Invalid amount; ","")&amp;IF(H145="Review","Invalid payment state; ","")&amp;IF(J145="Duplicate","Duplicate invoice; ","")</x:f>
      </x:c>
      <x:c r="L145" t="str">
        <x:f>IF(K145="","Ready","Review")</x:f>
        <x:v>Ready</x:v>
      </x:c>
      <x:c r="M145" s="26" t="n">
        <x:f>IF(AND(L145="Ready",I145="Include"),G145,0)</x:f>
        <x:v>1292</x:v>
      </x:c>
    </x:row>
    <x:row r="146">
      <x:c r="A146" t="str">
        <x:f>UPPER(TRIM('Raw Actuals'!A146))</x:f>
        <x:v>TXN-27-0141</x:v>
      </x:c>
      <x:c r="B146" t="str">
        <x:f>UPPER(TRIM('Raw Actuals'!B146))</x:f>
        <x:v>INV-27-0141</x:v>
      </x:c>
      <x:c r="C146" s="25" t="n">
        <x:f>IFERROR(IF(OR(MID(TRIM('Raw Actuals'!C146),5,1)="-",MID(TRIM('Raw Actuals'!C146),5,1)="/"),DATE(VALUE(LEFT(TRIM('Raw Actuals'!C146),4)),VALUE(MID(TRIM('Raw Actuals'!C146),6,2)),VALUE(RIGHT(TRIM('Raw Actuals'!C146),2))),IF(LEN(TRIM('Raw Actuals'!C146))=10,DATE(VALUE(RIGHT(TRIM('Raw Actuals'!C146),4)),VALUE(MID(TRIM('Raw Actuals'!C146),4,2)),VALUE(LEFT(TRIM('Raw Actuals'!C146),2))),IF(LEN(TRIM('Raw Actuals'!C146))=8,DATE(2000+VALUE(RIGHT(TRIM('Raw Actuals'!C146),2)),VALUE(MID(TRIM('Raw Actuals'!C146),4,2)),VALUE(LEFT(TRIM('Raw Actuals'!C146),2))),""))),"")</x:f>
        <x:v>46490</x:v>
      </x:c>
      <x:c r="D146" t="str">
        <x:f>IF(OR(UPPER(TRIM('Raw Actuals'!D146))="CATERING",UPPER(TRIM('Raw Actuals'!D146))="WORKSHOP CATERING",UPPER(TRIM('Raw Actuals'!D146))="MEALS",UPPER(TRIM('Raw Actuals'!D146))="CATERNG"),"Catering",IF(OR(UPPER(TRIM('Raw Actuals'!D146))="TRANSPORT",UPPER(TRIM('Raw Actuals'!D146))="LEARNER TRANSPORT",UPPER(TRIM('Raw Actuals'!D146))="TAXIS",UPPER(TRIM('Raw Actuals'!D146))="LEARNER TAXI"),"Transport",IF(OR(UPPER(TRIM('Raw Actuals'!D146))="FACILITATION",UPPER(TRIM('Raw Actuals'!D146))="CHAMPION PAYMENTS",UPPER(TRIM('Raw Actuals'!D146))="STIPENDS",UPPER(TRIM('Raw Actuals'!D146))="FACILITATOR FEE"),"Facilitation",IF(OR(UPPER(TRIM('Raw Actuals'!D146))="MATERIALS",UPPER(TRIM('Raw Actuals'!D146))="WORKSHOP MATERIALS",UPPER(TRIM('Raw Actuals'!D146))="MATERIALS / SUPPLIES"),"Materials",IF(OR(UPPER(TRIM('Raw Actuals'!D146))="PRINTING",UPPER(TRIM('Raw Actuals'!D146))="PRINT &amp; CONSENT",UPPER(TRIM('Raw Actuals'!D146))="PRINTING AND CONSENT"),"Printing",IF(OR(UPPER(TRIM('Raw Actuals'!D146))="TRAINING",UPPER(TRIM('Raw Actuals'!D146))="CHAMPION TRAINING",UPPER(TRIM('Raw Actuals'!D146))="FACILITATOR TRAINING"),"Training",IF(OR(UPPER(TRIM('Raw Actuals'!D146))="SITE VISITS",UPPER(TRIM('Raw Actuals'!D146))="SITE VISIT",UPPER(TRIM('Raw Actuals'!D146))="TRAVEL AND SITE VISITS"),"Site visits",IF(OR(UPPER(TRIM('Raw Actuals'!D146))="EVENTS",UPPER(TRIM('Raw Actuals'!D146))="RECOGNITION EVENT",UPPER(TRIM('Raw Actuals'!D146))="BADGE CEREMONY"),"Events",IF(OR(UPPER(TRIM('Raw Actuals'!D146))="VENUE",UPPER(TRIM('Raw Actuals'!D146))="VENUE HIRE",UPPER(TRIM('Raw Actuals'!D146))="TRAINING VENUE"),"Venue",IF(OR(UPPER(TRIM('Raw Actuals'!D146))="ADMINISTRATION",UPPER(TRIM('Raw Actuals'!D146))="ADMIN",UPPER(TRIM('Raw Actuals'!D146))="OPERATIONAL SUPPORT"),"Administration","Review"))))))))))</x:f>
        <x:v>Events</x:v>
      </x:c>
      <x:c r="E146" t="str">
        <x:f>IF(TRIM('Raw Actuals'!E146)="","Missing",PROPER(TRIM('Raw Actuals'!E146)))</x:f>
        <x:v>Missing</x:v>
      </x:c>
      <x:c r="F146" t="str">
        <x:f>TRIM('Raw Actuals'!F146)</x:f>
        <x:v>Events expense 141</x:v>
      </x:c>
      <x:c r="G146" s="26" t="n">
        <x:v>18931</x:v>
      </x:c>
      <x:c r="H146" t="str">
        <x:f>IF(OR(UPPER(TRIM('Raw Actuals'!H146))="PAID",UPPER(TRIM('Raw Actuals'!H146))="PAID "),"Paid",IF(UPPER(TRIM('Raw Actuals'!H146))="APPROVED","Approved",IF(OR(UPPER(TRIM('Raw Actuals'!H146))="SUBMITTED",UPPER(TRIM('Raw Actuals'!H146))="PENDING"),"Submitted",IF(UPPER(TRIM('Raw Actuals'!H146))="REJECTED","Rejected","Review"))))</x:f>
        <x:v>Approved</x:v>
      </x:c>
      <x:c r="I146" t="str">
        <x:f>IF(OR(H146="Paid",H146="Approved"),"Include","Exclude")</x:f>
        <x:v>Include</x:v>
      </x:c>
      <x:c r="J146" t="str">
        <x:f>IF(B146="","Missing invoice",IF(COUNTIF($B$6:B146,B146)&gt;1,"Duplicate","Unique"))</x:f>
        <x:v>Unique</x:v>
      </x:c>
      <x:c r="K146" s="17" t="str">
        <x:f>IF(A146="","Missing ID; ","")&amp;IF(B146="","Missing invoice; ","")&amp;IF(C146="","Invalid date; ","")&amp;IF(D146="Review","Unmapped category; ","")&amp;IF(E146="Missing","Missing supplier; ","")&amp;IF(OR(G146="",G146&lt;=0),"Invalid amount; ","")&amp;IF(H146="Review","Invalid payment state; ","")&amp;IF(J146="Duplicate","Duplicate invoice; ","")</x:f>
        <x:v>Missing supplier; </x:v>
      </x:c>
      <x:c r="L146" t="str">
        <x:f>IF(K146="","Ready","Review")</x:f>
        <x:v>Review</x:v>
      </x:c>
      <x:c r="M146" s="26" t="n">
        <x:f>IF(AND(L146="Ready",I146="Include"),G146,0)</x:f>
        <x:v>0</x:v>
      </x:c>
    </x:row>
    <x:row r="147">
      <x:c r="A147" t="str">
        <x:f>UPPER(TRIM('Raw Actuals'!A147))</x:f>
        <x:v>TXN-27-0142</x:v>
      </x:c>
      <x:c r="B147" t="str">
        <x:f>UPPER(TRIM('Raw Actuals'!B147))</x:f>
        <x:v>INV-27-0142</x:v>
      </x:c>
      <x:c r="C147" s="25" t="n">
        <x:f>IFERROR(IF(OR(MID(TRIM('Raw Actuals'!C147),5,1)="-",MID(TRIM('Raw Actuals'!C147),5,1)="/"),DATE(VALUE(LEFT(TRIM('Raw Actuals'!C147),4)),VALUE(MID(TRIM('Raw Actuals'!C147),6,2)),VALUE(RIGHT(TRIM('Raw Actuals'!C147),2))),IF(LEN(TRIM('Raw Actuals'!C147))=10,DATE(VALUE(RIGHT(TRIM('Raw Actuals'!C147),4)),VALUE(MID(TRIM('Raw Actuals'!C147),4,2)),VALUE(LEFT(TRIM('Raw Actuals'!C147),2))),IF(LEN(TRIM('Raw Actuals'!C147))=8,DATE(2000+VALUE(RIGHT(TRIM('Raw Actuals'!C147),2)),VALUE(MID(TRIM('Raw Actuals'!C147),4,2)),VALUE(LEFT(TRIM('Raw Actuals'!C147),2))),""))),"")</x:f>
        <x:v>46470</x:v>
      </x:c>
      <x:c r="D147" t="str">
        <x:f>IF(OR(UPPER(TRIM('Raw Actuals'!D147))="CATERING",UPPER(TRIM('Raw Actuals'!D147))="WORKSHOP CATERING",UPPER(TRIM('Raw Actuals'!D147))="MEALS",UPPER(TRIM('Raw Actuals'!D147))="CATERNG"),"Catering",IF(OR(UPPER(TRIM('Raw Actuals'!D147))="TRANSPORT",UPPER(TRIM('Raw Actuals'!D147))="LEARNER TRANSPORT",UPPER(TRIM('Raw Actuals'!D147))="TAXIS",UPPER(TRIM('Raw Actuals'!D147))="LEARNER TAXI"),"Transport",IF(OR(UPPER(TRIM('Raw Actuals'!D147))="FACILITATION",UPPER(TRIM('Raw Actuals'!D147))="CHAMPION PAYMENTS",UPPER(TRIM('Raw Actuals'!D147))="STIPENDS",UPPER(TRIM('Raw Actuals'!D147))="FACILITATOR FEE"),"Facilitation",IF(OR(UPPER(TRIM('Raw Actuals'!D147))="MATERIALS",UPPER(TRIM('Raw Actuals'!D147))="WORKSHOP MATERIALS",UPPER(TRIM('Raw Actuals'!D147))="MATERIALS / SUPPLIES"),"Materials",IF(OR(UPPER(TRIM('Raw Actuals'!D147))="PRINTING",UPPER(TRIM('Raw Actuals'!D147))="PRINT &amp; CONSENT",UPPER(TRIM('Raw Actuals'!D147))="PRINTING AND CONSENT"),"Printing",IF(OR(UPPER(TRIM('Raw Actuals'!D147))="TRAINING",UPPER(TRIM('Raw Actuals'!D147))="CHAMPION TRAINING",UPPER(TRIM('Raw Actuals'!D147))="FACILITATOR TRAINING"),"Training",IF(OR(UPPER(TRIM('Raw Actuals'!D147))="SITE VISITS",UPPER(TRIM('Raw Actuals'!D147))="SITE VISIT",UPPER(TRIM('Raw Actuals'!D147))="TRAVEL AND SITE VISITS"),"Site visits",IF(OR(UPPER(TRIM('Raw Actuals'!D147))="EVENTS",UPPER(TRIM('Raw Actuals'!D147))="RECOGNITION EVENT",UPPER(TRIM('Raw Actuals'!D147))="BADGE CEREMONY"),"Events",IF(OR(UPPER(TRIM('Raw Actuals'!D147))="VENUE",UPPER(TRIM('Raw Actuals'!D147))="VENUE HIRE",UPPER(TRIM('Raw Actuals'!D147))="TRAINING VENUE"),"Venue",IF(OR(UPPER(TRIM('Raw Actuals'!D147))="ADMINISTRATION",UPPER(TRIM('Raw Actuals'!D147))="ADMIN",UPPER(TRIM('Raw Actuals'!D147))="OPERATIONAL SUPPORT"),"Administration","Review"))))))))))</x:f>
        <x:v>Printing</x:v>
      </x:c>
      <x:c r="E147" t="str">
        <x:f>IF(TRIM('Raw Actuals'!E147)="","Missing",PROPER(TRIM('Raw Actuals'!E147)))</x:f>
        <x:v>Bright Print Studio</x:v>
      </x:c>
      <x:c r="F147" t="str">
        <x:f>TRIM('Raw Actuals'!F147)</x:f>
        <x:v>Printing expense 142</x:v>
      </x:c>
      <x:c r="G147" s="26" t="n">
        <x:v>6276</x:v>
      </x:c>
      <x:c r="H147" t="str">
        <x:f>IF(OR(UPPER(TRIM('Raw Actuals'!H147))="PAID",UPPER(TRIM('Raw Actuals'!H147))="PAID "),"Paid",IF(UPPER(TRIM('Raw Actuals'!H147))="APPROVED","Approved",IF(OR(UPPER(TRIM('Raw Actuals'!H147))="SUBMITTED",UPPER(TRIM('Raw Actuals'!H147))="PENDING"),"Submitted",IF(UPPER(TRIM('Raw Actuals'!H147))="REJECTED","Rejected","Review"))))</x:f>
        <x:v>Submitted</x:v>
      </x:c>
      <x:c r="I147" t="str">
        <x:f>IF(OR(H147="Paid",H147="Approved"),"Include","Exclude")</x:f>
        <x:v>Exclude</x:v>
      </x:c>
      <x:c r="J147" t="str">
        <x:f>IF(B147="","Missing invoice",IF(COUNTIF($B$6:B147,B147)&gt;1,"Duplicate","Unique"))</x:f>
        <x:v>Unique</x:v>
      </x:c>
      <x:c r="K147" s="17" t="str">
        <x:f>IF(A147="","Missing ID; ","")&amp;IF(B147="","Missing invoice; ","")&amp;IF(C147="","Invalid date; ","")&amp;IF(D147="Review","Unmapped category; ","")&amp;IF(E147="Missing","Missing supplier; ","")&amp;IF(OR(G147="",G147&lt;=0),"Invalid amount; ","")&amp;IF(H147="Review","Invalid payment state; ","")&amp;IF(J147="Duplicate","Duplicate invoice; ","")</x:f>
      </x:c>
      <x:c r="L147" t="str">
        <x:f>IF(K147="","Ready","Review")</x:f>
        <x:v>Ready</x:v>
      </x:c>
      <x:c r="M147" s="26" t="n">
        <x:f>IF(AND(L147="Ready",I147="Include"),G147,0)</x:f>
        <x:v>0</x:v>
      </x:c>
    </x:row>
    <x:row r="148">
      <x:c r="A148" t="str">
        <x:f>UPPER(TRIM('Raw Actuals'!A148))</x:f>
        <x:v>TXN-27-0143</x:v>
      </x:c>
      <x:c r="B148" t="str">
        <x:f>UPPER(TRIM('Raw Actuals'!B148))</x:f>
        <x:v>INV-27-0143</x:v>
      </x:c>
      <x:c r="C148" s="25" t="n">
        <x:f>IFERROR(IF(OR(MID(TRIM('Raw Actuals'!C148),5,1)="-",MID(TRIM('Raw Actuals'!C148),5,1)="/"),DATE(VALUE(LEFT(TRIM('Raw Actuals'!C148),4)),VALUE(MID(TRIM('Raw Actuals'!C148),6,2)),VALUE(RIGHT(TRIM('Raw Actuals'!C148),2))),IF(LEN(TRIM('Raw Actuals'!C148))=10,DATE(VALUE(RIGHT(TRIM('Raw Actuals'!C148),4)),VALUE(MID(TRIM('Raw Actuals'!C148),4,2)),VALUE(LEFT(TRIM('Raw Actuals'!C148),2))),IF(LEN(TRIM('Raw Actuals'!C148))=8,DATE(2000+VALUE(RIGHT(TRIM('Raw Actuals'!C148),2)),VALUE(MID(TRIM('Raw Actuals'!C148),4,2)),VALUE(LEFT(TRIM('Raw Actuals'!C148),2))),""))),"")</x:f>
        <x:v>46426</x:v>
      </x:c>
      <x:c r="D148" t="str">
        <x:f>IF(OR(UPPER(TRIM('Raw Actuals'!D148))="CATERING",UPPER(TRIM('Raw Actuals'!D148))="WORKSHOP CATERING",UPPER(TRIM('Raw Actuals'!D148))="MEALS",UPPER(TRIM('Raw Actuals'!D148))="CATERNG"),"Catering",IF(OR(UPPER(TRIM('Raw Actuals'!D148))="TRANSPORT",UPPER(TRIM('Raw Actuals'!D148))="LEARNER TRANSPORT",UPPER(TRIM('Raw Actuals'!D148))="TAXIS",UPPER(TRIM('Raw Actuals'!D148))="LEARNER TAXI"),"Transport",IF(OR(UPPER(TRIM('Raw Actuals'!D148))="FACILITATION",UPPER(TRIM('Raw Actuals'!D148))="CHAMPION PAYMENTS",UPPER(TRIM('Raw Actuals'!D148))="STIPENDS",UPPER(TRIM('Raw Actuals'!D148))="FACILITATOR FEE"),"Facilitation",IF(OR(UPPER(TRIM('Raw Actuals'!D148))="MATERIALS",UPPER(TRIM('Raw Actuals'!D148))="WORKSHOP MATERIALS",UPPER(TRIM('Raw Actuals'!D148))="MATERIALS / SUPPLIES"),"Materials",IF(OR(UPPER(TRIM('Raw Actuals'!D148))="PRINTING",UPPER(TRIM('Raw Actuals'!D148))="PRINT &amp; CONSENT",UPPER(TRIM('Raw Actuals'!D148))="PRINTING AND CONSENT"),"Printing",IF(OR(UPPER(TRIM('Raw Actuals'!D148))="TRAINING",UPPER(TRIM('Raw Actuals'!D148))="CHAMPION TRAINING",UPPER(TRIM('Raw Actuals'!D148))="FACILITATOR TRAINING"),"Training",IF(OR(UPPER(TRIM('Raw Actuals'!D148))="SITE VISITS",UPPER(TRIM('Raw Actuals'!D148))="SITE VISIT",UPPER(TRIM('Raw Actuals'!D148))="TRAVEL AND SITE VISITS"),"Site visits",IF(OR(UPPER(TRIM('Raw Actuals'!D148))="EVENTS",UPPER(TRIM('Raw Actuals'!D148))="RECOGNITION EVENT",UPPER(TRIM('Raw Actuals'!D148))="BADGE CEREMONY"),"Events",IF(OR(UPPER(TRIM('Raw Actuals'!D148))="VENUE",UPPER(TRIM('Raw Actuals'!D148))="VENUE HIRE",UPPER(TRIM('Raw Actuals'!D148))="TRAINING VENUE"),"Venue",IF(OR(UPPER(TRIM('Raw Actuals'!D148))="ADMINISTRATION",UPPER(TRIM('Raw Actuals'!D148))="ADMIN",UPPER(TRIM('Raw Actuals'!D148))="OPERATIONAL SUPPORT"),"Administration","Review"))))))))))</x:f>
        <x:v>Transport</x:v>
      </x:c>
      <x:c r="E148" t="str">
        <x:f>IF(TRIM('Raw Actuals'!E148)="","Missing",PROPER(TRIM('Raw Actuals'!E148)))</x:f>
        <x:v>Thuto Facilitation</x:v>
      </x:c>
      <x:c r="F148" t="str">
        <x:f>TRIM('Raw Actuals'!F148)</x:f>
        <x:v>Transport expense 143</x:v>
      </x:c>
      <x:c r="G148" s="26" t="n">
        <x:v>19782</x:v>
      </x:c>
      <x:c r="H148" t="str">
        <x:f>IF(OR(UPPER(TRIM('Raw Actuals'!H148))="PAID",UPPER(TRIM('Raw Actuals'!H148))="PAID "),"Paid",IF(UPPER(TRIM('Raw Actuals'!H148))="APPROVED","Approved",IF(OR(UPPER(TRIM('Raw Actuals'!H148))="SUBMITTED",UPPER(TRIM('Raw Actuals'!H148))="PENDING"),"Submitted",IF(UPPER(TRIM('Raw Actuals'!H148))="REJECTED","Rejected","Review"))))</x:f>
        <x:v>Rejected</x:v>
      </x:c>
      <x:c r="I148" t="str">
        <x:f>IF(OR(H148="Paid",H148="Approved"),"Include","Exclude")</x:f>
        <x:v>Exclude</x:v>
      </x:c>
      <x:c r="J148" t="str">
        <x:f>IF(B148="","Missing invoice",IF(COUNTIF($B$6:B148,B148)&gt;1,"Duplicate","Unique"))</x:f>
        <x:v>Unique</x:v>
      </x:c>
      <x:c r="K148" s="17" t="str">
        <x:f>IF(A148="","Missing ID; ","")&amp;IF(B148="","Missing invoice; ","")&amp;IF(C148="","Invalid date; ","")&amp;IF(D148="Review","Unmapped category; ","")&amp;IF(E148="Missing","Missing supplier; ","")&amp;IF(OR(G148="",G148&lt;=0),"Invalid amount; ","")&amp;IF(H148="Review","Invalid payment state; ","")&amp;IF(J148="Duplicate","Duplicate invoice; ","")</x:f>
      </x:c>
      <x:c r="L148" t="str">
        <x:f>IF(K148="","Ready","Review")</x:f>
        <x:v>Ready</x:v>
      </x:c>
      <x:c r="M148" s="26" t="n">
        <x:f>IF(AND(L148="Ready",I148="Include"),G148,0)</x:f>
        <x:v>0</x:v>
      </x:c>
    </x:row>
    <x:row r="149">
      <x:c r="A149" t="str">
        <x:f>UPPER(TRIM('Raw Actuals'!A149))</x:f>
        <x:v>TXN-27-0144</x:v>
      </x:c>
      <x:c r="B149" t="str">
        <x:f>UPPER(TRIM('Raw Actuals'!B149))</x:f>
        <x:v>INV-27-0144</x:v>
      </x:c>
      <x:c r="C149" s="25" t="n">
        <x:f>IFERROR(IF(OR(MID(TRIM('Raw Actuals'!C149),5,1)="-",MID(TRIM('Raw Actuals'!C149),5,1)="/"),DATE(VALUE(LEFT(TRIM('Raw Actuals'!C149),4)),VALUE(MID(TRIM('Raw Actuals'!C149),6,2)),VALUE(RIGHT(TRIM('Raw Actuals'!C149),2))),IF(LEN(TRIM('Raw Actuals'!C149))=10,DATE(VALUE(RIGHT(TRIM('Raw Actuals'!C149),4)),VALUE(MID(TRIM('Raw Actuals'!C149),4,2)),VALUE(LEFT(TRIM('Raw Actuals'!C149),2))),IF(LEN(TRIM('Raw Actuals'!C149))=8,DATE(2000+VALUE(RIGHT(TRIM('Raw Actuals'!C149),2)),VALUE(MID(TRIM('Raw Actuals'!C149),4,2)),VALUE(LEFT(TRIM('Raw Actuals'!C149),2))),""))),"")</x:f>
        <x:v>46406</x:v>
      </x:c>
      <x:c r="D149" t="str">
        <x:f>IF(OR(UPPER(TRIM('Raw Actuals'!D149))="CATERING",UPPER(TRIM('Raw Actuals'!D149))="WORKSHOP CATERING",UPPER(TRIM('Raw Actuals'!D149))="MEALS",UPPER(TRIM('Raw Actuals'!D149))="CATERNG"),"Catering",IF(OR(UPPER(TRIM('Raw Actuals'!D149))="TRANSPORT",UPPER(TRIM('Raw Actuals'!D149))="LEARNER TRANSPORT",UPPER(TRIM('Raw Actuals'!D149))="TAXIS",UPPER(TRIM('Raw Actuals'!D149))="LEARNER TAXI"),"Transport",IF(OR(UPPER(TRIM('Raw Actuals'!D149))="FACILITATION",UPPER(TRIM('Raw Actuals'!D149))="CHAMPION PAYMENTS",UPPER(TRIM('Raw Actuals'!D149))="STIPENDS",UPPER(TRIM('Raw Actuals'!D149))="FACILITATOR FEE"),"Facilitation",IF(OR(UPPER(TRIM('Raw Actuals'!D149))="MATERIALS",UPPER(TRIM('Raw Actuals'!D149))="WORKSHOP MATERIALS",UPPER(TRIM('Raw Actuals'!D149))="MATERIALS / SUPPLIES"),"Materials",IF(OR(UPPER(TRIM('Raw Actuals'!D149))="PRINTING",UPPER(TRIM('Raw Actuals'!D149))="PRINT &amp; CONSENT",UPPER(TRIM('Raw Actuals'!D149))="PRINTING AND CONSENT"),"Printing",IF(OR(UPPER(TRIM('Raw Actuals'!D149))="TRAINING",UPPER(TRIM('Raw Actuals'!D149))="CHAMPION TRAINING",UPPER(TRIM('Raw Actuals'!D149))="FACILITATOR TRAINING"),"Training",IF(OR(UPPER(TRIM('Raw Actuals'!D149))="SITE VISITS",UPPER(TRIM('Raw Actuals'!D149))="SITE VISIT",UPPER(TRIM('Raw Actuals'!D149))="TRAVEL AND SITE VISITS"),"Site visits",IF(OR(UPPER(TRIM('Raw Actuals'!D149))="EVENTS",UPPER(TRIM('Raw Actuals'!D149))="RECOGNITION EVENT",UPPER(TRIM('Raw Actuals'!D149))="BADGE CEREMONY"),"Events",IF(OR(UPPER(TRIM('Raw Actuals'!D149))="VENUE",UPPER(TRIM('Raw Actuals'!D149))="VENUE HIRE",UPPER(TRIM('Raw Actuals'!D149))="TRAINING VENUE"),"Venue",IF(OR(UPPER(TRIM('Raw Actuals'!D149))="ADMINISTRATION",UPPER(TRIM('Raw Actuals'!D149))="ADMIN",UPPER(TRIM('Raw Actuals'!D149))="OPERATIONAL SUPPORT"),"Administration","Review"))))))))))</x:f>
        <x:v>Venue</x:v>
      </x:c>
      <x:c r="E149" t="str">
        <x:f>IF(TRIM('Raw Actuals'!E149)="","Missing",PROPER(TRIM('Raw Actuals'!E149)))</x:f>
        <x:v>Moya Supplies</x:v>
      </x:c>
      <x:c r="F149" t="str">
        <x:f>TRIM('Raw Actuals'!F149)</x:f>
        <x:v>Venue expense 144</x:v>
      </x:c>
      <x:c r="G149" s="26" t="n">
        <x:v>5443</x:v>
      </x:c>
      <x:c r="H149" t="str">
        <x:f>IF(OR(UPPER(TRIM('Raw Actuals'!H149))="PAID",UPPER(TRIM('Raw Actuals'!H149))="PAID "),"Paid",IF(UPPER(TRIM('Raw Actuals'!H149))="APPROVED","Approved",IF(OR(UPPER(TRIM('Raw Actuals'!H149))="SUBMITTED",UPPER(TRIM('Raw Actuals'!H149))="PENDING"),"Submitted",IF(UPPER(TRIM('Raw Actuals'!H149))="REJECTED","Rejected","Review"))))</x:f>
        <x:v>Paid</x:v>
      </x:c>
      <x:c r="I149" t="str">
        <x:f>IF(OR(H149="Paid",H149="Approved"),"Include","Exclude")</x:f>
        <x:v>Include</x:v>
      </x:c>
      <x:c r="J149" t="str">
        <x:f>IF(B149="","Missing invoice",IF(COUNTIF($B$6:B149,B149)&gt;1,"Duplicate","Unique"))</x:f>
        <x:v>Unique</x:v>
      </x:c>
      <x:c r="K149" s="17" t="str">
        <x:f>IF(A149="","Missing ID; ","")&amp;IF(B149="","Missing invoice; ","")&amp;IF(C149="","Invalid date; ","")&amp;IF(D149="Review","Unmapped category; ","")&amp;IF(E149="Missing","Missing supplier; ","")&amp;IF(OR(G149="",G149&lt;=0),"Invalid amount; ","")&amp;IF(H149="Review","Invalid payment state; ","")&amp;IF(J149="Duplicate","Duplicate invoice; ","")</x:f>
      </x:c>
      <x:c r="L149" t="str">
        <x:f>IF(K149="","Ready","Review")</x:f>
        <x:v>Ready</x:v>
      </x:c>
      <x:c r="M149" s="26" t="n">
        <x:f>IF(AND(L149="Ready",I149="Include"),G149,0)</x:f>
        <x:v>5443</x:v>
      </x:c>
    </x:row>
    <x:row r="150">
      <x:c r="A150" t="str">
        <x:f>UPPER(TRIM('Raw Actuals'!A150))</x:f>
        <x:v>TXN-27-0145</x:v>
      </x:c>
      <x:c r="B150" t="str">
        <x:f>UPPER(TRIM('Raw Actuals'!B150))</x:f>
        <x:v>INV-27-0145</x:v>
      </x:c>
      <x:c r="C150" s="25" t="n">
        <x:f>IFERROR(IF(OR(MID(TRIM('Raw Actuals'!C150),5,1)="-",MID(TRIM('Raw Actuals'!C150),5,1)="/"),DATE(VALUE(LEFT(TRIM('Raw Actuals'!C150),4)),VALUE(MID(TRIM('Raw Actuals'!C150),6,2)),VALUE(RIGHT(TRIM('Raw Actuals'!C150),2))),IF(LEN(TRIM('Raw Actuals'!C150))=10,DATE(VALUE(RIGHT(TRIM('Raw Actuals'!C150),4)),VALUE(MID(TRIM('Raw Actuals'!C150),4,2)),VALUE(LEFT(TRIM('Raw Actuals'!C150),2))),IF(LEN(TRIM('Raw Actuals'!C150))=8,DATE(2000+VALUE(RIGHT(TRIM('Raw Actuals'!C150),2)),VALUE(MID(TRIM('Raw Actuals'!C150),4,2)),VALUE(LEFT(TRIM('Raw Actuals'!C150),2))),""))),"")</x:f>
        <x:v>46541</x:v>
      </x:c>
      <x:c r="D150" t="str">
        <x:f>IF(OR(UPPER(TRIM('Raw Actuals'!D150))="CATERING",UPPER(TRIM('Raw Actuals'!D150))="WORKSHOP CATERING",UPPER(TRIM('Raw Actuals'!D150))="MEALS",UPPER(TRIM('Raw Actuals'!D150))="CATERNG"),"Catering",IF(OR(UPPER(TRIM('Raw Actuals'!D150))="TRANSPORT",UPPER(TRIM('Raw Actuals'!D150))="LEARNER TRANSPORT",UPPER(TRIM('Raw Actuals'!D150))="TAXIS",UPPER(TRIM('Raw Actuals'!D150))="LEARNER TAXI"),"Transport",IF(OR(UPPER(TRIM('Raw Actuals'!D150))="FACILITATION",UPPER(TRIM('Raw Actuals'!D150))="CHAMPION PAYMENTS",UPPER(TRIM('Raw Actuals'!D150))="STIPENDS",UPPER(TRIM('Raw Actuals'!D150))="FACILITATOR FEE"),"Facilitation",IF(OR(UPPER(TRIM('Raw Actuals'!D150))="MATERIALS",UPPER(TRIM('Raw Actuals'!D150))="WORKSHOP MATERIALS",UPPER(TRIM('Raw Actuals'!D150))="MATERIALS / SUPPLIES"),"Materials",IF(OR(UPPER(TRIM('Raw Actuals'!D150))="PRINTING",UPPER(TRIM('Raw Actuals'!D150))="PRINT &amp; CONSENT",UPPER(TRIM('Raw Actuals'!D150))="PRINTING AND CONSENT"),"Printing",IF(OR(UPPER(TRIM('Raw Actuals'!D150))="TRAINING",UPPER(TRIM('Raw Actuals'!D150))="CHAMPION TRAINING",UPPER(TRIM('Raw Actuals'!D150))="FACILITATOR TRAINING"),"Training",IF(OR(UPPER(TRIM('Raw Actuals'!D150))="SITE VISITS",UPPER(TRIM('Raw Actuals'!D150))="SITE VISIT",UPPER(TRIM('Raw Actuals'!D150))="TRAVEL AND SITE VISITS"),"Site visits",IF(OR(UPPER(TRIM('Raw Actuals'!D150))="EVENTS",UPPER(TRIM('Raw Actuals'!D150))="RECOGNITION EVENT",UPPER(TRIM('Raw Actuals'!D150))="BADGE CEREMONY"),"Events",IF(OR(UPPER(TRIM('Raw Actuals'!D150))="VENUE",UPPER(TRIM('Raw Actuals'!D150))="VENUE HIRE",UPPER(TRIM('Raw Actuals'!D150))="TRAINING VENUE"),"Venue",IF(OR(UPPER(TRIM('Raw Actuals'!D150))="ADMINISTRATION",UPPER(TRIM('Raw Actuals'!D150))="ADMIN",UPPER(TRIM('Raw Actuals'!D150))="OPERATIONAL SUPPORT"),"Administration","Review"))))))))))</x:f>
        <x:v>Training</x:v>
      </x:c>
      <x:c r="E150" t="str">
        <x:f>IF(TRIM('Raw Actuals'!E150)="","Missing",PROPER(TRIM('Raw Actuals'!E150)))</x:f>
        <x:v>Northline Transport</x:v>
      </x:c>
      <x:c r="F150" t="str">
        <x:f>TRIM('Raw Actuals'!F150)</x:f>
        <x:v>Training expense 145</x:v>
      </x:c>
      <x:c r="G150" s="26" t="n">
        <x:v>19477</x:v>
      </x:c>
      <x:c r="H150" t="str">
        <x:f>IF(OR(UPPER(TRIM('Raw Actuals'!H150))="PAID",UPPER(TRIM('Raw Actuals'!H150))="PAID "),"Paid",IF(UPPER(TRIM('Raw Actuals'!H150))="APPROVED","Approved",IF(OR(UPPER(TRIM('Raw Actuals'!H150))="SUBMITTED",UPPER(TRIM('Raw Actuals'!H150))="PENDING"),"Submitted",IF(UPPER(TRIM('Raw Actuals'!H150))="REJECTED","Rejected","Review"))))</x:f>
        <x:v>Approved</x:v>
      </x:c>
      <x:c r="I150" t="str">
        <x:f>IF(OR(H150="Paid",H150="Approved"),"Include","Exclude")</x:f>
        <x:v>Include</x:v>
      </x:c>
      <x:c r="J150" t="str">
        <x:f>IF(B150="","Missing invoice",IF(COUNTIF($B$6:B150,B150)&gt;1,"Duplicate","Unique"))</x:f>
        <x:v>Unique</x:v>
      </x:c>
      <x:c r="K150" s="17" t="str">
        <x:f>IF(A150="","Missing ID; ","")&amp;IF(B150="","Missing invoice; ","")&amp;IF(C150="","Invalid date; ","")&amp;IF(D150="Review","Unmapped category; ","")&amp;IF(E150="Missing","Missing supplier; ","")&amp;IF(OR(G150="",G150&lt;=0),"Invalid amount; ","")&amp;IF(H150="Review","Invalid payment state; ","")&amp;IF(J150="Duplicate","Duplicate invoice; ","")</x:f>
      </x:c>
      <x:c r="L150" t="str">
        <x:f>IF(K150="","Ready","Review")</x:f>
        <x:v>Ready</x:v>
      </x:c>
      <x:c r="M150" s="26" t="n">
        <x:f>IF(AND(L150="Ready",I150="Include"),G150,0)</x:f>
        <x:v>19477</x:v>
      </x:c>
    </x:row>
    <x:row r="151">
      <x:c r="A151" t="str">
        <x:f>UPPER(TRIM('Raw Actuals'!A151))</x:f>
        <x:v>TXN-27-0146</x:v>
      </x:c>
      <x:c r="B151" t="str">
        <x:f>UPPER(TRIM('Raw Actuals'!B151))</x:f>
        <x:v>INV-27-0146</x:v>
      </x:c>
      <x:c r="C151" s="25" t="n">
        <x:f>IFERROR(IF(OR(MID(TRIM('Raw Actuals'!C151),5,1)="-",MID(TRIM('Raw Actuals'!C151),5,1)="/"),DATE(VALUE(LEFT(TRIM('Raw Actuals'!C151),4)),VALUE(MID(TRIM('Raw Actuals'!C151),6,2)),VALUE(RIGHT(TRIM('Raw Actuals'!C151),2))),IF(LEN(TRIM('Raw Actuals'!C151))=10,DATE(VALUE(RIGHT(TRIM('Raw Actuals'!C151),4)),VALUE(MID(TRIM('Raw Actuals'!C151),4,2)),VALUE(LEFT(TRIM('Raw Actuals'!C151),2))),IF(LEN(TRIM('Raw Actuals'!C151))=8,DATE(2000+VALUE(RIGHT(TRIM('Raw Actuals'!C151),2)),VALUE(MID(TRIM('Raw Actuals'!C151),4,2)),VALUE(LEFT(TRIM('Raw Actuals'!C151),2))),""))),"")</x:f>
        <x:v>46521</x:v>
      </x:c>
      <x:c r="D151" t="str">
        <x:f>IF(OR(UPPER(TRIM('Raw Actuals'!D151))="CATERING",UPPER(TRIM('Raw Actuals'!D151))="WORKSHOP CATERING",UPPER(TRIM('Raw Actuals'!D151))="MEALS",UPPER(TRIM('Raw Actuals'!D151))="CATERNG"),"Catering",IF(OR(UPPER(TRIM('Raw Actuals'!D151))="TRANSPORT",UPPER(TRIM('Raw Actuals'!D151))="LEARNER TRANSPORT",UPPER(TRIM('Raw Actuals'!D151))="TAXIS",UPPER(TRIM('Raw Actuals'!D151))="LEARNER TAXI"),"Transport",IF(OR(UPPER(TRIM('Raw Actuals'!D151))="FACILITATION",UPPER(TRIM('Raw Actuals'!D151))="CHAMPION PAYMENTS",UPPER(TRIM('Raw Actuals'!D151))="STIPENDS",UPPER(TRIM('Raw Actuals'!D151))="FACILITATOR FEE"),"Facilitation",IF(OR(UPPER(TRIM('Raw Actuals'!D151))="MATERIALS",UPPER(TRIM('Raw Actuals'!D151))="WORKSHOP MATERIALS",UPPER(TRIM('Raw Actuals'!D151))="MATERIALS / SUPPLIES"),"Materials",IF(OR(UPPER(TRIM('Raw Actuals'!D151))="PRINTING",UPPER(TRIM('Raw Actuals'!D151))="PRINT &amp; CONSENT",UPPER(TRIM('Raw Actuals'!D151))="PRINTING AND CONSENT"),"Printing",IF(OR(UPPER(TRIM('Raw Actuals'!D151))="TRAINING",UPPER(TRIM('Raw Actuals'!D151))="CHAMPION TRAINING",UPPER(TRIM('Raw Actuals'!D151))="FACILITATOR TRAINING"),"Training",IF(OR(UPPER(TRIM('Raw Actuals'!D151))="SITE VISITS",UPPER(TRIM('Raw Actuals'!D151))="SITE VISIT",UPPER(TRIM('Raw Actuals'!D151))="TRAVEL AND SITE VISITS"),"Site visits",IF(OR(UPPER(TRIM('Raw Actuals'!D151))="EVENTS",UPPER(TRIM('Raw Actuals'!D151))="RECOGNITION EVENT",UPPER(TRIM('Raw Actuals'!D151))="BADGE CEREMONY"),"Events",IF(OR(UPPER(TRIM('Raw Actuals'!D151))="VENUE",UPPER(TRIM('Raw Actuals'!D151))="VENUE HIRE",UPPER(TRIM('Raw Actuals'!D151))="TRAINING VENUE"),"Venue",IF(OR(UPPER(TRIM('Raw Actuals'!D151))="ADMINISTRATION",UPPER(TRIM('Raw Actuals'!D151))="ADMIN",UPPER(TRIM('Raw Actuals'!D151))="OPERATIONAL SUPPORT"),"Administration","Review"))))))))))</x:f>
        <x:v>Facilitation</x:v>
      </x:c>
      <x:c r="E151" t="str">
        <x:f>IF(TRIM('Raw Actuals'!E151)="","Missing",PROPER(TRIM('Raw Actuals'!E151)))</x:f>
        <x:v>Kopano Catering</x:v>
      </x:c>
      <x:c r="F151" t="str">
        <x:f>TRIM('Raw Actuals'!F151)</x:f>
        <x:v>Facilitation expense 146</x:v>
      </x:c>
      <x:c r="G151" s="26" t="n">
        <x:v>8750</x:v>
      </x:c>
      <x:c r="H151" t="str">
        <x:f>IF(OR(UPPER(TRIM('Raw Actuals'!H151))="PAID",UPPER(TRIM('Raw Actuals'!H151))="PAID "),"Paid",IF(UPPER(TRIM('Raw Actuals'!H151))="APPROVED","Approved",IF(OR(UPPER(TRIM('Raw Actuals'!H151))="SUBMITTED",UPPER(TRIM('Raw Actuals'!H151))="PENDING"),"Submitted",IF(UPPER(TRIM('Raw Actuals'!H151))="REJECTED","Rejected","Review"))))</x:f>
        <x:v>Submitted</x:v>
      </x:c>
      <x:c r="I151" t="str">
        <x:f>IF(OR(H151="Paid",H151="Approved"),"Include","Exclude")</x:f>
        <x:v>Exclude</x:v>
      </x:c>
      <x:c r="J151" t="str">
        <x:f>IF(B151="","Missing invoice",IF(COUNTIF($B$6:B151,B151)&gt;1,"Duplicate","Unique"))</x:f>
        <x:v>Unique</x:v>
      </x:c>
      <x:c r="K151" s="17" t="str">
        <x:f>IF(A151="","Missing ID; ","")&amp;IF(B151="","Missing invoice; ","")&amp;IF(C151="","Invalid date; ","")&amp;IF(D151="Review","Unmapped category; ","")&amp;IF(E151="Missing","Missing supplier; ","")&amp;IF(OR(G151="",G151&lt;=0),"Invalid amount; ","")&amp;IF(H151="Review","Invalid payment state; ","")&amp;IF(J151="Duplicate","Duplicate invoice; ","")</x:f>
      </x:c>
      <x:c r="L151" t="str">
        <x:f>IF(K151="","Ready","Review")</x:f>
        <x:v>Ready</x:v>
      </x:c>
      <x:c r="M151" s="26" t="n">
        <x:f>IF(AND(L151="Ready",I151="Include"),G151,0)</x:f>
        <x:v>0</x:v>
      </x:c>
    </x:row>
    <x:row r="152">
      <x:c r="A152" t="str">
        <x:f>UPPER(TRIM('Raw Actuals'!A152))</x:f>
        <x:v>TXN-27-0147</x:v>
      </x:c>
      <x:c r="B152" t="str">
        <x:f>UPPER(TRIM('Raw Actuals'!B152))</x:f>
        <x:v>INV-27-0147</x:v>
      </x:c>
      <x:c r="C152" s="25" t="n">
        <x:f>IFERROR(IF(OR(MID(TRIM('Raw Actuals'!C152),5,1)="-",MID(TRIM('Raw Actuals'!C152),5,1)="/"),DATE(VALUE(LEFT(TRIM('Raw Actuals'!C152),4)),VALUE(MID(TRIM('Raw Actuals'!C152),6,2)),VALUE(RIGHT(TRIM('Raw Actuals'!C152),2))),IF(LEN(TRIM('Raw Actuals'!C152))=10,DATE(VALUE(RIGHT(TRIM('Raw Actuals'!C152),4)),VALUE(MID(TRIM('Raw Actuals'!C152),4,2)),VALUE(LEFT(TRIM('Raw Actuals'!C152),2))),IF(LEN(TRIM('Raw Actuals'!C152))=8,DATE(2000+VALUE(RIGHT(TRIM('Raw Actuals'!C152),2)),VALUE(MID(TRIM('Raw Actuals'!C152),4,2)),VALUE(LEFT(TRIM('Raw Actuals'!C152),2))),""))),"")</x:f>
        <x:v>46502</x:v>
      </x:c>
      <x:c r="D152" t="str">
        <x:f>IF(OR(UPPER(TRIM('Raw Actuals'!D152))="CATERING",UPPER(TRIM('Raw Actuals'!D152))="WORKSHOP CATERING",UPPER(TRIM('Raw Actuals'!D152))="MEALS",UPPER(TRIM('Raw Actuals'!D152))="CATERNG"),"Catering",IF(OR(UPPER(TRIM('Raw Actuals'!D152))="TRANSPORT",UPPER(TRIM('Raw Actuals'!D152))="LEARNER TRANSPORT",UPPER(TRIM('Raw Actuals'!D152))="TAXIS",UPPER(TRIM('Raw Actuals'!D152))="LEARNER TAXI"),"Transport",IF(OR(UPPER(TRIM('Raw Actuals'!D152))="FACILITATION",UPPER(TRIM('Raw Actuals'!D152))="CHAMPION PAYMENTS",UPPER(TRIM('Raw Actuals'!D152))="STIPENDS",UPPER(TRIM('Raw Actuals'!D152))="FACILITATOR FEE"),"Facilitation",IF(OR(UPPER(TRIM('Raw Actuals'!D152))="MATERIALS",UPPER(TRIM('Raw Actuals'!D152))="WORKSHOP MATERIALS",UPPER(TRIM('Raw Actuals'!D152))="MATERIALS / SUPPLIES"),"Materials",IF(OR(UPPER(TRIM('Raw Actuals'!D152))="PRINTING",UPPER(TRIM('Raw Actuals'!D152))="PRINT &amp; CONSENT",UPPER(TRIM('Raw Actuals'!D152))="PRINTING AND CONSENT"),"Printing",IF(OR(UPPER(TRIM('Raw Actuals'!D152))="TRAINING",UPPER(TRIM('Raw Actuals'!D152))="CHAMPION TRAINING",UPPER(TRIM('Raw Actuals'!D152))="FACILITATOR TRAINING"),"Training",IF(OR(UPPER(TRIM('Raw Actuals'!D152))="SITE VISITS",UPPER(TRIM('Raw Actuals'!D152))="SITE VISIT",UPPER(TRIM('Raw Actuals'!D152))="TRAVEL AND SITE VISITS"),"Site visits",IF(OR(UPPER(TRIM('Raw Actuals'!D152))="EVENTS",UPPER(TRIM('Raw Actuals'!D152))="RECOGNITION EVENT",UPPER(TRIM('Raw Actuals'!D152))="BADGE CEREMONY"),"Events",IF(OR(UPPER(TRIM('Raw Actuals'!D152))="VENUE",UPPER(TRIM('Raw Actuals'!D152))="VENUE HIRE",UPPER(TRIM('Raw Actuals'!D152))="TRAINING VENUE"),"Venue",IF(OR(UPPER(TRIM('Raw Actuals'!D152))="ADMINISTRATION",UPPER(TRIM('Raw Actuals'!D152))="ADMIN",UPPER(TRIM('Raw Actuals'!D152))="OPERATIONAL SUPPORT"),"Administration","Review"))))))))))</x:f>
        <x:v>Administration</x:v>
      </x:c>
      <x:c r="E152" t="str">
        <x:f>IF(TRIM('Raw Actuals'!E152)="","Missing",PROPER(TRIM('Raw Actuals'!E152)))</x:f>
        <x:v>Riverside Venue Hire</x:v>
      </x:c>
      <x:c r="F152" t="str">
        <x:f>TRIM('Raw Actuals'!F152)</x:f>
        <x:v>Administration expense 147</x:v>
      </x:c>
      <x:c r="G152" s="26" t="n">
        <x:v>6545</x:v>
      </x:c>
      <x:c r="H152" t="str">
        <x:f>IF(OR(UPPER(TRIM('Raw Actuals'!H152))="PAID",UPPER(TRIM('Raw Actuals'!H152))="PAID "),"Paid",IF(UPPER(TRIM('Raw Actuals'!H152))="APPROVED","Approved",IF(OR(UPPER(TRIM('Raw Actuals'!H152))="SUBMITTED",UPPER(TRIM('Raw Actuals'!H152))="PENDING"),"Submitted",IF(UPPER(TRIM('Raw Actuals'!H152))="REJECTED","Rejected","Review"))))</x:f>
        <x:v>Rejected</x:v>
      </x:c>
      <x:c r="I152" t="str">
        <x:f>IF(OR(H152="Paid",H152="Approved"),"Include","Exclude")</x:f>
        <x:v>Exclude</x:v>
      </x:c>
      <x:c r="J152" t="str">
        <x:f>IF(B152="","Missing invoice",IF(COUNTIF($B$6:B152,B152)&gt;1,"Duplicate","Unique"))</x:f>
        <x:v>Unique</x:v>
      </x:c>
      <x:c r="K152" s="17" t="str">
        <x:f>IF(A152="","Missing ID; ","")&amp;IF(B152="","Missing invoice; ","")&amp;IF(C152="","Invalid date; ","")&amp;IF(D152="Review","Unmapped category; ","")&amp;IF(E152="Missing","Missing supplier; ","")&amp;IF(OR(G152="",G152&lt;=0),"Invalid amount; ","")&amp;IF(H152="Review","Invalid payment state; ","")&amp;IF(J152="Duplicate","Duplicate invoice; ","")</x:f>
      </x:c>
      <x:c r="L152" t="str">
        <x:f>IF(K152="","Ready","Review")</x:f>
        <x:v>Ready</x:v>
      </x:c>
      <x:c r="M152" s="26" t="n">
        <x:f>IF(AND(L152="Ready",I152="Include"),G152,0)</x:f>
        <x:v>0</x:v>
      </x:c>
    </x:row>
    <x:row r="153">
      <x:c r="A153" t="str">
        <x:f>UPPER(TRIM('Raw Actuals'!A153))</x:f>
        <x:v>TXN-27-0148</x:v>
      </x:c>
      <x:c r="B153" t="str">
        <x:f>UPPER(TRIM('Raw Actuals'!B153))</x:f>
        <x:v>INV-27-0148</x:v>
      </x:c>
      <x:c r="C153" s="25" t="n">
        <x:f>IFERROR(IF(OR(MID(TRIM('Raw Actuals'!C153),5,1)="-",MID(TRIM('Raw Actuals'!C153),5,1)="/"),DATE(VALUE(LEFT(TRIM('Raw Actuals'!C153),4)),VALUE(MID(TRIM('Raw Actuals'!C153),6,2)),VALUE(RIGHT(TRIM('Raw Actuals'!C153),2))),IF(LEN(TRIM('Raw Actuals'!C153))=10,DATE(VALUE(RIGHT(TRIM('Raw Actuals'!C153),4)),VALUE(MID(TRIM('Raw Actuals'!C153),4,2)),VALUE(LEFT(TRIM('Raw Actuals'!C153),2))),IF(LEN(TRIM('Raw Actuals'!C153))=8,DATE(2000+VALUE(RIGHT(TRIM('Raw Actuals'!C153),2)),VALUE(MID(TRIM('Raw Actuals'!C153),4,2)),VALUE(LEFT(TRIM('Raw Actuals'!C153),2))),""))),"")</x:f>
        <x:v>46455</x:v>
      </x:c>
      <x:c r="D153" t="str">
        <x:f>IF(OR(UPPER(TRIM('Raw Actuals'!D153))="CATERING",UPPER(TRIM('Raw Actuals'!D153))="WORKSHOP CATERING",UPPER(TRIM('Raw Actuals'!D153))="MEALS",UPPER(TRIM('Raw Actuals'!D153))="CATERNG"),"Catering",IF(OR(UPPER(TRIM('Raw Actuals'!D153))="TRANSPORT",UPPER(TRIM('Raw Actuals'!D153))="LEARNER TRANSPORT",UPPER(TRIM('Raw Actuals'!D153))="TAXIS",UPPER(TRIM('Raw Actuals'!D153))="LEARNER TAXI"),"Transport",IF(OR(UPPER(TRIM('Raw Actuals'!D153))="FACILITATION",UPPER(TRIM('Raw Actuals'!D153))="CHAMPION PAYMENTS",UPPER(TRIM('Raw Actuals'!D153))="STIPENDS",UPPER(TRIM('Raw Actuals'!D153))="FACILITATOR FEE"),"Facilitation",IF(OR(UPPER(TRIM('Raw Actuals'!D153))="MATERIALS",UPPER(TRIM('Raw Actuals'!D153))="WORKSHOP MATERIALS",UPPER(TRIM('Raw Actuals'!D153))="MATERIALS / SUPPLIES"),"Materials",IF(OR(UPPER(TRIM('Raw Actuals'!D153))="PRINTING",UPPER(TRIM('Raw Actuals'!D153))="PRINT &amp; CONSENT",UPPER(TRIM('Raw Actuals'!D153))="PRINTING AND CONSENT"),"Printing",IF(OR(UPPER(TRIM('Raw Actuals'!D153))="TRAINING",UPPER(TRIM('Raw Actuals'!D153))="CHAMPION TRAINING",UPPER(TRIM('Raw Actuals'!D153))="FACILITATOR TRAINING"),"Training",IF(OR(UPPER(TRIM('Raw Actuals'!D153))="SITE VISITS",UPPER(TRIM('Raw Actuals'!D153))="SITE VISIT",UPPER(TRIM('Raw Actuals'!D153))="TRAVEL AND SITE VISITS"),"Site visits",IF(OR(UPPER(TRIM('Raw Actuals'!D153))="EVENTS",UPPER(TRIM('Raw Actuals'!D153))="RECOGNITION EVENT",UPPER(TRIM('Raw Actuals'!D153))="BADGE CEREMONY"),"Events",IF(OR(UPPER(TRIM('Raw Actuals'!D153))="VENUE",UPPER(TRIM('Raw Actuals'!D153))="VENUE HIRE",UPPER(TRIM('Raw Actuals'!D153))="TRAINING VENUE"),"Venue",IF(OR(UPPER(TRIM('Raw Actuals'!D153))="ADMINISTRATION",UPPER(TRIM('Raw Actuals'!D153))="ADMIN",UPPER(TRIM('Raw Actuals'!D153))="OPERATIONAL SUPPORT"),"Administration","Review"))))))))))</x:f>
        <x:v>Site visits</x:v>
      </x:c>
      <x:c r="E153" t="str">
        <x:f>IF(TRIM('Raw Actuals'!E153)="","Missing",PROPER(TRIM('Raw Actuals'!E153)))</x:f>
        <x:v>Bright Print Studio</x:v>
      </x:c>
      <x:c r="F153" t="str">
        <x:f>TRIM('Raw Actuals'!F153)</x:f>
        <x:v>Site visits expense 148</x:v>
      </x:c>
      <x:c r="G153" s="26" t="n">
        <x:v>9745</x:v>
      </x:c>
      <x:c r="H153" t="str">
        <x:f>IF(OR(UPPER(TRIM('Raw Actuals'!H153))="PAID",UPPER(TRIM('Raw Actuals'!H153))="PAID "),"Paid",IF(UPPER(TRIM('Raw Actuals'!H153))="APPROVED","Approved",IF(OR(UPPER(TRIM('Raw Actuals'!H153))="SUBMITTED",UPPER(TRIM('Raw Actuals'!H153))="PENDING"),"Submitted",IF(UPPER(TRIM('Raw Actuals'!H153))="REJECTED","Rejected","Review"))))</x:f>
        <x:v>Submitted</x:v>
      </x:c>
      <x:c r="I153" t="str">
        <x:f>IF(OR(H153="Paid",H153="Approved"),"Include","Exclude")</x:f>
        <x:v>Exclude</x:v>
      </x:c>
      <x:c r="J153" t="str">
        <x:f>IF(B153="","Missing invoice",IF(COUNTIF($B$6:B153,B153)&gt;1,"Duplicate","Unique"))</x:f>
        <x:v>Unique</x:v>
      </x:c>
      <x:c r="K153" s="17" t="str">
        <x:f>IF(A153="","Missing ID; ","")&amp;IF(B153="","Missing invoice; ","")&amp;IF(C153="","Invalid date; ","")&amp;IF(D153="Review","Unmapped category; ","")&amp;IF(E153="Missing","Missing supplier; ","")&amp;IF(OR(G153="",G153&lt;=0),"Invalid amount; ","")&amp;IF(H153="Review","Invalid payment state; ","")&amp;IF(J153="Duplicate","Duplicate invoice; ","")</x:f>
      </x:c>
      <x:c r="L153" t="str">
        <x:f>IF(K153="","Ready","Review")</x:f>
        <x:v>Ready</x:v>
      </x:c>
      <x:c r="M153" s="26" t="n">
        <x:f>IF(AND(L153="Ready",I153="Include"),G153,0)</x:f>
        <x:v>0</x:v>
      </x:c>
    </x:row>
    <x:row r="154">
      <x:c r="A154" t="str">
        <x:f>UPPER(TRIM('Raw Actuals'!A154))</x:f>
        <x:v>TXN-27-0149</x:v>
      </x:c>
      <x:c r="B154" t="str">
        <x:f>UPPER(TRIM('Raw Actuals'!B154))</x:f>
        <x:v>INV-27-0149</x:v>
      </x:c>
      <x:c r="C154" s="25" t="n">
        <x:f>IFERROR(IF(OR(MID(TRIM('Raw Actuals'!C154),5,1)="-",MID(TRIM('Raw Actuals'!C154),5,1)="/"),DATE(VALUE(LEFT(TRIM('Raw Actuals'!C154),4)),VALUE(MID(TRIM('Raw Actuals'!C154),6,2)),VALUE(RIGHT(TRIM('Raw Actuals'!C154),2))),IF(LEN(TRIM('Raw Actuals'!C154))=10,DATE(VALUE(RIGHT(TRIM('Raw Actuals'!C154),4)),VALUE(MID(TRIM('Raw Actuals'!C154),4,2)),VALUE(LEFT(TRIM('Raw Actuals'!C154),2))),IF(LEN(TRIM('Raw Actuals'!C154))=8,DATE(2000+VALUE(RIGHT(TRIM('Raw Actuals'!C154),2)),VALUE(MID(TRIM('Raw Actuals'!C154),4,2)),VALUE(LEFT(TRIM('Raw Actuals'!C154),2))),""))),"")</x:f>
        <x:v>46438</x:v>
      </x:c>
      <x:c r="D154" t="str">
        <x:f>IF(OR(UPPER(TRIM('Raw Actuals'!D154))="CATERING",UPPER(TRIM('Raw Actuals'!D154))="WORKSHOP CATERING",UPPER(TRIM('Raw Actuals'!D154))="MEALS",UPPER(TRIM('Raw Actuals'!D154))="CATERNG"),"Catering",IF(OR(UPPER(TRIM('Raw Actuals'!D154))="TRANSPORT",UPPER(TRIM('Raw Actuals'!D154))="LEARNER TRANSPORT",UPPER(TRIM('Raw Actuals'!D154))="TAXIS",UPPER(TRIM('Raw Actuals'!D154))="LEARNER TAXI"),"Transport",IF(OR(UPPER(TRIM('Raw Actuals'!D154))="FACILITATION",UPPER(TRIM('Raw Actuals'!D154))="CHAMPION PAYMENTS",UPPER(TRIM('Raw Actuals'!D154))="STIPENDS",UPPER(TRIM('Raw Actuals'!D154))="FACILITATOR FEE"),"Facilitation",IF(OR(UPPER(TRIM('Raw Actuals'!D154))="MATERIALS",UPPER(TRIM('Raw Actuals'!D154))="WORKSHOP MATERIALS",UPPER(TRIM('Raw Actuals'!D154))="MATERIALS / SUPPLIES"),"Materials",IF(OR(UPPER(TRIM('Raw Actuals'!D154))="PRINTING",UPPER(TRIM('Raw Actuals'!D154))="PRINT &amp; CONSENT",UPPER(TRIM('Raw Actuals'!D154))="PRINTING AND CONSENT"),"Printing",IF(OR(UPPER(TRIM('Raw Actuals'!D154))="TRAINING",UPPER(TRIM('Raw Actuals'!D154))="CHAMPION TRAINING",UPPER(TRIM('Raw Actuals'!D154))="FACILITATOR TRAINING"),"Training",IF(OR(UPPER(TRIM('Raw Actuals'!D154))="SITE VISITS",UPPER(TRIM('Raw Actuals'!D154))="SITE VISIT",UPPER(TRIM('Raw Actuals'!D154))="TRAVEL AND SITE VISITS"),"Site visits",IF(OR(UPPER(TRIM('Raw Actuals'!D154))="EVENTS",UPPER(TRIM('Raw Actuals'!D154))="RECOGNITION EVENT",UPPER(TRIM('Raw Actuals'!D154))="BADGE CEREMONY"),"Events",IF(OR(UPPER(TRIM('Raw Actuals'!D154))="VENUE",UPPER(TRIM('Raw Actuals'!D154))="VENUE HIRE",UPPER(TRIM('Raw Actuals'!D154))="TRAINING VENUE"),"Venue",IF(OR(UPPER(TRIM('Raw Actuals'!D154))="ADMINISTRATION",UPPER(TRIM('Raw Actuals'!D154))="ADMIN",UPPER(TRIM('Raw Actuals'!D154))="OPERATIONAL SUPPORT"),"Administration","Review"))))))))))</x:f>
        <x:v>Materials</x:v>
      </x:c>
      <x:c r="E154" t="str">
        <x:f>IF(TRIM('Raw Actuals'!E154)="","Missing",PROPER(TRIM('Raw Actuals'!E154)))</x:f>
        <x:v>Thuto Facilitation</x:v>
      </x:c>
      <x:c r="F154" t="str">
        <x:f>TRIM('Raw Actuals'!F154)</x:f>
        <x:v>Materials expense 149</x:v>
      </x:c>
      <x:c r="G154" s="26" t="n">
        <x:v>2484</x:v>
      </x:c>
      <x:c r="H154" t="str">
        <x:f>IF(OR(UPPER(TRIM('Raw Actuals'!H154))="PAID",UPPER(TRIM('Raw Actuals'!H154))="PAID "),"Paid",IF(UPPER(TRIM('Raw Actuals'!H154))="APPROVED","Approved",IF(OR(UPPER(TRIM('Raw Actuals'!H154))="SUBMITTED",UPPER(TRIM('Raw Actuals'!H154))="PENDING"),"Submitted",IF(UPPER(TRIM('Raw Actuals'!H154))="REJECTED","Rejected","Review"))))</x:f>
        <x:v>Approved</x:v>
      </x:c>
      <x:c r="I154" t="str">
        <x:f>IF(OR(H154="Paid",H154="Approved"),"Include","Exclude")</x:f>
        <x:v>Include</x:v>
      </x:c>
      <x:c r="J154" t="str">
        <x:f>IF(B154="","Missing invoice",IF(COUNTIF($B$6:B154,B154)&gt;1,"Duplicate","Unique"))</x:f>
        <x:v>Unique</x:v>
      </x:c>
      <x:c r="K154" s="17" t="str">
        <x:f>IF(A154="","Missing ID; ","")&amp;IF(B154="","Missing invoice; ","")&amp;IF(C154="","Invalid date; ","")&amp;IF(D154="Review","Unmapped category; ","")&amp;IF(E154="Missing","Missing supplier; ","")&amp;IF(OR(G154="",G154&lt;=0),"Invalid amount; ","")&amp;IF(H154="Review","Invalid payment state; ","")&amp;IF(J154="Duplicate","Duplicate invoice; ","")</x:f>
      </x:c>
      <x:c r="L154" t="str">
        <x:f>IF(K154="","Ready","Review")</x:f>
        <x:v>Ready</x:v>
      </x:c>
      <x:c r="M154" s="26" t="n">
        <x:f>IF(AND(L154="Ready",I154="Include"),G154,0)</x:f>
        <x:v>2484</x:v>
      </x:c>
    </x:row>
    <x:row r="155">
      <x:c r="A155" t="str">
        <x:f>UPPER(TRIM('Raw Actuals'!A155))</x:f>
        <x:v>TXN-27-0150</x:v>
      </x:c>
      <x:c r="B155" t="str">
        <x:f>UPPER(TRIM('Raw Actuals'!B155))</x:f>
        <x:v>INV-27-0150</x:v>
      </x:c>
      <x:c r="C155" s="25" t="n">
        <x:f>IFERROR(IF(OR(MID(TRIM('Raw Actuals'!C155),5,1)="-",MID(TRIM('Raw Actuals'!C155),5,1)="/"),DATE(VALUE(LEFT(TRIM('Raw Actuals'!C155),4)),VALUE(MID(TRIM('Raw Actuals'!C155),6,2)),VALUE(RIGHT(TRIM('Raw Actuals'!C155),2))),IF(LEN(TRIM('Raw Actuals'!C155))=10,DATE(VALUE(RIGHT(TRIM('Raw Actuals'!C155),4)),VALUE(MID(TRIM('Raw Actuals'!C155),4,2)),VALUE(LEFT(TRIM('Raw Actuals'!C155),2))),IF(LEN(TRIM('Raw Actuals'!C155))=8,DATE(2000+VALUE(RIGHT(TRIM('Raw Actuals'!C155),2)),VALUE(MID(TRIM('Raw Actuals'!C155),4,2)),VALUE(LEFT(TRIM('Raw Actuals'!C155),2))),""))),"")</x:f>
        <x:v>46391</x:v>
      </x:c>
      <x:c r="D155" t="str">
        <x:f>IF(OR(UPPER(TRIM('Raw Actuals'!D155))="CATERING",UPPER(TRIM('Raw Actuals'!D155))="WORKSHOP CATERING",UPPER(TRIM('Raw Actuals'!D155))="MEALS",UPPER(TRIM('Raw Actuals'!D155))="CATERNG"),"Catering",IF(OR(UPPER(TRIM('Raw Actuals'!D155))="TRANSPORT",UPPER(TRIM('Raw Actuals'!D155))="LEARNER TRANSPORT",UPPER(TRIM('Raw Actuals'!D155))="TAXIS",UPPER(TRIM('Raw Actuals'!D155))="LEARNER TAXI"),"Transport",IF(OR(UPPER(TRIM('Raw Actuals'!D155))="FACILITATION",UPPER(TRIM('Raw Actuals'!D155))="CHAMPION PAYMENTS",UPPER(TRIM('Raw Actuals'!D155))="STIPENDS",UPPER(TRIM('Raw Actuals'!D155))="FACILITATOR FEE"),"Facilitation",IF(OR(UPPER(TRIM('Raw Actuals'!D155))="MATERIALS",UPPER(TRIM('Raw Actuals'!D155))="WORKSHOP MATERIALS",UPPER(TRIM('Raw Actuals'!D155))="MATERIALS / SUPPLIES"),"Materials",IF(OR(UPPER(TRIM('Raw Actuals'!D155))="PRINTING",UPPER(TRIM('Raw Actuals'!D155))="PRINT &amp; CONSENT",UPPER(TRIM('Raw Actuals'!D155))="PRINTING AND CONSENT"),"Printing",IF(OR(UPPER(TRIM('Raw Actuals'!D155))="TRAINING",UPPER(TRIM('Raw Actuals'!D155))="CHAMPION TRAINING",UPPER(TRIM('Raw Actuals'!D155))="FACILITATOR TRAINING"),"Training",IF(OR(UPPER(TRIM('Raw Actuals'!D155))="SITE VISITS",UPPER(TRIM('Raw Actuals'!D155))="SITE VISIT",UPPER(TRIM('Raw Actuals'!D155))="TRAVEL AND SITE VISITS"),"Site visits",IF(OR(UPPER(TRIM('Raw Actuals'!D155))="EVENTS",UPPER(TRIM('Raw Actuals'!D155))="RECOGNITION EVENT",UPPER(TRIM('Raw Actuals'!D155))="BADGE CEREMONY"),"Events",IF(OR(UPPER(TRIM('Raw Actuals'!D155))="VENUE",UPPER(TRIM('Raw Actuals'!D155))="VENUE HIRE",UPPER(TRIM('Raw Actuals'!D155))="TRAINING VENUE"),"Venue",IF(OR(UPPER(TRIM('Raw Actuals'!D155))="ADMINISTRATION",UPPER(TRIM('Raw Actuals'!D155))="ADMIN",UPPER(TRIM('Raw Actuals'!D155))="OPERATIONAL SUPPORT"),"Administration","Review"))))))))))</x:f>
        <x:v>Catering</x:v>
      </x:c>
      <x:c r="E155" t="str">
        <x:f>IF(TRIM('Raw Actuals'!E155)="","Missing",PROPER(TRIM('Raw Actuals'!E155)))</x:f>
        <x:v>Moya Supplies</x:v>
      </x:c>
      <x:c r="F155" t="str">
        <x:f>TRIM('Raw Actuals'!F155)</x:f>
        <x:v>Catering expense 150</x:v>
      </x:c>
      <x:c r="G155" s="26" t="n">
        <x:v>2462</x:v>
      </x:c>
      <x:c r="H155" t="str">
        <x:f>IF(OR(UPPER(TRIM('Raw Actuals'!H155))="PAID",UPPER(TRIM('Raw Actuals'!H155))="PAID "),"Paid",IF(UPPER(TRIM('Raw Actuals'!H155))="APPROVED","Approved",IF(OR(UPPER(TRIM('Raw Actuals'!H155))="SUBMITTED",UPPER(TRIM('Raw Actuals'!H155))="PENDING"),"Submitted",IF(UPPER(TRIM('Raw Actuals'!H155))="REJECTED","Rejected","Review"))))</x:f>
        <x:v>Submitted</x:v>
      </x:c>
      <x:c r="I155" t="str">
        <x:f>IF(OR(H155="Paid",H155="Approved"),"Include","Exclude")</x:f>
        <x:v>Exclude</x:v>
      </x:c>
      <x:c r="J155" t="str">
        <x:f>IF(B155="","Missing invoice",IF(COUNTIF($B$6:B155,B155)&gt;1,"Duplicate","Unique"))</x:f>
        <x:v>Unique</x:v>
      </x:c>
      <x:c r="K155" s="17" t="str">
        <x:f>IF(A155="","Missing ID; ","")&amp;IF(B155="","Missing invoice; ","")&amp;IF(C155="","Invalid date; ","")&amp;IF(D155="Review","Unmapped category; ","")&amp;IF(E155="Missing","Missing supplier; ","")&amp;IF(OR(G155="",G155&lt;=0),"Invalid amount; ","")&amp;IF(H155="Review","Invalid payment state; ","")&amp;IF(J155="Duplicate","Duplicate invoice; ","")</x:f>
      </x:c>
      <x:c r="L155" t="str">
        <x:f>IF(K155="","Ready","Review")</x:f>
        <x:v>Ready</x:v>
      </x:c>
      <x:c r="M155" s="26" t="n">
        <x:f>IF(AND(L155="Ready",I155="Include"),G155,0)</x:f>
        <x:v>0</x:v>
      </x:c>
    </x:row>
  </x:sheetData>
  <x:conditionalFormatting sqref="L6:L155">
    <x:cfRule type="containsText" dxfId="2" priority="1" operator="containsText" text="Review"/>
  </x:conditionalFormatting>
  <x:conditionalFormatting sqref="I6:I155">
    <x:cfRule type="containsText" dxfId="3" priority="2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0d5c4eec4eba4f0c"/>
  </x:tableParts>
</x:worksheet>
</file>

<file path=xl/worksheets/sheet8.xml><?xml version="1.0" encoding="utf-8"?>
<x:worksheet xmlns:x="http://schemas.openxmlformats.org/spreadsheetml/2006/main">
  <x:sheetPr>
    <x:tabColor rgb="FF50786B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0" hidden="0" customWidth="1"/>
    <x:col min="4" max="4" width="38" hidden="0" customWidth="1"/>
    <x:col min="5" max="5" width="28" hidden="0" customWidth="1"/>
    <x:col min="6" max="6" width="40" hidden="0" customWidth="1"/>
    <x:col min="7" max="7" width="37" hidden="0" customWidth="1"/>
  </x:cols>
  <x:sheetData>
    <x:row r="1">
      <x:c r="A1" s="1" t="str">
        <x:v>Financial Data Model and Controls</x:v>
      </x:c>
    </x:row>
    <x:row r="2">
      <x:c r="A2" s="2" t="str">
        <x:v>Source records, operational drivers, budget lines and actual transactions connect through stable keys and reporting periods</x:v>
      </x:c>
    </x:row>
    <x:row r="5" ht="30" customHeight="1">
      <x:c r="A5" s="12" t="str">
        <x:v>Entity</x:v>
      </x:c>
      <x:c r="B5" s="12" t="str">
        <x:v>Primary key</x:v>
      </x:c>
      <x:c r="C5" s="12" t="str">
        <x:v>Core fields</x:v>
      </x:c>
      <x:c r="D5" s="12" t="str">
        <x:v>Relationship</x:v>
      </x:c>
      <x:c r="E5" s="12" t="str">
        <x:v>Grain</x:v>
      </x:c>
      <x:c r="F5" s="12" t="str">
        <x:v>Quality control</x:v>
      </x:c>
      <x:c r="G5" s="12" t="str">
        <x:v>Use in model</x:v>
      </x:c>
    </x:row>
    <x:row r="6" ht="44" customHeight="1">
      <x:c r="A6" s="17" t="str">
        <x:v>Scenario driver</x:v>
      </x:c>
      <x:c r="B6" s="17" t="str">
        <x:v>driver_id</x:v>
      </x:c>
      <x:c r="C6" s="17" t="str">
        <x:v>scenario; driver; value; effective year</x:v>
      </x:c>
      <x:c r="D6" s="17" t="str">
        <x:v>One scenario to many drivers</x:v>
      </x:c>
      <x:c r="E6" s="17" t="str">
        <x:v>One driver per scenario</x:v>
      </x:c>
      <x:c r="F6" s="17" t="str">
        <x:v>One active selection per driver</x:v>
      </x:c>
      <x:c r="G6" s="17" t="str">
        <x:v>Feeds Activity Plan calculations</x:v>
      </x:c>
    </x:row>
    <x:row r="7" ht="44" customHeight="1">
      <x:c r="A7" s="17" t="str">
        <x:v>Monthly plan</x:v>
      </x:c>
      <x:c r="B7" s="17" t="str">
        <x:v>period_id</x:v>
      </x:c>
      <x:c r="C7" s="17" t="str">
        <x:v>month; sessions; training; visits; events</x:v>
      </x:c>
      <x:c r="D7" s="17" t="str">
        <x:v>One month to many plan lines</x:v>
      </x:c>
      <x:c r="E7" s="17" t="str">
        <x:v>One row per month</x:v>
      </x:c>
      <x:c r="F7" s="17" t="str">
        <x:v>Month unique; monthly totals reconcile to annual drivers</x:v>
      </x:c>
      <x:c r="G7" s="17" t="str">
        <x:v>Builds scenario forecast</x:v>
      </x:c>
    </x:row>
    <x:row r="8" ht="44" customHeight="1">
      <x:c r="A8" s="17" t="str">
        <x:v>Budget line</x:v>
      </x:c>
      <x:c r="B8" s="17" t="str">
        <x:v>budget_line_id</x:v>
      </x:c>
      <x:c r="C8" s="17" t="str">
        <x:v>category; approved amount; fiscal year</x:v>
      </x:c>
      <x:c r="D8" s="17" t="str">
        <x:v>One budget line to many transactions</x:v>
      </x:c>
      <x:c r="E8" s="17" t="str">
        <x:v>One row per cost category per year</x:v>
      </x:c>
      <x:c r="F8" s="17" t="str">
        <x:v>Approved amount is non-negative and authorized</x:v>
      </x:c>
      <x:c r="G8" s="17" t="str">
        <x:v>Budget ceiling</x:v>
      </x:c>
    </x:row>
    <x:row r="9" ht="44" customHeight="1">
      <x:c r="A9" s="17" t="str">
        <x:v>Actual transaction</x:v>
      </x:c>
      <x:c r="B9" s="17" t="str">
        <x:v>transaction_id</x:v>
      </x:c>
      <x:c r="C9" s="17" t="str">
        <x:v>invoice; date; category; amount; payment state</x:v>
      </x:c>
      <x:c r="D9" s="17" t="str">
        <x:v>Many transactions to one budget category and month</x:v>
      </x:c>
      <x:c r="E9" s="17" t="str">
        <x:v>One row per invoice transaction</x:v>
      </x:c>
      <x:c r="F9" s="17" t="str">
        <x:v>Invoice key unique; category mapped; date and amount valid</x:v>
      </x:c>
      <x:c r="G9" s="17" t="str">
        <x:v>Actuals and EAC</x:v>
      </x:c>
    </x:row>
    <x:row r="10" ht="44" customHeight="1">
      <x:c r="A10" s="17" t="str">
        <x:v>Activity session</x:v>
      </x:c>
      <x:c r="B10" s="17" t="str">
        <x:v>activity_id</x:v>
      </x:c>
      <x:c r="C10" s="17" t="str">
        <x:v>month; school; attendance; unit rates</x:v>
      </x:c>
      <x:c r="D10" s="17" t="str">
        <x:v>Many sessions summarized to month and cost category</x:v>
      </x:c>
      <x:c r="E10" s="17" t="str">
        <x:v>One row per delivery session</x:v>
      </x:c>
      <x:c r="F10" s="17" t="str">
        <x:v>Volume and unit rates trace to approved assumptions</x:v>
      </x:c>
      <x:c r="G10" s="17" t="str">
        <x:v>Cost forecast</x:v>
      </x:c>
    </x:row>
    <x:row r="11" ht="44" customHeight="1">
      <x:c r="A11" s="17" t="str">
        <x:v>Clean actual</x:v>
      </x:c>
      <x:c r="B11" s="17" t="str">
        <x:v>transaction_id</x:v>
      </x:c>
      <x:c r="C11" s="17" t="str">
        <x:v>normalized fields; quality; spend treatment</x:v>
      </x:c>
      <x:c r="D11" s="17" t="str">
        <x:v>One raw row to one clean row</x:v>
      </x:c>
      <x:c r="E11" s="17" t="str">
        <x:v>One row per source transaction</x:v>
      </x:c>
      <x:c r="F11" s="17" t="str">
        <x:v>Ready records only; paid/approved spend included</x:v>
      </x:c>
      <x:c r="G11" s="17" t="str">
        <x:v>Reconciled actuals</x:v>
      </x:c>
    </x:row>
    <x:row r="12" ht="44" customHeight="1">
      <x:c r="A12" s="17" t="str">
        <x:v>Monthly forecast</x:v>
      </x:c>
      <x:c r="B12" s="17" t="str">
        <x:v>period_id + category</x:v>
      </x:c>
      <x:c r="C12" s="17" t="str">
        <x:v>forecast amount; actual amount; variance</x:v>
      </x:c>
      <x:c r="D12" s="17" t="str">
        <x:v>Month and category aggregate from plan and actuals</x:v>
      </x:c>
      <x:c r="E12" s="17" t="str">
        <x:v>One month per reporting row</x:v>
      </x:c>
      <x:c r="F12" s="17" t="str">
        <x:v>Actuals do not overlap forecast-to-complete after cut-off</x:v>
      </x:c>
      <x:c r="G12" s="17" t="str">
        <x:v>Monthly monitoring</x:v>
      </x:c>
    </x:row>
    <x:row r="13" ht="44" customHeight="1">
      <x:c r="A13" s="17" t="str">
        <x:v>EAC summary</x:v>
      </x:c>
      <x:c r="B13" s="17" t="str">
        <x:v>budget_line_id</x:v>
      </x:c>
      <x:c r="C13" s="17" t="str">
        <x:v>actuals to cut-off; forecast to complete; variance</x:v>
      </x:c>
      <x:c r="D13" s="17" t="str">
        <x:v>One budget line to one EAC result</x:v>
      </x:c>
      <x:c r="E13" s="17" t="str">
        <x:v>One row per cost category</x:v>
      </x:c>
      <x:c r="F13" s="17" t="str">
        <x:v>EAC = actuals to cut-off + remaining forecast</x:v>
      </x:c>
      <x:c r="G13" s="17" t="str">
        <x:v>Forecast decision view</x:v>
      </x:c>
    </x:row>
  </x:sheetData>
  <x:pageMargins left="0.7" right="0.7" top="0.75" bottom="0.75" header="0.3" footer="0.3"/>
  <x:tableParts count="1">
    <x:tablePart xmlns:r="http://schemas.openxmlformats.org/officeDocument/2006/relationships" r:id="R6f395f729a3c4078"/>
  </x:tableParts>
</x:worksheet>
</file>