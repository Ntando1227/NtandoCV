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d0e03e83b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0ecc3038a1463c"/>
    <x:sheet xmlns:r="http://schemas.openxmlformats.org/officeDocument/2006/relationships" name="Raw Sales" sheetId="2" r:id="Rb615107fca9d412a"/>
    <x:sheet xmlns:r="http://schemas.openxmlformats.org/officeDocument/2006/relationships" name="Cleaned Sales" sheetId="3" r:id="R35d7c93c6eb146e2"/>
    <x:sheet xmlns:r="http://schemas.openxmlformats.org/officeDocument/2006/relationships" name="SQL Examples" sheetId="4" r:id="Rc751bb033ee34779"/>
    <x:sheet xmlns:r="http://schemas.openxmlformats.org/officeDocument/2006/relationships" name="Data Dictionary" sheetId="5" r:id="R0e5cfaca8b94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&quot;R&quot;#,##0.00;[Red](&quot;R&quot;#,##0.00);-"/>
    <x:numFmt numFmtId="202" formatCode="dd-mmm-yyyy"/>
    <x:numFmt numFmtId="203" formatCode="0"/>
    <x:numFmt numFmtId="204" formatCode="&quot;R&quot;#,##0.00"/>
    <x:numFmt numFmtId="205" formatCode="0.0%"/>
    <x:numFmt numFmtId="206" formatCode="&quot;R&quot;#,##0"/>
  </x:numFmts>
  <x:fonts count="6">
    <x:font>
      <x:sz val="11"/>
      <x:name val="Carlito"/>
    </x:font>
    <x:font>
      <x:b/>
      <x:sz val="14"/>
      <x:color rgb="FF1D3430"/>
      <x:name val="Arial"/>
    </x:font>
    <x:font>
      <x:i/>
      <x:sz val="9"/>
      <x:color rgb="FF5E6B64"/>
      <x:name val="Arial"/>
    </x:font>
    <x:font>
      <x:b/>
      <x:sz val="10"/>
      <x:color rgb="FFFFFFFF"/>
      <x:name val="Arial"/>
    </x:font>
    <x:font>
      <x:b/>
      <x:sz val="10"/>
      <x:color rgb="FF1D3430"/>
      <x:name val="Arial"/>
    </x:font>
    <x:font>
      <x:b/>
      <x:sz val="12"/>
      <x:color rgb="FF1D343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3430"/>
      </x:patternFill>
    </x:fill>
    <x:fill>
      <x:patternFill patternType="solid">
        <x:fgColor rgb="FFE8EE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0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C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8ba37fde6412e" /><Relationship Type="http://schemas.openxmlformats.org/officeDocument/2006/relationships/theme" Target="/xl/theme/theme1.xml" Id="R25540b97ba2742bd" /><Relationship Type="http://schemas.openxmlformats.org/officeDocument/2006/relationships/sharedStrings" Target="/xl/sharedStrings.xml" Id="R5ac28254c21249d7" /><Relationship Type="http://schemas.openxmlformats.org/officeDocument/2006/relationships/worksheet" Target="/xl/worksheets/sheet1.xml" Id="R670ecc3038a1463c" /><Relationship Type="http://schemas.openxmlformats.org/officeDocument/2006/relationships/worksheet" Target="/xl/worksheets/sheet2.xml" Id="Rb615107fca9d412a" /><Relationship Type="http://schemas.openxmlformats.org/officeDocument/2006/relationships/worksheet" Target="/xl/worksheets/sheet3.xml" Id="R35d7c93c6eb146e2" /><Relationship Type="http://schemas.openxmlformats.org/officeDocument/2006/relationships/worksheet" Target="/xl/worksheets/sheet4.xml" Id="Rc751bb033ee34779" /><Relationship Type="http://schemas.openxmlformats.org/officeDocument/2006/relationships/worksheet" Target="/xl/worksheets/sheet5.xml" Id="R0e5cfaca8b944ea6" /></Relationships>
</file>

<file path=xl/tables/table1.xml><?xml version="1.0" encoding="utf-8"?>
<x:table xmlns:x="http://schemas.openxmlformats.org/spreadsheetml/2006/main" id="1" name="RawSales" displayName="RawSales" ref="A5:J245" headerRowCount="1" totalsRowCount="0" totalsRowShown="0">
  <x:tableColumns count="10">
    <x:tableColumn id="1" name="Order ID (raw)"/>
    <x:tableColumn id="2" name="School (raw)"/>
    <x:tableColumn id="3" name="Region (raw)"/>
    <x:tableColumn id="4" name="Product (raw)"/>
    <x:tableColumn id="5" name="Units (raw)"/>
    <x:tableColumn id="6" name="Amount (raw)"/>
    <x:tableColumn id="7" name="Order date (raw)"/>
    <x:tableColumn id="8" name="Sales rep (raw)"/>
    <x:tableColumn id="9" name="Payment status (raw)"/>
    <x:tableColumn id="10" name="Source row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edSales" displayName="CleanedSales" ref="A5:M245" headerRowCount="1" totalsRowCount="0" totalsRowShown="0">
  <x:tableColumns count="13">
    <x:tableColumn id="1" name="Order ID"/>
    <x:tableColumn id="2" name="School"/>
    <x:tableColumn id="3" name="Region"/>
    <x:tableColumn id="4" name="Product"/>
    <x:tableColumn id="5" name="Units"/>
    <x:tableColumn id="6" name="Amount (ZAR)"/>
    <x:tableColumn id="7" name="Order date"/>
    <x:tableColumn id="8" name="Sales rep"/>
    <x:tableColumn id="9" name="Payment status"/>
    <x:tableColumn id="10" name="Duplicate key"/>
    <x:tableColumn id="11" name="Issue count"/>
    <x:tableColumn id="12" name="Issue flags"/>
    <x:tableColumn id="13" name="Control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QLWorkflow" displayName="SQLWorkflow" ref="A5:E13" headerRowCount="1" totalsRowCount="0" totalsRowShown="0">
  <x:tableColumns count="5">
    <x:tableColumn id="1" name="Step"/>
    <x:tableColumn id="2" name="Purpose"/>
    <x:tableColumn id="3" name="Illustrative T-SQL"/>
    <x:tableColumn id="4" name="Expected result"/>
    <x:tableColumn id="5" name="Workbook tab / 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" displayName="DataDictionary" ref="A5:E15" headerRowCount="1" totalsRowCount="0" totalsRowShown="0">
  <x:tableColumns count="5">
    <x:tableColumn id="1" name="Field / mapping"/>
    <x:tableColumn id="2" name="Business meaning"/>
    <x:tableColumn id="3" name="Expected format"/>
    <x:tableColumn id="4" name="Rule and exception handling"/>
    <x:tableColumn id="5" name="Source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ionMapping" displayName="RegionMapping" ref="G5:J10" headerRowCount="1" totalsRowCount="0" totalsRowShown="0">
  <x:tableColumns count="4">
    <x:tableColumn id="1" name="Region source alias"/>
    <x:tableColumn id="2" name="Normalized region"/>
    <x:tableColumn id="3" name="Accepted?"/>
    <x:tableColumn id="4" name="Owner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3b14cd3fad4c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82a6db0a644d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2a7a4bd32747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0db693e56a4b44" /><Relationship Type="http://schemas.openxmlformats.org/officeDocument/2006/relationships/table" Target="/xl/tables/table5.xml" Id="R303c8d1cf3fe4585" /></Relationships>
</file>

<file path=xl/worksheets/sheet1.xml><?xml version="1.0" encoding="utf-8"?>
<x:worksheet xmlns:x="http://schemas.openxmlformats.org/spreadsheetml/2006/main">
  <x:sheetPr>
    <x:tabColor rgb="FF1D3430"/>
  </x:sheetPr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37" hidden="0" customWidth="1"/>
    <x:col min="3" max="3" width="28" hidden="0" customWidth="1"/>
    <x:col min="4" max="4" width="38" hidden="0" customWidth="1"/>
    <x:col min="5" max="5" width="27" hidden="0" customWidth="1"/>
  </x:cols>
  <x:sheetData>
    <x:row r="1">
      <x:c r="A1" s="1" t="str">
        <x:v>Sales Data Quality and Cleaning</x:v>
      </x:c>
    </x:row>
    <x:row r="2">
      <x:c r="A2" s="2" t="str">
        <x:v>240 synthetic sales rows | Raw inputs are preserved; only validated, unique records enter the clean sales total</x:v>
      </x:c>
    </x:row>
    <x:row r="4" ht="30" customHeight="1">
      <x:c r="A4" s="14" t="str">
        <x:v>Source rows</x:v>
      </x:c>
      <x:c r="B4" s="17" t="n">
        <x:f>COUNTA('Raw Sales'!$J$6:$J$245)</x:f>
        <x:v>240</x:v>
      </x:c>
      <x:c r="D4" s="7" t="str">
        <x:v>Region</x:v>
      </x:c>
      <x:c r="E4" s="7" t="str">
        <x:v>Qualified sales (ZAR)</x:v>
      </x:c>
    </x:row>
    <x:row r="5">
      <x:c r="A5" s="14" t="str">
        <x:v>Ready rows</x:v>
      </x:c>
      <x:c r="B5" s="17" t="n">
        <x:f>COUNTIF('Cleaned Sales'!$M$6:$M$245,"Ready")</x:f>
        <x:v>187</x:v>
      </x:c>
      <x:c r="D5" t="str">
        <x:v>Bochum</x:v>
      </x:c>
      <x:c r="E5" s="20" t="n">
        <x:f>SUMIFS('Cleaned Sales'!$F$6:$F$245,'Cleaned Sales'!$C$6:$C$245,D5,'Cleaned Sales'!$M$6:$M$245,"Ready")</x:f>
        <x:v>159703</x:v>
      </x:c>
    </x:row>
    <x:row r="6">
      <x:c r="A6" s="14" t="str">
        <x:v>Rows needing review</x:v>
      </x:c>
      <x:c r="B6" s="17" t="n">
        <x:f>COUNTIF('Cleaned Sales'!$M$6:$M$245,"Review")</x:f>
        <x:v>53</x:v>
      </x:c>
      <x:c r="D6" t="str">
        <x:v>Eldorado</x:v>
      </x:c>
      <x:c r="E6" s="20" t="n">
        <x:f>SUMIFS('Cleaned Sales'!$F$6:$F$245,'Cleaned Sales'!$C$6:$C$245,D6,'Cleaned Sales'!$M$6:$M$245,"Ready")</x:f>
        <x:v>224381</x:v>
      </x:c>
    </x:row>
    <x:row r="7">
      <x:c r="A7" s="14" t="str">
        <x:v>Duplicate order IDs</x:v>
      </x:c>
      <x:c r="B7" s="17" t="n">
        <x:f>COUNTIF('Cleaned Sales'!$J$6:$J$245,"Duplicate")</x:f>
        <x:v>6</x:v>
      </x:c>
    </x:row>
    <x:row r="8">
      <x:c r="A8" s="14" t="str">
        <x:v>Invalid dates</x:v>
      </x:c>
      <x:c r="B8" s="17" t="n">
        <x:f>COUNTBLANK('Cleaned Sales'!$G$6:$G$245)</x:f>
        <x:v>7</x:v>
      </x:c>
    </x:row>
    <x:row r="9">
      <x:c r="A9" s="14" t="str">
        <x:v>Unmapped categories</x:v>
      </x:c>
      <x:c r="B9" s="17" t="n">
        <x:f>COUNTIF('Cleaned Sales'!$C$6:$C$245,"Review")</x:f>
        <x:v>5</x:v>
      </x:c>
    </x:row>
    <x:row r="10">
      <x:c r="A10" s="14" t="str">
        <x:v>Qualified sales total (ZAR)</x:v>
      </x:c>
      <x:c r="B10" s="18" t="n">
        <x:f>SUMIFS('Cleaned Sales'!$F$6:$F$245,'Cleaned Sales'!$M$6:$M$245,"Ready")</x:f>
        <x:v>384084</x:v>
      </x:c>
    </x:row>
    <x:row r="11">
      <x:c r="A11" s="14" t="str">
        <x:v>Quality pass rate</x:v>
      </x:c>
      <x:c r="B11" s="19" t="n">
        <x:f>IFERROR(B5/B4,0)</x:f>
        <x:v>0.7791666666666667</x:v>
      </x:c>
    </x:row>
    <x:row r="14" ht="30" customHeight="1">
      <x:c r="A14" s="7" t="str">
        <x:v>Control step</x:v>
      </x:c>
      <x:c r="B14" s="7" t="str">
        <x:v>Rule</x:v>
      </x:c>
      <x:c r="C14" s="7" t="str">
        <x:v>Decision</x:v>
      </x:c>
      <x:c r="D14" s="7" t="str">
        <x:v>Downstream effect</x:v>
      </x:c>
    </x:row>
    <x:row r="15" ht="38" customHeight="1">
      <x:c r="A15" s="12" t="str">
        <x:v>Normalize</x:v>
      </x:c>
      <x:c r="B15" s="12" t="str">
        <x:v>Trim whitespace; standardize case</x:v>
      </x:c>
      <x:c r="C15" s="12" t="str">
        <x:v>Consistent keys and labels</x:v>
      </x:c>
      <x:c r="D15" s="12" t="str">
        <x:v>Prevents variant labels from splitting summaries</x:v>
      </x:c>
    </x:row>
    <x:row r="16" ht="38" customHeight="1">
      <x:c r="A16" s="12" t="str">
        <x:v>Type conversion</x:v>
      </x:c>
      <x:c r="B16" s="12" t="str">
        <x:v>Convert units, amounts and dates</x:v>
      </x:c>
      <x:c r="C16" s="12" t="str">
        <x:v>Invalid values stay in review</x:v>
      </x:c>
      <x:c r="D16" s="12" t="str">
        <x:v>Calculations use typed values</x:v>
      </x:c>
    </x:row>
    <x:row r="17" ht="38" customHeight="1">
      <x:c r="A17" s="12" t="str">
        <x:v>Mapping</x:v>
      </x:c>
      <x:c r="B17" s="12" t="str">
        <x:v>Map only approved regions and payment states</x:v>
      </x:c>
      <x:c r="C17" s="12" t="str">
        <x:v>Unknown categories are not guessed</x:v>
      </x:c>
      <x:c r="D17" s="12" t="str">
        <x:v>New values require mapping review</x:v>
      </x:c>
    </x:row>
    <x:row r="18" ht="38" customHeight="1">
      <x:c r="A18" s="12" t="str">
        <x:v>Duplicate control</x:v>
      </x:c>
      <x:c r="B18" s="12" t="str">
        <x:v>Retain the first normalized order ID; flag later repeats</x:v>
      </x:c>
      <x:c r="C18" s="12" t="str">
        <x:v>No automatic row deletion</x:v>
      </x:c>
      <x:c r="D18" s="12" t="str">
        <x:v>Only unique Ready rows enter totals</x:v>
      </x:c>
    </x:row>
    <x:row r="19" ht="38" customHeight="1">
      <x:c r="A19" s="12" t="str">
        <x:v>Release control</x:v>
      </x:c>
      <x:c r="B19" s="12" t="str">
        <x:v>Row status is Ready only when all checks pass</x:v>
      </x:c>
      <x:c r="C19" s="12" t="str">
        <x:v>Review rows remain visible</x:v>
      </x:c>
      <x:c r="D19" s="12" t="str">
        <x:v>Qualified totals exclude exceptions</x:v>
      </x:c>
    </x:row>
    <x:row r="20" ht="38" customHeight="1">
      <x:c r="A20" s="12" t="str">
        <x:v>SQL equivalent</x:v>
      </x:c>
      <x:c r="B20" s="12" t="str">
        <x:v>Stage → map → validate → rank duplicates → aggregate</x:v>
      </x:c>
      <x:c r="C20" s="12" t="str">
        <x:v>Same rules in the SQL tab</x:v>
      </x:c>
      <x:c r="D20" s="12" t="str">
        <x:v>Makes the workflow transferable to a database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97845"/>
  </x:sheetPr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22" hidden="0" customWidth="1"/>
    <x:col min="4" max="4" width="22" hidden="0" customWidth="1"/>
    <x:col min="5" max="5" width="16" hidden="0" customWidth="1"/>
    <x:col min="6" max="6" width="18" hidden="0" customWidth="1"/>
    <x:col min="7" max="7" width="22" hidden="0" customWidth="1"/>
    <x:col min="8" max="8" width="23" hidden="0" customWidth="1"/>
    <x:col min="9" max="9" width="22" hidden="0" customWidth="1"/>
    <x:col min="10" max="10" width="17" hidden="0" customWidth="1"/>
  </x:cols>
  <x:sheetData>
    <x:row r="1">
      <x:c r="A1" s="1" t="str">
        <x:v>Raw Sales Extract</x:v>
      </x:c>
    </x:row>
    <x:row r="2">
      <x:c r="A2" s="2" t="str">
        <x:v>Synthetic demonstration data with inconsistent casing, spacing, date formats, category labels, missing values, duplicates and invalid amounts</x:v>
      </x:c>
    </x:row>
    <x:row r="5" ht="30" customHeight="1">
      <x:c r="A5" s="7" t="str">
        <x:v>Order ID (raw)</x:v>
      </x:c>
      <x:c r="B5" s="7" t="str">
        <x:v>School (raw)</x:v>
      </x:c>
      <x:c r="C5" s="7" t="str">
        <x:v>Region (raw)</x:v>
      </x:c>
      <x:c r="D5" s="7" t="str">
        <x:v>Product (raw)</x:v>
      </x:c>
      <x:c r="E5" s="7" t="str">
        <x:v>Units (raw)</x:v>
      </x:c>
      <x:c r="F5" s="7" t="str">
        <x:v>Amount (raw)</x:v>
      </x:c>
      <x:c r="G5" s="7" t="str">
        <x:v>Order date (raw)</x:v>
      </x:c>
      <x:c r="H5" s="7" t="str">
        <x:v>Sales rep (raw)</x:v>
      </x:c>
      <x:c r="I5" s="7" t="str">
        <x:v>Payment status (raw)</x:v>
      </x:c>
      <x:c r="J5" s="7" t="str">
        <x:v>Source row ID</x:v>
      </x:c>
    </x:row>
    <x:row r="6">
      <x:c r="A6" t="str">
        <x:v>SAL-26-0001</x:v>
      </x:c>
      <x:c r="B6" t="str">
        <x:v>Crescent Primary</x:v>
      </x:c>
      <x:c r="C6" t="str">
        <x:v>Eldorado</x:v>
      </x:c>
      <x:c r="D6" t="str">
        <x:v>Rulers</x:v>
      </x:c>
      <x:c r="E6" t="str">
        <x:v>8</x:v>
      </x:c>
      <x:c r="F6" t="str">
        <x:v>264</x:v>
      </x:c>
      <x:c r="G6" t="str">
        <x:v>03/02/26</x:v>
      </x:c>
      <x:c r="H6" t="str">
        <x:v>Thabo Ndlovu</x:v>
      </x:c>
      <x:c r="I6" t="str">
        <x:v>Pending</x:v>
      </x:c>
      <x:c r="J6" t="str">
        <x:v>SRC-0001</x:v>
      </x:c>
    </x:row>
    <x:row r="7">
      <x:c r="A7" t="str">
        <x:v>SAL-26-0002</x:v>
      </x:c>
      <x:c r="B7" t="str">
        <x:v>Hillview Primary</x:v>
      </x:c>
      <x:c r="C7" t="str">
        <x:v>Bochum</x:v>
      </x:c>
      <x:c r="D7" t="str">
        <x:v>Exercise books</x:v>
      </x:c>
      <x:c r="E7" t="str">
        <x:v>15</x:v>
      </x:c>
      <x:c r="F7" t="str">
        <x:v>690</x:v>
      </x:c>
      <x:c r="G7" t="str">
        <x:v>04-03-2026</x:v>
      </x:c>
      <x:c r="H7" t="str">
        <x:v>Lebo Nkosi</x:v>
      </x:c>
      <x:c r="I7" t="str">
        <x:v>Complete</x:v>
      </x:c>
      <x:c r="J7" t="str">
        <x:v>SRC-0002</x:v>
      </x:c>
    </x:row>
    <x:row r="8">
      <x:c r="A8" t="str">
        <x:v>SAL-26-0003</x:v>
      </x:c>
      <x:c r="B8" t="str">
        <x:v>Eastwood Academy</x:v>
      </x:c>
      <x:c r="C8" t="str">
        <x:v>Eldorado</x:v>
      </x:c>
      <x:c r="D8" t="str">
        <x:v>Pencils</x:v>
      </x:c>
      <x:c r="E8" t="str">
        <x:v>22</x:v>
      </x:c>
      <x:c r="F8" t="str">
        <x:v>1298</x:v>
      </x:c>
      <x:c r="G8" t="str">
        <x:v>2026/04/05</x:v>
      </x:c>
      <x:c r="H8" t="str">
        <x:v>Thabo Ndlovu</x:v>
      </x:c>
      <x:c r="I8" t="str">
        <x:v>Paid</x:v>
      </x:c>
      <x:c r="J8" t="str">
        <x:v>SRC-0003</x:v>
      </x:c>
    </x:row>
    <x:row r="9">
      <x:c r="A9" t="str">
        <x:v>SAL-26-0004</x:v>
      </x:c>
      <x:c r="B9" t="str">
        <x:v>Lakeside School</x:v>
      </x:c>
      <x:c r="C9" t="str">
        <x:v>Bochum</x:v>
      </x:c>
      <x:c r="D9" t="str">
        <x:v>Folders</x:v>
      </x:c>
      <x:c r="E9" t="str">
        <x:v>29</x:v>
      </x:c>
      <x:c r="F9" t="str">
        <x:v>2088</x:v>
      </x:c>
      <x:c r="G9" t="str">
        <x:v>2026-05-06</x:v>
      </x:c>
      <x:c r="H9" t="str">
        <x:v>Lebo Nkosi</x:v>
      </x:c>
      <x:c r="I9" t="str">
        <x:v>Pending</x:v>
      </x:c>
      <x:c r="J9" t="str">
        <x:v>SRC-0004</x:v>
      </x:c>
    </x:row>
    <x:row r="10">
      <x:c r="A10" t="str">
        <x:v>SAL-26-0005</x:v>
      </x:c>
      <x:c r="B10" t="str">
        <x:v>Valley Primary</x:v>
      </x:c>
      <x:c r="C10" t="str">
        <x:v>Eldorado</x:v>
      </x:c>
      <x:c r="D10" t="str">
        <x:v>Pens</x:v>
      </x:c>
      <x:c r="E10" t="str">
        <x:v>36</x:v>
      </x:c>
      <x:c r="F10" t="str">
        <x:v>3060</x:v>
      </x:c>
      <x:c r="G10" t="str">
        <x:v>07/06/26</x:v>
      </x:c>
      <x:c r="H10" t="str">
        <x:v>Thabo Ndlovu</x:v>
      </x:c>
      <x:c r="I10" t="str">
        <x:v>Complete</x:v>
      </x:c>
      <x:c r="J10" t="str">
        <x:v>SRC-0005</x:v>
      </x:c>
    </x:row>
    <x:row r="11">
      <x:c r="A11" t="str">
        <x:v>SAL-26-0006</x:v>
      </x:c>
      <x:c r="B11" t="str">
        <x:v>Mhlabeni Secondary</x:v>
      </x:c>
      <x:c r="C11" t="str">
        <x:v>Eldorado</x:v>
      </x:c>
      <x:c r="D11" t="str">
        <x:v>Glue sticks</x:v>
      </x:c>
      <x:c r="E11" t="str">
        <x:v>7</x:v>
      </x:c>
      <x:c r="F11" t="str">
        <x:v>686</x:v>
      </x:c>
      <x:c r="G11" t="str">
        <x:v>08-07-2026</x:v>
      </x:c>
      <x:c r="H11" t="str">
        <x:v>Lebo Nkosi</x:v>
      </x:c>
      <x:c r="I11" t="str">
        <x:v>Paid</x:v>
      </x:c>
      <x:c r="J11" t="str">
        <x:v>SRC-0006</x:v>
      </x:c>
    </x:row>
    <x:row r="12">
      <x:c r="A12" t="str">
        <x:v>SAL-26-0007</x:v>
      </x:c>
      <x:c r="B12" t="str">
        <x:v>Meadowlands School</x:v>
      </x:c>
      <x:c r="C12" t="str">
        <x:v>Bochum</x:v>
      </x:c>
      <x:c r="D12" t="str">
        <x:v>Markers</x:v>
      </x:c>
      <x:c r="E12" t="str">
        <x:v> 14 </x:v>
      </x:c>
      <x:c r="F12" t="str">
        <x:v>1554</x:v>
      </x:c>
      <x:c r="G12" t="str">
        <x:v>2026/08/09</x:v>
      </x:c>
      <x:c r="H12" t="str">
        <x:v>Thabo Ndlovu</x:v>
      </x:c>
      <x:c r="I12" t="str">
        <x:v>Pending</x:v>
      </x:c>
      <x:c r="J12" t="str">
        <x:v>SRC-0007</x:v>
      </x:c>
    </x:row>
    <x:row r="13">
      <x:c r="A13" t="str">
        <x:v>SAL-26-0008</x:v>
      </x:c>
      <x:c r="B13" t="str">
        <x:v>Gardenview School</x:v>
      </x:c>
      <x:c r="C13" t="str">
        <x:v>Eldorado</x:v>
      </x:c>
      <x:c r="D13" t="str">
        <x:v>Notebooks</x:v>
      </x:c>
      <x:c r="E13" t="str">
        <x:v>21</x:v>
      </x:c>
      <x:c r="F13" t="str">
        <x:v>2604</x:v>
      </x:c>
      <x:c r="G13" t="str">
        <x:v>2026-01-10</x:v>
      </x:c>
      <x:c r="H13" t="str">
        <x:v> LEBO NKOSI </x:v>
      </x:c>
      <x:c r="I13" t="str">
        <x:v>Complete</x:v>
      </x:c>
      <x:c r="J13" t="str">
        <x:v>SRC-0008</x:v>
      </x:c>
    </x:row>
    <x:row r="14">
      <x:c r="A14" t="str">
        <x:v>SAL-26-0009</x:v>
      </x:c>
      <x:c r="B14" t="str">
        <x:v>  RIVERSIDE ACADEMY </x:v>
      </x:c>
      <x:c r="C14" t="str">
        <x:v>Bochum</x:v>
      </x:c>
      <x:c r="D14" t="str">
        <x:v>Rulers</x:v>
      </x:c>
      <x:c r="E14" t="str">
        <x:v>28</x:v>
      </x:c>
      <x:c r="F14" t="str">
        <x:v>3836</x:v>
      </x:c>
      <x:c r="G14" t="str">
        <x:v>11/02/26</x:v>
      </x:c>
      <x:c r="H14" t="str">
        <x:v>Thabo Ndlovu</x:v>
      </x:c>
      <x:c r="I14" t="str">
        <x:v>Paid</x:v>
      </x:c>
      <x:c r="J14" t="str">
        <x:v>SRC-0009</x:v>
      </x:c>
    </x:row>
    <x:row r="15">
      <x:c r="A15" t="str">
        <x:v>SAL-26-0010</x:v>
      </x:c>
      <x:c r="B15" t="str">
        <x:v>Maple Secondary</x:v>
      </x:c>
      <x:c r="C15" t="str">
        <x:v>Eldorado</x:v>
      </x:c>
      <x:c r="D15" t="str">
        <x:v>  EXERCISE BOOKS </x:v>
      </x:c>
      <x:c r="E15" t="str">
        <x:v>35</x:v>
      </x:c>
      <x:c r="F15" t="str">
        <x:v>5250</x:v>
      </x:c>
      <x:c r="G15" t="str">
        <x:v>12-03-2026</x:v>
      </x:c>
      <x:c r="H15" t="str">
        <x:v>Lebo Nkosi</x:v>
      </x:c>
      <x:c r="I15" t="str">
        <x:v>Pending</x:v>
      </x:c>
      <x:c r="J15" t="str">
        <x:v>SRC-0010</x:v>
      </x:c>
    </x:row>
    <x:row r="16">
      <x:c r="A16" t="str">
        <x:v>SAL-26-0011</x:v>
      </x:c>
      <x:c r="B16" t="str">
        <x:v>Pinecrest School</x:v>
      </x:c>
      <x:c r="C16" t="str">
        <x:v> BOCHUM REGION </x:v>
      </x:c>
      <x:c r="D16" t="str">
        <x:v>Pencils</x:v>
      </x:c>
      <x:c r="E16" t="str">
        <x:v>6</x:v>
      </x:c>
      <x:c r="F16" t="str">
        <x:v>R978</x:v>
      </x:c>
      <x:c r="G16" t="str">
        <x:v>2026/04/13</x:v>
      </x:c>
      <x:c r="H16" t="str">
        <x:v>Thabo Ndlovu</x:v>
      </x:c>
      <x:c r="I16" t="str">
        <x:v>Complete</x:v>
      </x:c>
      <x:c r="J16" t="str">
        <x:v>SRC-0011</x:v>
      </x:c>
    </x:row>
    <x:row r="17">
      <x:c r="A17" t="str">
        <x:v>SAL-26-0012</x:v>
      </x:c>
      <x:c r="B17" t="str">
        <x:v>Northstar Academy</x:v>
      </x:c>
      <x:c r="C17" t="str">
        <x:v>Bochum</x:v>
      </x:c>
      <x:c r="D17" t="str">
        <x:v>Folders</x:v>
      </x:c>
      <x:c r="E17" t="str">
        <x:v>13</x:v>
      </x:c>
      <x:c r="F17" t="str">
        <x:v>2288</x:v>
      </x:c>
      <x:c r="G17" t="str">
        <x:v>2026-05-14</x:v>
      </x:c>
      <x:c r="H17" t="str">
        <x:v>Lebo Nkosi</x:v>
      </x:c>
      <x:c r="I17" t="str">
        <x:v>Paid</x:v>
      </x:c>
      <x:c r="J17" t="str">
        <x:v>SRC-0012</x:v>
      </x:c>
    </x:row>
    <x:row r="18">
      <x:c r="A18" t="str">
        <x:v>SAL-26-0013</x:v>
      </x:c>
      <x:c r="B18" t="str">
        <x:v>crescent primary</x:v>
      </x:c>
      <x:c r="C18" t="str">
        <x:v>Eldorado</x:v>
      </x:c>
      <x:c r="D18" t="str">
        <x:v>Pens</x:v>
      </x:c>
      <x:c r="E18" t="str">
        <x:v>20</x:v>
      </x:c>
      <x:c r="F18" t="str">
        <x:v> R 3780.00 </x:v>
      </x:c>
      <x:c r="G18" t="str">
        <x:v>15/06/26</x:v>
      </x:c>
      <x:c r="H18" t="str">
        <x:v>Thabo Ndlovu</x:v>
      </x:c>
      <x:c r="I18" t="str">
        <x:v>Pending</x:v>
      </x:c>
      <x:c r="J18" t="str">
        <x:v>SRC-0013</x:v>
      </x:c>
    </x:row>
    <x:row r="19">
      <x:c r="A19" t="str">
        <x:v>SAL-26-0014</x:v>
      </x:c>
      <x:c r="B19" t="str">
        <x:v>Hillview Primary</x:v>
      </x:c>
      <x:c r="C19" t="str">
        <x:v>Bochum</x:v>
      </x:c>
      <x:c r="D19" t="str">
        <x:v>Glue sticks</x:v>
      </x:c>
      <x:c r="E19" t="str">
        <x:v> 27 </x:v>
      </x:c>
      <x:c r="F19" t="str">
        <x:v>567</x:v>
      </x:c>
      <x:c r="G19" t="str">
        <x:v>16-07-2026</x:v>
      </x:c>
      <x:c r="H19" t="str">
        <x:v>Lebo Nkosi</x:v>
      </x:c>
      <x:c r="I19" t="str">
        <x:v>Complete</x:v>
      </x:c>
      <x:c r="J19" t="str">
        <x:v>SRC-0014</x:v>
      </x:c>
    </x:row>
    <x:row r="20">
      <x:c r="A20" t="str">
        <x:v>SAL-26-0015</x:v>
      </x:c>
      <x:c r="B20" t="str">
        <x:v>Eastwood Academy</x:v>
      </x:c>
      <x:c r="C20" t="str">
        <x:v>Eldorado</x:v>
      </x:c>
      <x:c r="D20" t="str">
        <x:v>Markers</x:v>
      </x:c>
      <x:c r="E20" t="str">
        <x:v>34</x:v>
      </x:c>
      <x:c r="F20" t="str">
        <x:v>1156</x:v>
      </x:c>
      <x:c r="G20" t="str">
        <x:v>2026/08/17</x:v>
      </x:c>
      <x:c r="H20" t="str">
        <x:v>Thabo Ndlovu</x:v>
      </x:c>
      <x:c r="I20" t="str">
        <x:v>Paid</x:v>
      </x:c>
      <x:c r="J20" t="str">
        <x:v>SRC-0015</x:v>
      </x:c>
    </x:row>
    <x:row r="21">
      <x:c r="A21" t="str">
        <x:v>SAL-26-0016</x:v>
      </x:c>
      <x:c r="B21" t="str">
        <x:v>Lakeside School</x:v>
      </x:c>
      <x:c r="C21" t="str">
        <x:v>Bochum</x:v>
      </x:c>
      <x:c r="D21" t="str">
        <x:v>notebooks</x:v>
      </x:c>
      <x:c r="E21" t="str">
        <x:v>5</x:v>
      </x:c>
      <x:c r="F21" t="str">
        <x:v>235</x:v>
      </x:c>
      <x:c r="G21" t="str">
        <x:v>2026-01-18</x:v>
      </x:c>
      <x:c r="H21" t="str">
        <x:v> LEBO NKOSI </x:v>
      </x:c>
      <x:c r="I21" t="str">
        <x:v>Pending</x:v>
      </x:c>
      <x:c r="J21" t="str">
        <x:v>SRC-0016</x:v>
      </x:c>
    </x:row>
    <x:row r="22">
      <x:c r="A22" t="str">
        <x:v>SAL-26-0017</x:v>
      </x:c>
      <x:c r="B22" t="str">
        <x:v>Valley Primary</x:v>
      </x:c>
      <x:c r="C22" t="str">
        <x:v>Eldorado</x:v>
      </x:c>
      <x:c r="D22" t="str">
        <x:v>Rulers</x:v>
      </x:c>
      <x:c r="E22" t="str">
        <x:v>12</x:v>
      </x:c>
      <x:c r="F22" t="str"/>
      <x:c r="G22" t="str">
        <x:v>19/02/26</x:v>
      </x:c>
      <x:c r="H22" t="str">
        <x:v>Thabo Ndlovu</x:v>
      </x:c>
      <x:c r="I22" t="str">
        <x:v>Complete</x:v>
      </x:c>
      <x:c r="J22" t="str">
        <x:v>SRC-0017</x:v>
      </x:c>
    </x:row>
    <x:row r="23">
      <x:c r="A23" t="str">
        <x:v>SAL-26-0018</x:v>
      </x:c>
      <x:c r="B23" t="str">
        <x:v>  MHLABENI SECONDARY </x:v>
      </x:c>
      <x:c r="C23" t="str">
        <x:v>Eldorado</x:v>
      </x:c>
      <x:c r="D23" t="str">
        <x:v>Exercise books</x:v>
      </x:c>
      <x:c r="E23" t="str">
        <x:v>19</x:v>
      </x:c>
      <x:c r="F23" t="str">
        <x:v>1387</x:v>
      </x:c>
      <x:c r="G23" t="str">
        <x:v>20-03-2026</x:v>
      </x:c>
      <x:c r="H23" t="str">
        <x:v>Lebo Nkosi</x:v>
      </x:c>
      <x:c r="I23" t="str">
        <x:v>Paid</x:v>
      </x:c>
      <x:c r="J23" t="str">
        <x:v>SRC-0018</x:v>
      </x:c>
    </x:row>
    <x:row r="24">
      <x:c r="A24" t="str">
        <x:v>SAL-26-0019</x:v>
      </x:c>
      <x:c r="B24" t="str">
        <x:v>Meadowlands School</x:v>
      </x:c>
      <x:c r="C24" t="str">
        <x:v>Bochum</x:v>
      </x:c>
      <x:c r="D24" t="str">
        <x:v>Pencils</x:v>
      </x:c>
      <x:c r="E24" t="str">
        <x:v>26</x:v>
      </x:c>
      <x:c r="F24" t="str">
        <x:v>2236</x:v>
      </x:c>
      <x:c r="G24" t="str">
        <x:v>2026/04/21</x:v>
      </x:c>
      <x:c r="H24" t="str">
        <x:v>Thabo Ndlovu</x:v>
      </x:c>
      <x:c r="I24" t="str">
        <x:v>settled</x:v>
      </x:c>
      <x:c r="J24" t="str">
        <x:v>SRC-0019</x:v>
      </x:c>
    </x:row>
    <x:row r="25">
      <x:c r="A25" t="str">
        <x:v>SAL-26-0020</x:v>
      </x:c>
      <x:c r="B25" t="str">
        <x:v>Gardenview School</x:v>
      </x:c>
      <x:c r="C25" t="str">
        <x:v>Eldorado</x:v>
      </x:c>
      <x:c r="D25" t="str">
        <x:v>  FOLDERS </x:v>
      </x:c>
      <x:c r="E25" t="str">
        <x:v>33</x:v>
      </x:c>
      <x:c r="F25" t="str">
        <x:v>3267</x:v>
      </x:c>
      <x:c r="G25" t="str">
        <x:v>2026-05-22</x:v>
      </x:c>
      <x:c r="H25" t="str">
        <x:v>Lebo Nkosi</x:v>
      </x:c>
      <x:c r="I25" t="str">
        <x:v>Complete</x:v>
      </x:c>
      <x:c r="J25" t="str">
        <x:v>SRC-0020</x:v>
      </x:c>
    </x:row>
    <x:row r="26">
      <x:c r="A26" t="str">
        <x:v>SAL-26-0021</x:v>
      </x:c>
      <x:c r="B26" t="str">
        <x:v>Riverside Academy</x:v>
      </x:c>
      <x:c r="C26" t="str">
        <x:v>Bochum</x:v>
      </x:c>
      <x:c r="D26" t="str">
        <x:v>Pens</x:v>
      </x:c>
      <x:c r="E26" t="str">
        <x:v> 4 </x:v>
      </x:c>
      <x:c r="F26" t="str">
        <x:v>448</x:v>
      </x:c>
      <x:c r="G26" t="str">
        <x:v>23/06/26</x:v>
      </x:c>
      <x:c r="H26" t="str">
        <x:v>Thabo Ndlovu</x:v>
      </x:c>
      <x:c r="I26" t="str">
        <x:v>Paid</x:v>
      </x:c>
      <x:c r="J26" t="str">
        <x:v>SRC-0021</x:v>
      </x:c>
    </x:row>
    <x:row r="27">
      <x:c r="A27" t="str">
        <x:v>SAL-26-0022</x:v>
      </x:c>
      <x:c r="B27" t="str">
        <x:v>Maple Secondary</x:v>
      </x:c>
      <x:c r="C27" t="str">
        <x:v>eldos</x:v>
      </x:c>
      <x:c r="D27" t="str">
        <x:v>Glue sticks</x:v>
      </x:c>
      <x:c r="E27" t="str">
        <x:v>11</x:v>
      </x:c>
      <x:c r="F27" t="str">
        <x:v>R1,375</x:v>
      </x:c>
      <x:c r="G27" t="str">
        <x:v>24-07-2026</x:v>
      </x:c>
      <x:c r="H27" t="str">
        <x:v>Lebo Nkosi</x:v>
      </x:c>
      <x:c r="I27" t="str">
        <x:v>Pending</x:v>
      </x:c>
      <x:c r="J27" t="str">
        <x:v>SRC-0022</x:v>
      </x:c>
    </x:row>
    <x:row r="28">
      <x:c r="A28" t="str">
        <x:v>SAL-26-0023</x:v>
      </x:c>
      <x:c r="B28" t="str">
        <x:v>Pinecrest School</x:v>
      </x:c>
      <x:c r="C28" t="str">
        <x:v>Bochum</x:v>
      </x:c>
      <x:c r="D28" t="str">
        <x:v>Markers</x:v>
      </x:c>
      <x:c r="E28" t="str">
        <x:v>18</x:v>
      </x:c>
      <x:c r="F28" t="str">
        <x:v>2484</x:v>
      </x:c>
      <x:c r="G28" t="str">
        <x:v>2026/08/25</x:v>
      </x:c>
      <x:c r="H28" t="str"/>
      <x:c r="I28" t="str">
        <x:v>Complete</x:v>
      </x:c>
      <x:c r="J28" t="str">
        <x:v>SRC-0023</x:v>
      </x:c>
    </x:row>
    <x:row r="29">
      <x:c r="A29" t="str">
        <x:v>SAL-26-0024</x:v>
      </x:c>
      <x:c r="B29" t="str">
        <x:v>Northstar Academy</x:v>
      </x:c>
      <x:c r="C29" t="str">
        <x:v>Bochum</x:v>
      </x:c>
      <x:c r="D29" t="str">
        <x:v>Notebooks</x:v>
      </x:c>
      <x:c r="E29" t="str">
        <x:v>25</x:v>
      </x:c>
      <x:c r="F29" t="str">
        <x:v>3775</x:v>
      </x:c>
      <x:c r="G29" t="str">
        <x:v>2026-01-26</x:v>
      </x:c>
      <x:c r="H29" t="str">
        <x:v> LEBO NKOSI </x:v>
      </x:c>
      <x:c r="I29" t="str">
        <x:v>Paid</x:v>
      </x:c>
      <x:c r="J29" t="str">
        <x:v>SRC-0024</x:v>
      </x:c>
    </x:row>
    <x:row r="30">
      <x:c r="A30" t="str">
        <x:v>SAL-26-0025</x:v>
      </x:c>
      <x:c r="B30" t="str">
        <x:v>Crescent Primary</x:v>
      </x:c>
      <x:c r="C30" t="str">
        <x:v>Eldorado</x:v>
      </x:c>
      <x:c r="D30" t="str">
        <x:v>Rulers</x:v>
      </x:c>
      <x:c r="E30" t="str">
        <x:v>32</x:v>
      </x:c>
      <x:c r="F30" t="str">
        <x:v>5248</x:v>
      </x:c>
      <x:c r="G30" t="str">
        <x:v>02/02/26</x:v>
      </x:c>
      <x:c r="H30" t="str">
        <x:v>Thabo Ndlovu</x:v>
      </x:c>
      <x:c r="I30" t="str">
        <x:v>Pending</x:v>
      </x:c>
      <x:c r="J30" t="str">
        <x:v>SRC-0025</x:v>
      </x:c>
    </x:row>
    <x:row r="31">
      <x:c r="A31" t="str">
        <x:v>SAL-26-0026</x:v>
      </x:c>
      <x:c r="B31" t="str">
        <x:v>hillview primary</x:v>
      </x:c>
      <x:c r="C31" t="str">
        <x:v>Bochum</x:v>
      </x:c>
      <x:c r="D31" t="str">
        <x:v>Exercise books</x:v>
      </x:c>
      <x:c r="E31" t="str">
        <x:v>3</x:v>
      </x:c>
      <x:c r="F31" t="str">
        <x:v> R 531.00 </x:v>
      </x:c>
      <x:c r="G31" t="str">
        <x:v>03-03-2026</x:v>
      </x:c>
      <x:c r="H31" t="str">
        <x:v>Lebo Nkosi</x:v>
      </x:c>
      <x:c r="I31" t="str">
        <x:v>Complete</x:v>
      </x:c>
      <x:c r="J31" t="str">
        <x:v>SRC-0026</x:v>
      </x:c>
    </x:row>
    <x:row r="32">
      <x:c r="A32" t="str">
        <x:v>SAL-26-0027</x:v>
      </x:c>
      <x:c r="B32" t="str">
        <x:v>  EASTWOOD ACADEMY </x:v>
      </x:c>
      <x:c r="C32" t="str">
        <x:v>Eldorado</x:v>
      </x:c>
      <x:c r="D32" t="str">
        <x:v>Pencils</x:v>
      </x:c>
      <x:c r="E32" t="str">
        <x:v>10</x:v>
      </x:c>
      <x:c r="F32" t="str">
        <x:v>1900</x:v>
      </x:c>
      <x:c r="G32" t="str">
        <x:v>2026/04/04</x:v>
      </x:c>
      <x:c r="H32" t="str">
        <x:v>Thabo Ndlovu</x:v>
      </x:c>
      <x:c r="I32" t="str">
        <x:v>  pending </x:v>
      </x:c>
      <x:c r="J32" t="str">
        <x:v>SRC-0027</x:v>
      </x:c>
    </x:row>
    <x:row r="33">
      <x:c r="A33" t="str">
        <x:v>SAL-26-0028</x:v>
      </x:c>
      <x:c r="B33" t="str">
        <x:v>Lakeside School</x:v>
      </x:c>
      <x:c r="C33" t="str">
        <x:v>Bochum</x:v>
      </x:c>
      <x:c r="D33" t="str">
        <x:v>Folders</x:v>
      </x:c>
      <x:c r="E33" t="str">
        <x:v> 17 </x:v>
      </x:c>
      <x:c r="F33" t="str">
        <x:v>374</x:v>
      </x:c>
      <x:c r="G33" t="str">
        <x:v>2026-05-05</x:v>
      </x:c>
      <x:c r="H33" t="str">
        <x:v>Lebo Nkosi</x:v>
      </x:c>
      <x:c r="I33" t="str">
        <x:v>Pending</x:v>
      </x:c>
      <x:c r="J33" t="str">
        <x:v>SRC-0028</x:v>
      </x:c>
    </x:row>
    <x:row r="34">
      <x:c r="A34" t="str">
        <x:v>SAL-26-0029</x:v>
      </x:c>
      <x:c r="B34" t="str">
        <x:v>Valley Primary</x:v>
      </x:c>
      <x:c r="C34" t="str">
        <x:v>Eldorado</x:v>
      </x:c>
      <x:c r="D34" t="str">
        <x:v>Pens</x:v>
      </x:c>
      <x:c r="E34" t="str">
        <x:v>24 units</x:v>
      </x:c>
      <x:c r="F34" t="str">
        <x:v>840</x:v>
      </x:c>
      <x:c r="G34" t="str">
        <x:v>06/06/26</x:v>
      </x:c>
      <x:c r="H34" t="str">
        <x:v>Thabo Ndlovu</x:v>
      </x:c>
      <x:c r="I34" t="str">
        <x:v>Complete</x:v>
      </x:c>
      <x:c r="J34" t="str">
        <x:v>SRC-0029</x:v>
      </x:c>
    </x:row>
    <x:row r="35">
      <x:c r="A35" t="str">
        <x:v>SAL-26-0030</x:v>
      </x:c>
      <x:c r="B35" t="str">
        <x:v>Mhlabeni Secondary</x:v>
      </x:c>
      <x:c r="C35" t="str">
        <x:v>Eldorado</x:v>
      </x:c>
      <x:c r="D35" t="str">
        <x:v>  GLUE STICKS </x:v>
      </x:c>
      <x:c r="E35" t="str">
        <x:v>31</x:v>
      </x:c>
      <x:c r="F35" t="str">
        <x:v>1488</x:v>
      </x:c>
      <x:c r="G35" t="str">
        <x:v>07-07-2026</x:v>
      </x:c>
      <x:c r="H35" t="str">
        <x:v>Lebo Nkosi</x:v>
      </x:c>
      <x:c r="I35" t="str">
        <x:v>Paid</x:v>
      </x:c>
      <x:c r="J35" t="str">
        <x:v>SRC-0030</x:v>
      </x:c>
    </x:row>
    <x:row r="36">
      <x:c r="A36" t="str">
        <x:v>SAL-26-0031</x:v>
      </x:c>
      <x:c r="B36" t="str">
        <x:v>Meadowlands School</x:v>
      </x:c>
      <x:c r="C36" t="str">
        <x:v>Bochum</x:v>
      </x:c>
      <x:c r="D36" t="str">
        <x:v>Markers</x:v>
      </x:c>
      <x:c r="E36" t="str"/>
      <x:c r="F36" t="str">
        <x:v>122</x:v>
      </x:c>
      <x:c r="G36" t="str">
        <x:v>not supplied</x:v>
      </x:c>
      <x:c r="H36" t="str">
        <x:v>Thabo Ndlovu</x:v>
      </x:c>
      <x:c r="I36" t="str">
        <x:v>Pending</x:v>
      </x:c>
      <x:c r="J36" t="str">
        <x:v>SRC-0031</x:v>
      </x:c>
    </x:row>
    <x:row r="37">
      <x:c r="A37" t="str">
        <x:v>SAL-26-0032</x:v>
      </x:c>
      <x:c r="B37" t="str">
        <x:v>Gardenview School</x:v>
      </x:c>
      <x:c r="C37" t="str">
        <x:v>Eldorado</x:v>
      </x:c>
      <x:c r="D37" t="str">
        <x:v>notebooks</x:v>
      </x:c>
      <x:c r="E37" t="str">
        <x:v>9</x:v>
      </x:c>
      <x:c r="F37" t="str">
        <x:v>666</x:v>
      </x:c>
      <x:c r="G37" t="str">
        <x:v>2026-01-09</x:v>
      </x:c>
      <x:c r="H37" t="str">
        <x:v> LEBO NKOSI </x:v>
      </x:c>
      <x:c r="I37" t="str">
        <x:v>Complete</x:v>
      </x:c>
      <x:c r="J37" t="str">
        <x:v>SRC-0032</x:v>
      </x:c>
    </x:row>
    <x:row r="38">
      <x:c r="A38" t="str">
        <x:v>SAL-26-0033</x:v>
      </x:c>
      <x:c r="B38" t="str">
        <x:v>Riverside Academy</x:v>
      </x:c>
      <x:c r="C38" t="str">
        <x:v> BOCHUM REGION </x:v>
      </x:c>
      <x:c r="D38" t="str">
        <x:v>Rulers</x:v>
      </x:c>
      <x:c r="E38" t="str">
        <x:v>16</x:v>
      </x:c>
      <x:c r="F38" t="str">
        <x:v>R1,392</x:v>
      </x:c>
      <x:c r="G38" t="str">
        <x:v>10/02/26</x:v>
      </x:c>
      <x:c r="H38" t="str">
        <x:v>Thabo Ndlovu</x:v>
      </x:c>
      <x:c r="I38" t="str">
        <x:v>Paid</x:v>
      </x:c>
      <x:c r="J38" t="str">
        <x:v>SRC-0033</x:v>
      </x:c>
    </x:row>
    <x:row r="39">
      <x:c r="A39" t="str">
        <x:v>SAL-26-0034</x:v>
      </x:c>
      <x:c r="B39" t="str">
        <x:v>Maple Secondary</x:v>
      </x:c>
      <x:c r="C39" t="str">
        <x:v>Eldorado</x:v>
      </x:c>
      <x:c r="D39" t="str">
        <x:v>Exercise books</x:v>
      </x:c>
      <x:c r="E39" t="str">
        <x:v>23</x:v>
      </x:c>
      <x:c r="F39" t="str"/>
      <x:c r="G39" t="str">
        <x:v>11-03-2026</x:v>
      </x:c>
      <x:c r="H39" t="str">
        <x:v>Lebo Nkosi</x:v>
      </x:c>
      <x:c r="I39" t="str">
        <x:v>Pending</x:v>
      </x:c>
      <x:c r="J39" t="str">
        <x:v>SRC-0034</x:v>
      </x:c>
    </x:row>
    <x:row r="40">
      <x:c r="A40" t="str">
        <x:v>SAL-26-0035</x:v>
      </x:c>
      <x:c r="B40" t="str">
        <x:v>Pinecrest School</x:v>
      </x:c>
      <x:c r="C40" t="str">
        <x:v>Bochum</x:v>
      </x:c>
      <x:c r="D40" t="str">
        <x:v>Pencils</x:v>
      </x:c>
      <x:c r="E40" t="str">
        <x:v> 30 </x:v>
      </x:c>
      <x:c r="F40" t="str">
        <x:v>3390</x:v>
      </x:c>
      <x:c r="G40" t="str">
        <x:v>2026/04/12</x:v>
      </x:c>
      <x:c r="H40" t="str">
        <x:v>Thabo Ndlovu</x:v>
      </x:c>
      <x:c r="I40" t="str">
        <x:v>Complete</x:v>
      </x:c>
      <x:c r="J40" t="str">
        <x:v>SRC-0035</x:v>
      </x:c>
    </x:row>
    <x:row r="41">
      <x:c r="A41" t="str">
        <x:v>SAL-26-0036</x:v>
      </x:c>
      <x:c r="B41" t="str">
        <x:v>  NORTHSTAR ACADEMY </x:v>
      </x:c>
      <x:c r="C41" t="str">
        <x:v>Bochum</x:v>
      </x:c>
      <x:c r="D41" t="str">
        <x:v>Folders</x:v>
      </x:c>
      <x:c r="E41" t="str">
        <x:v>1</x:v>
      </x:c>
      <x:c r="F41" t="str">
        <x:v>126</x:v>
      </x:c>
      <x:c r="G41" t="str">
        <x:v>2026-05-13</x:v>
      </x:c>
      <x:c r="H41" t="str">
        <x:v>Lebo Nkosi</x:v>
      </x:c>
      <x:c r="I41" t="str">
        <x:v>Paid</x:v>
      </x:c>
      <x:c r="J41" t="str">
        <x:v>SRC-0036</x:v>
      </x:c>
    </x:row>
    <x:row r="42">
      <x:c r="A42" t="str">
        <x:v>SAL-26-0036</x:v>
      </x:c>
      <x:c r="B42" t="str">
        <x:v>Crescent Primary</x:v>
      </x:c>
      <x:c r="C42" t="str">
        <x:v>Eldorado</x:v>
      </x:c>
      <x:c r="D42" t="str">
        <x:v>Pens</x:v>
      </x:c>
      <x:c r="E42" t="str">
        <x:v>8</x:v>
      </x:c>
      <x:c r="F42" t="str">
        <x:v>1112</x:v>
      </x:c>
      <x:c r="G42" t="str">
        <x:v>14/06/26</x:v>
      </x:c>
      <x:c r="H42" t="str">
        <x:v>Thabo Ndlovu</x:v>
      </x:c>
      <x:c r="I42" t="str">
        <x:v>Pending</x:v>
      </x:c>
      <x:c r="J42" t="str">
        <x:v>SRC-0037</x:v>
      </x:c>
    </x:row>
    <x:row r="43">
      <x:c r="A43" t="str">
        <x:v>SAL-26-0038</x:v>
      </x:c>
      <x:c r="B43" t="str">
        <x:v>Hillview Primary</x:v>
      </x:c>
      <x:c r="C43" t="str">
        <x:v>Bochum</x:v>
      </x:c>
      <x:c r="D43" t="str">
        <x:v>Glue sticks</x:v>
      </x:c>
      <x:c r="E43" t="str">
        <x:v>15</x:v>
      </x:c>
      <x:c r="F43" t="str">
        <x:v>2280</x:v>
      </x:c>
      <x:c r="G43" t="str">
        <x:v>15-07-2026</x:v>
      </x:c>
      <x:c r="H43" t="str">
        <x:v>Lebo Nkosi</x:v>
      </x:c>
      <x:c r="I43" t="str">
        <x:v>settled</x:v>
      </x:c>
      <x:c r="J43" t="str">
        <x:v>SRC-0038</x:v>
      </x:c>
    </x:row>
    <x:row r="44">
      <x:c r="A44" t="str">
        <x:v>SAL-26-0039</x:v>
      </x:c>
      <x:c r="B44" t="str">
        <x:v>eastwood academy</x:v>
      </x:c>
      <x:c r="C44" t="str">
        <x:v>Eldorado</x:v>
      </x:c>
      <x:c r="D44" t="str">
        <x:v>Markers</x:v>
      </x:c>
      <x:c r="E44" t="str">
        <x:v>22</x:v>
      </x:c>
      <x:c r="F44" t="str">
        <x:v> R 3630.00 </x:v>
      </x:c>
      <x:c r="G44" t="str">
        <x:v>2026/08/16</x:v>
      </x:c>
      <x:c r="H44" t="str">
        <x:v>Thabo Ndlovu</x:v>
      </x:c>
      <x:c r="I44" t="str">
        <x:v>Paid</x:v>
      </x:c>
      <x:c r="J44" t="str">
        <x:v>SRC-0039</x:v>
      </x:c>
    </x:row>
    <x:row r="45">
      <x:c r="A45" t="str">
        <x:v>SAL-26-0040</x:v>
      </x:c>
      <x:c r="B45" t="str">
        <x:v>Lakeside School</x:v>
      </x:c>
      <x:c r="C45" t="str">
        <x:v>Bochum</x:v>
      </x:c>
      <x:c r="D45" t="str">
        <x:v>  NOTEBOOKS </x:v>
      </x:c>
      <x:c r="E45" t="str">
        <x:v>29</x:v>
      </x:c>
      <x:c r="F45" t="str">
        <x:v>5162</x:v>
      </x:c>
      <x:c r="G45" t="str">
        <x:v>2026-01-17</x:v>
      </x:c>
      <x:c r="H45" t="str">
        <x:v> LEBO NKOSI </x:v>
      </x:c>
      <x:c r="I45" t="str">
        <x:v>Pending</x:v>
      </x:c>
      <x:c r="J45" t="str">
        <x:v>SRC-0040</x:v>
      </x:c>
    </x:row>
    <x:row r="46">
      <x:c r="A46" t="str">
        <x:v>SAL-26-0041</x:v>
      </x:c>
      <x:c r="B46" t="str">
        <x:v>Valley Primary</x:v>
      </x:c>
      <x:c r="C46" t="str">
        <x:v>Eldorado</x:v>
      </x:c>
      <x:c r="D46" t="str">
        <x:v>Rulers</x:v>
      </x:c>
      <x:c r="E46" t="str">
        <x:v>36</x:v>
      </x:c>
      <x:c r="F46" t="str">
        <x:v>6876</x:v>
      </x:c>
      <x:c r="G46" t="str">
        <x:v>18/02/26</x:v>
      </x:c>
      <x:c r="H46" t="str">
        <x:v>Thabo Ndlovu</x:v>
      </x:c>
      <x:c r="I46" t="str">
        <x:v>Complete</x:v>
      </x:c>
      <x:c r="J46" t="str">
        <x:v>SRC-0041</x:v>
      </x:c>
    </x:row>
    <x:row r="47">
      <x:c r="A47" t="str">
        <x:v>SAL-26-0042</x:v>
      </x:c>
      <x:c r="B47" t="str">
        <x:v>Mhlabeni Secondary</x:v>
      </x:c>
      <x:c r="C47" t="str">
        <x:v>Eldorado</x:v>
      </x:c>
      <x:c r="D47" t="str">
        <x:v>Exercise books</x:v>
      </x:c>
      <x:c r="E47" t="str">
        <x:v> 7 </x:v>
      </x:c>
      <x:c r="F47" t="str">
        <x:v>161</x:v>
      </x:c>
      <x:c r="G47" t="str">
        <x:v>19-03-2026</x:v>
      </x:c>
      <x:c r="H47" t="str">
        <x:v>Lebo Nkosi</x:v>
      </x:c>
      <x:c r="I47" t="str">
        <x:v>Paid</x:v>
      </x:c>
      <x:c r="J47" t="str">
        <x:v>SRC-0042</x:v>
      </x:c>
    </x:row>
    <x:row r="48">
      <x:c r="A48" t="str">
        <x:v>SAL-26-0043</x:v>
      </x:c>
      <x:c r="B48" t="str">
        <x:v>Meadowlands School</x:v>
      </x:c>
      <x:c r="C48" t="str">
        <x:v>Bochum</x:v>
      </x:c>
      <x:c r="D48" t="str">
        <x:v>Pencils</x:v>
      </x:c>
      <x:c r="E48" t="str">
        <x:v>14</x:v>
      </x:c>
      <x:c r="F48" t="str">
        <x:v>N/A</x:v>
      </x:c>
      <x:c r="G48" t="str">
        <x:v>2026/04/20</x:v>
      </x:c>
      <x:c r="H48" t="str">
        <x:v>Thabo Ndlovu</x:v>
      </x:c>
      <x:c r="I48" t="str">
        <x:v>Pending</x:v>
      </x:c>
      <x:c r="J48" t="str">
        <x:v>SRC-0043</x:v>
      </x:c>
    </x:row>
    <x:row r="49">
      <x:c r="A49" t="str">
        <x:v>SAL-26-0044</x:v>
      </x:c>
      <x:c r="B49" t="str">
        <x:v>Gardenview School</x:v>
      </x:c>
      <x:c r="C49" t="str">
        <x:v>eldos</x:v>
      </x:c>
      <x:c r="D49" t="str">
        <x:v>Folders</x:v>
      </x:c>
      <x:c r="E49" t="str">
        <x:v>21</x:v>
      </x:c>
      <x:c r="F49" t="str">
        <x:v>R1,029</x:v>
      </x:c>
      <x:c r="G49" t="str">
        <x:v>2026-05-21</x:v>
      </x:c>
      <x:c r="H49" t="str">
        <x:v>Lebo Nkosi</x:v>
      </x:c>
      <x:c r="I49" t="str">
        <x:v>Complete</x:v>
      </x:c>
      <x:c r="J49" t="str">
        <x:v>SRC-0044</x:v>
      </x:c>
    </x:row>
    <x:row r="50">
      <x:c r="A50" t="str">
        <x:v>SAL-26-0045</x:v>
      </x:c>
      <x:c r="B50" t="str">
        <x:v>  RIVERSIDE ACADEMY </x:v>
      </x:c>
      <x:c r="C50" t="str">
        <x:v>Bochum</x:v>
      </x:c>
      <x:c r="D50" t="str">
        <x:v>Pens</x:v>
      </x:c>
      <x:c r="E50" t="str">
        <x:v>28</x:v>
      </x:c>
      <x:c r="F50" t="str">
        <x:v>1736</x:v>
      </x:c>
      <x:c r="G50" t="str">
        <x:v>22/06/26</x:v>
      </x:c>
      <x:c r="H50" t="str">
        <x:v>Thabo Ndlovu</x:v>
      </x:c>
      <x:c r="I50" t="str">
        <x:v>Paid</x:v>
      </x:c>
      <x:c r="J50" t="str">
        <x:v>SRC-0045</x:v>
      </x:c>
    </x:row>
    <x:row r="51">
      <x:c r="A51" t="str">
        <x:v>SAL-26-0046</x:v>
      </x:c>
      <x:c r="B51" t="str">
        <x:v>Maple Secondary</x:v>
      </x:c>
      <x:c r="C51" t="str">
        <x:v>Eldorado</x:v>
      </x:c>
      <x:c r="D51" t="str">
        <x:v>Glue sticks</x:v>
      </x:c>
      <x:c r="E51" t="str">
        <x:v>35</x:v>
      </x:c>
      <x:c r="F51" t="str">
        <x:v>2625</x:v>
      </x:c>
      <x:c r="G51" t="str">
        <x:v>23-07-2026</x:v>
      </x:c>
      <x:c r="H51" t="str"/>
      <x:c r="I51" t="str">
        <x:v>Pending</x:v>
      </x:c>
      <x:c r="J51" t="str">
        <x:v>SRC-0046</x:v>
      </x:c>
    </x:row>
    <x:row r="52">
      <x:c r="A52" t="str">
        <x:v>SAL-26-0047</x:v>
      </x:c>
      <x:c r="B52" t="str">
        <x:v>Pinecrest School</x:v>
      </x:c>
      <x:c r="C52" t="str">
        <x:v>Unknown district</x:v>
      </x:c>
      <x:c r="D52" t="str">
        <x:v>Markers</x:v>
      </x:c>
      <x:c r="E52" t="str">
        <x:v>6</x:v>
      </x:c>
      <x:c r="F52" t="str">
        <x:v>R-300</x:v>
      </x:c>
      <x:c r="G52" t="str">
        <x:v>2026/08/24</x:v>
      </x:c>
      <x:c r="H52" t="str">
        <x:v>Thabo Ndlovu</x:v>
      </x:c>
      <x:c r="I52" t="str">
        <x:v>Complete</x:v>
      </x:c>
      <x:c r="J52" t="str">
        <x:v>SRC-0047</x:v>
      </x:c>
    </x:row>
    <x:row r="53">
      <x:c r="A53" t="str">
        <x:v>SAL-26-0048</x:v>
      </x:c>
      <x:c r="B53" t="str">
        <x:v>Northstar Academy</x:v>
      </x:c>
      <x:c r="C53" t="str">
        <x:v>Bochum</x:v>
      </x:c>
      <x:c r="D53" t="str">
        <x:v>notebooks</x:v>
      </x:c>
      <x:c r="E53" t="str">
        <x:v>13</x:v>
      </x:c>
      <x:c r="F53" t="str">
        <x:v>1313</x:v>
      </x:c>
      <x:c r="G53" t="str">
        <x:v>2026-01-25</x:v>
      </x:c>
      <x:c r="H53" t="str">
        <x:v> LEBO NKOSI </x:v>
      </x:c>
      <x:c r="I53" t="str">
        <x:v>Paid</x:v>
      </x:c>
      <x:c r="J53" t="str">
        <x:v>SRC-0048</x:v>
      </x:c>
    </x:row>
    <x:row r="54">
      <x:c r="A54" t="str">
        <x:v>SAL-26-0049</x:v>
      </x:c>
      <x:c r="B54" t="str">
        <x:v>Crescent Primary</x:v>
      </x:c>
      <x:c r="C54" t="str">
        <x:v>Eldorado</x:v>
      </x:c>
      <x:c r="D54" t="str">
        <x:v>Rulers</x:v>
      </x:c>
      <x:c r="E54" t="str">
        <x:v> 20 </x:v>
      </x:c>
      <x:c r="F54" t="str">
        <x:v>2280</x:v>
      </x:c>
      <x:c r="G54" t="str">
        <x:v>26/02/26</x:v>
      </x:c>
      <x:c r="H54" t="str">
        <x:v>Thabo Ndlovu</x:v>
      </x:c>
      <x:c r="I54" t="str">
        <x:v>Pending</x:v>
      </x:c>
      <x:c r="J54" t="str">
        <x:v>SRC-0049</x:v>
      </x:c>
    </x:row>
    <x:row r="55">
      <x:c r="A55" t="str">
        <x:v>SAL-26-0050</x:v>
      </x:c>
      <x:c r="B55" t="str">
        <x:v>Hillview Primary</x:v>
      </x:c>
      <x:c r="C55" t="str">
        <x:v>Bochum</x:v>
      </x:c>
      <x:c r="D55" t="str">
        <x:v>  EXERCISE BOOKS </x:v>
      </x:c>
      <x:c r="E55" t="str">
        <x:v>27</x:v>
      </x:c>
      <x:c r="F55" t="str">
        <x:v>3429</x:v>
      </x:c>
      <x:c r="G55" t="str">
        <x:v>02-03-2026</x:v>
      </x:c>
      <x:c r="H55" t="str">
        <x:v>Lebo Nkosi</x:v>
      </x:c>
      <x:c r="I55" t="str">
        <x:v>Complete</x:v>
      </x:c>
      <x:c r="J55" t="str">
        <x:v>SRC-0050</x:v>
      </x:c>
    </x:row>
    <x:row r="56">
      <x:c r="A56" t="str">
        <x:v>SAL-26-0051</x:v>
      </x:c>
      <x:c r="B56" t="str">
        <x:v>Eastwood Academy</x:v>
      </x:c>
      <x:c r="C56" t="str">
        <x:v>Eldorado</x:v>
      </x:c>
      <x:c r="D56" t="str">
        <x:v>Pencils</x:v>
      </x:c>
      <x:c r="E56" t="str">
        <x:v>34</x:v>
      </x:c>
      <x:c r="F56" t="str"/>
      <x:c r="G56" t="str">
        <x:v>2026/04/03</x:v>
      </x:c>
      <x:c r="H56" t="str">
        <x:v>Thabo Ndlovu</x:v>
      </x:c>
      <x:c r="I56" t="str">
        <x:v>Paid</x:v>
      </x:c>
      <x:c r="J56" t="str">
        <x:v>SRC-0051</x:v>
      </x:c>
    </x:row>
    <x:row r="57">
      <x:c r="A57" t="str">
        <x:v>SAL-26-0052</x:v>
      </x:c>
      <x:c r="B57" t="str">
        <x:v>lakeside school</x:v>
      </x:c>
      <x:c r="C57" t="str">
        <x:v>Bochum</x:v>
      </x:c>
      <x:c r="D57" t="str">
        <x:v>Folders</x:v>
      </x:c>
      <x:c r="E57" t="str">
        <x:v>5</x:v>
      </x:c>
      <x:c r="F57" t="str">
        <x:v> R 765.00 </x:v>
      </x:c>
      <x:c r="G57" t="str">
        <x:v>2026-05-04</x:v>
      </x:c>
      <x:c r="H57" t="str">
        <x:v>Lebo Nkosi</x:v>
      </x:c>
      <x:c r="I57" t="str">
        <x:v>Pending</x:v>
      </x:c>
      <x:c r="J57" t="str">
        <x:v>SRC-0052</x:v>
      </x:c>
    </x:row>
    <x:row r="58">
      <x:c r="A58" t="str">
        <x:v>SAL-26-0053</x:v>
      </x:c>
      <x:c r="B58" t="str">
        <x:v>Valley Primary</x:v>
      </x:c>
      <x:c r="C58" t="str">
        <x:v>Eldorado</x:v>
      </x:c>
      <x:c r="D58" t="str">
        <x:v>Pens</x:v>
      </x:c>
      <x:c r="E58" t="str">
        <x:v>12</x:v>
      </x:c>
      <x:c r="F58" t="str">
        <x:v>1992</x:v>
      </x:c>
      <x:c r="G58" t="str">
        <x:v>2026-19-44</x:v>
      </x:c>
      <x:c r="H58" t="str">
        <x:v>Thabo Ndlovu</x:v>
      </x:c>
      <x:c r="I58" t="str">
        <x:v>Complete</x:v>
      </x:c>
      <x:c r="J58" t="str">
        <x:v>SRC-0053</x:v>
      </x:c>
    </x:row>
    <x:row r="59">
      <x:c r="A59" t="str">
        <x:v>SAL-26-0054</x:v>
      </x:c>
      <x:c r="B59" t="str">
        <x:v>  MHLABENI SECONDARY </x:v>
      </x:c>
      <x:c r="C59" t="str">
        <x:v>Eldorado</x:v>
      </x:c>
      <x:c r="D59" t="str">
        <x:v>Glue sticks</x:v>
      </x:c>
      <x:c r="E59" t="str">
        <x:v>19</x:v>
      </x:c>
      <x:c r="F59" t="str">
        <x:v>3401</x:v>
      </x:c>
      <x:c r="G59" t="str">
        <x:v>06-07-2026</x:v>
      </x:c>
      <x:c r="H59" t="str">
        <x:v>Lebo Nkosi</x:v>
      </x:c>
      <x:c r="I59" t="str">
        <x:v>  pending </x:v>
      </x:c>
      <x:c r="J59" t="str">
        <x:v>SRC-0054</x:v>
      </x:c>
    </x:row>
    <x:row r="60">
      <x:c r="A60" t="str">
        <x:v>SAL-26-0055</x:v>
      </x:c>
      <x:c r="B60" t="str">
        <x:v>Meadowlands School</x:v>
      </x:c>
      <x:c r="C60" t="str">
        <x:v> BOCHUM REGION </x:v>
      </x:c>
      <x:c r="D60" t="str">
        <x:v>Markers</x:v>
      </x:c>
      <x:c r="E60" t="str">
        <x:v>26</x:v>
      </x:c>
      <x:c r="F60" t="str">
        <x:v>R4,992</x:v>
      </x:c>
      <x:c r="G60" t="str">
        <x:v>2026/08/07</x:v>
      </x:c>
      <x:c r="H60" t="str">
        <x:v>Thabo Ndlovu</x:v>
      </x:c>
      <x:c r="I60" t="str">
        <x:v>Pending</x:v>
      </x:c>
      <x:c r="J60" t="str">
        <x:v>SRC-0055</x:v>
      </x:c>
    </x:row>
    <x:row r="61">
      <x:c r="A61" t="str">
        <x:v>SAL-26-0056</x:v>
      </x:c>
      <x:c r="B61" t="str">
        <x:v>Gardenview School</x:v>
      </x:c>
      <x:c r="C61" t="str">
        <x:v>Eldorado</x:v>
      </x:c>
      <x:c r="D61" t="str">
        <x:v>Notebooks</x:v>
      </x:c>
      <x:c r="E61" t="str">
        <x:v> 33 </x:v>
      </x:c>
      <x:c r="F61" t="str">
        <x:v>792</x:v>
      </x:c>
      <x:c r="G61" t="str">
        <x:v>2026-01-08</x:v>
      </x:c>
      <x:c r="H61" t="str">
        <x:v> LEBO NKOSI </x:v>
      </x:c>
      <x:c r="I61" t="str">
        <x:v>Complete</x:v>
      </x:c>
      <x:c r="J61" t="str">
        <x:v>SRC-0056</x:v>
      </x:c>
    </x:row>
    <x:row r="62">
      <x:c r="A62" t="str">
        <x:v>SAL-26-0057</x:v>
      </x:c>
      <x:c r="B62" t="str">
        <x:v>Riverside Academy</x:v>
      </x:c>
      <x:c r="C62" t="str">
        <x:v>Bochum</x:v>
      </x:c>
      <x:c r="D62" t="str">
        <x:v>Rulers</x:v>
      </x:c>
      <x:c r="E62" t="str">
        <x:v>4</x:v>
      </x:c>
      <x:c r="F62" t="str">
        <x:v>148</x:v>
      </x:c>
      <x:c r="G62" t="str">
        <x:v>09/02/26</x:v>
      </x:c>
      <x:c r="H62" t="str">
        <x:v>Thabo Ndlovu</x:v>
      </x:c>
      <x:c r="I62" t="str">
        <x:v>settled</x:v>
      </x:c>
      <x:c r="J62" t="str">
        <x:v>SRC-0057</x:v>
      </x:c>
    </x:row>
    <x:row r="63">
      <x:c r="A63" t="str">
        <x:v>SAL-26-0058</x:v>
      </x:c>
      <x:c r="B63" t="str">
        <x:v>Maple Secondary</x:v>
      </x:c>
      <x:c r="C63" t="str">
        <x:v>Eldorado</x:v>
      </x:c>
      <x:c r="D63" t="str">
        <x:v>Exercise books</x:v>
      </x:c>
      <x:c r="E63" t="str">
        <x:v>11 units</x:v>
      </x:c>
      <x:c r="F63" t="str">
        <x:v>550</x:v>
      </x:c>
      <x:c r="G63" t="str">
        <x:v>10-03-2026</x:v>
      </x:c>
      <x:c r="H63" t="str">
        <x:v>Lebo Nkosi</x:v>
      </x:c>
      <x:c r="I63" t="str">
        <x:v>Pending</x:v>
      </x:c>
      <x:c r="J63" t="str">
        <x:v>SRC-0058</x:v>
      </x:c>
    </x:row>
    <x:row r="64">
      <x:c r="A64" t="str">
        <x:v>SAL-26-0059</x:v>
      </x:c>
      <x:c r="B64" t="str">
        <x:v>Pinecrest School</x:v>
      </x:c>
      <x:c r="C64" t="str">
        <x:v>Bochum</x:v>
      </x:c>
      <x:c r="D64" t="str">
        <x:v>Pencils</x:v>
      </x:c>
      <x:c r="E64" t="str">
        <x:v>18</x:v>
      </x:c>
      <x:c r="F64" t="str">
        <x:v>1134</x:v>
      </x:c>
      <x:c r="G64" t="str">
        <x:v>2026/04/11</x:v>
      </x:c>
      <x:c r="H64" t="str">
        <x:v>Thabo Ndlovu</x:v>
      </x:c>
      <x:c r="I64" t="str">
        <x:v>Complete</x:v>
      </x:c>
      <x:c r="J64" t="str">
        <x:v>SRC-0059</x:v>
      </x:c>
    </x:row>
    <x:row r="65">
      <x:c r="A65" t="str">
        <x:v>SAL-26-0060</x:v>
      </x:c>
      <x:c r="B65" t="str">
        <x:v>Northstar Academy</x:v>
      </x:c>
      <x:c r="C65" t="str">
        <x:v>Bochum</x:v>
      </x:c>
      <x:c r="D65" t="str">
        <x:v>  FOLDERS </x:v>
      </x:c>
      <x:c r="E65" t="str">
        <x:v>25</x:v>
      </x:c>
      <x:c r="F65" t="str">
        <x:v>1900</x:v>
      </x:c>
      <x:c r="G65" t="str">
        <x:v>2026-05-12</x:v>
      </x:c>
      <x:c r="H65" t="str">
        <x:v>Lebo Nkosi</x:v>
      </x:c>
      <x:c r="I65" t="str">
        <x:v>Paid</x:v>
      </x:c>
      <x:c r="J65" t="str">
        <x:v>SRC-0060</x:v>
      </x:c>
    </x:row>
    <x:row r="66">
      <x:c r="A66" t="str">
        <x:v>SAL-26-0061</x:v>
      </x:c>
      <x:c r="B66" t="str">
        <x:v>Crescent Primary</x:v>
      </x:c>
      <x:c r="C66" t="str">
        <x:v>Eldorado</x:v>
      </x:c>
      <x:c r="D66" t="str">
        <x:v>Pens</x:v>
      </x:c>
      <x:c r="E66" t="str">
        <x:v>32</x:v>
      </x:c>
      <x:c r="F66" t="str">
        <x:v>2848</x:v>
      </x:c>
      <x:c r="G66" t="str">
        <x:v>13/06/26</x:v>
      </x:c>
      <x:c r="H66" t="str">
        <x:v>Thabo Ndlovu</x:v>
      </x:c>
      <x:c r="I66" t="str">
        <x:v>Pending</x:v>
      </x:c>
      <x:c r="J66" t="str">
        <x:v>SRC-0061</x:v>
      </x:c>
    </x:row>
    <x:row r="67">
      <x:c r="A67" t="str">
        <x:v>SAL-26-0062</x:v>
      </x:c>
      <x:c r="B67" t="str">
        <x:v>Hillview Primary</x:v>
      </x:c>
      <x:c r="C67" t="str">
        <x:v>Bochum</x:v>
      </x:c>
      <x:c r="D67" t="str">
        <x:v>Glue sticks</x:v>
      </x:c>
      <x:c r="E67" t="str"/>
      <x:c r="F67" t="str">
        <x:v>306</x:v>
      </x:c>
      <x:c r="G67" t="str">
        <x:v>not supplied</x:v>
      </x:c>
      <x:c r="H67" t="str">
        <x:v>Lebo Nkosi</x:v>
      </x:c>
      <x:c r="I67" t="str">
        <x:v>Complete</x:v>
      </x:c>
      <x:c r="J67" t="str">
        <x:v>SRC-0062</x:v>
      </x:c>
    </x:row>
    <x:row r="68">
      <x:c r="A68" t="str">
        <x:v>SAL-26-0063</x:v>
      </x:c>
      <x:c r="B68" t="str">
        <x:v>  EASTWOOD ACADEMY </x:v>
      </x:c>
      <x:c r="C68" t="str">
        <x:v>Eldorado</x:v>
      </x:c>
      <x:c r="D68" t="str">
        <x:v>Markers</x:v>
      </x:c>
      <x:c r="E68" t="str">
        <x:v> 10 </x:v>
      </x:c>
      <x:c r="F68" t="str">
        <x:v>1150</x:v>
      </x:c>
      <x:c r="G68" t="str">
        <x:v>2026/08/15</x:v>
      </x:c>
      <x:c r="H68" t="str">
        <x:v>Thabo Ndlovu</x:v>
      </x:c>
      <x:c r="I68" t="str">
        <x:v>Paid</x:v>
      </x:c>
      <x:c r="J68" t="str">
        <x:v>SRC-0063</x:v>
      </x:c>
    </x:row>
    <x:row r="69">
      <x:c r="A69" t="str">
        <x:v>SAL-26-0064</x:v>
      </x:c>
      <x:c r="B69" t="str">
        <x:v>Lakeside School</x:v>
      </x:c>
      <x:c r="C69" t="str">
        <x:v>Bochum</x:v>
      </x:c>
      <x:c r="D69" t="str">
        <x:v>notebooks</x:v>
      </x:c>
      <x:c r="E69" t="str">
        <x:v>17</x:v>
      </x:c>
      <x:c r="F69" t="str">
        <x:v>2176</x:v>
      </x:c>
      <x:c r="G69" t="str">
        <x:v>2026-01-16</x:v>
      </x:c>
      <x:c r="H69" t="str">
        <x:v> LEBO NKOSI </x:v>
      </x:c>
      <x:c r="I69" t="str">
        <x:v>Pending</x:v>
      </x:c>
      <x:c r="J69" t="str">
        <x:v>SRC-0064</x:v>
      </x:c>
    </x:row>
    <x:row r="70">
      <x:c r="A70" t="str">
        <x:v>SAL-26-0065</x:v>
      </x:c>
      <x:c r="B70" t="str">
        <x:v>valley primary</x:v>
      </x:c>
      <x:c r="C70" t="str">
        <x:v>Eldorado</x:v>
      </x:c>
      <x:c r="D70" t="str">
        <x:v>Rulers</x:v>
      </x:c>
      <x:c r="E70" t="str">
        <x:v>24</x:v>
      </x:c>
      <x:c r="F70" t="str">
        <x:v> R 3384.00 </x:v>
      </x:c>
      <x:c r="G70" t="str">
        <x:v>17/02/26</x:v>
      </x:c>
      <x:c r="H70" t="str">
        <x:v>Thabo Ndlovu</x:v>
      </x:c>
      <x:c r="I70" t="str">
        <x:v>Complete</x:v>
      </x:c>
      <x:c r="J70" t="str">
        <x:v>SRC-0065</x:v>
      </x:c>
    </x:row>
    <x:row r="71">
      <x:c r="A71" t="str">
        <x:v>SAL-26-0066</x:v>
      </x:c>
      <x:c r="B71" t="str">
        <x:v>Mhlabeni Secondary</x:v>
      </x:c>
      <x:c r="C71" t="str">
        <x:v>eldos</x:v>
      </x:c>
      <x:c r="D71" t="str">
        <x:v>Exercise books</x:v>
      </x:c>
      <x:c r="E71" t="str">
        <x:v>31</x:v>
      </x:c>
      <x:c r="F71" t="str">
        <x:v>R4,774</x:v>
      </x:c>
      <x:c r="G71" t="str">
        <x:v>18-03-2026</x:v>
      </x:c>
      <x:c r="H71" t="str">
        <x:v>Lebo Nkosi</x:v>
      </x:c>
      <x:c r="I71" t="str">
        <x:v>Paid</x:v>
      </x:c>
      <x:c r="J71" t="str">
        <x:v>SRC-0066</x:v>
      </x:c>
    </x:row>
    <x:row r="72">
      <x:c r="A72" t="str">
        <x:v>SAL-26-0067</x:v>
      </x:c>
      <x:c r="B72" t="str">
        <x:v>Meadowlands School</x:v>
      </x:c>
      <x:c r="C72" t="str">
        <x:v>Bochum</x:v>
      </x:c>
      <x:c r="D72" t="str">
        <x:v>Pencils</x:v>
      </x:c>
      <x:c r="E72" t="str">
        <x:v>2</x:v>
      </x:c>
      <x:c r="F72" t="str">
        <x:v>334</x:v>
      </x:c>
      <x:c r="G72" t="str">
        <x:v>2026/04/19</x:v>
      </x:c>
      <x:c r="H72" t="str">
        <x:v>Thabo Ndlovu</x:v>
      </x:c>
      <x:c r="I72" t="str">
        <x:v>Pending</x:v>
      </x:c>
      <x:c r="J72" t="str">
        <x:v>SRC-0067</x:v>
      </x:c>
    </x:row>
    <x:row r="73">
      <x:c r="A73" t="str">
        <x:v>SAL-26-0068</x:v>
      </x:c>
      <x:c r="B73" t="str">
        <x:v>Gardenview School</x:v>
      </x:c>
      <x:c r="C73" t="str">
        <x:v>Eldorado</x:v>
      </x:c>
      <x:c r="D73" t="str">
        <x:v>Folders</x:v>
      </x:c>
      <x:c r="E73" t="str">
        <x:v>9</x:v>
      </x:c>
      <x:c r="F73" t="str"/>
      <x:c r="G73" t="str">
        <x:v>2026-05-20</x:v>
      </x:c>
      <x:c r="H73" t="str">
        <x:v>Lebo Nkosi</x:v>
      </x:c>
      <x:c r="I73" t="str">
        <x:v>Complete</x:v>
      </x:c>
      <x:c r="J73" t="str">
        <x:v>SRC-0068</x:v>
      </x:c>
    </x:row>
    <x:row r="74">
      <x:c r="A74" t="str">
        <x:v>SAL-26-0069</x:v>
      </x:c>
      <x:c r="B74" t="str">
        <x:v>Riverside Academy</x:v>
      </x:c>
      <x:c r="C74" t="str">
        <x:v>Bochum</x:v>
      </x:c>
      <x:c r="D74" t="str">
        <x:v>Pens</x:v>
      </x:c>
      <x:c r="E74" t="str">
        <x:v>16</x:v>
      </x:c>
      <x:c r="F74" t="str">
        <x:v>3088</x:v>
      </x:c>
      <x:c r="G74" t="str">
        <x:v>21/06/26</x:v>
      </x:c>
      <x:c r="H74" t="str"/>
      <x:c r="I74" t="str">
        <x:v>Paid</x:v>
      </x:c>
      <x:c r="J74" t="str">
        <x:v>SRC-0069</x:v>
      </x:c>
    </x:row>
    <x:row r="75">
      <x:c r="A75" t="str">
        <x:v>SAL-26-0070</x:v>
      </x:c>
      <x:c r="B75" t="str">
        <x:v>Maple Secondary</x:v>
      </x:c>
      <x:c r="C75" t="str">
        <x:v>Eldorado</x:v>
      </x:c>
      <x:c r="D75" t="str">
        <x:v>  GLUE STICKS </x:v>
      </x:c>
      <x:c r="E75" t="str">
        <x:v> 23 </x:v>
      </x:c>
      <x:c r="F75" t="str">
        <x:v>575</x:v>
      </x:c>
      <x:c r="G75" t="str">
        <x:v>22-07-2026</x:v>
      </x:c>
      <x:c r="H75" t="str">
        <x:v>Lebo Nkosi</x:v>
      </x:c>
      <x:c r="I75" t="str">
        <x:v>Pending</x:v>
      </x:c>
      <x:c r="J75" t="str">
        <x:v>SRC-0070</x:v>
      </x:c>
    </x:row>
    <x:row r="76">
      <x:c r="A76" t="str">
        <x:v>SAL-26-0071</x:v>
      </x:c>
      <x:c r="B76" t="str">
        <x:v>Pinecrest School</x:v>
      </x:c>
      <x:c r="C76" t="str">
        <x:v>Bochum</x:v>
      </x:c>
      <x:c r="D76" t="str">
        <x:v>Markers</x:v>
      </x:c>
      <x:c r="E76" t="str">
        <x:v>30</x:v>
      </x:c>
      <x:c r="F76" t="str">
        <x:v>1140</x:v>
      </x:c>
      <x:c r="G76" t="str">
        <x:v>2026/08/23</x:v>
      </x:c>
      <x:c r="H76" t="str">
        <x:v>Thabo Ndlovu</x:v>
      </x:c>
      <x:c r="I76" t="str">
        <x:v>Complete</x:v>
      </x:c>
      <x:c r="J76" t="str">
        <x:v>SRC-0071</x:v>
      </x:c>
    </x:row>
    <x:row r="77">
      <x:c r="A77" t="str">
        <x:v>SAL-26-0072</x:v>
      </x:c>
      <x:c r="B77" t="str">
        <x:v>  NORTHSTAR ACADEMY </x:v>
      </x:c>
      <x:c r="C77" t="str">
        <x:v>Bochum</x:v>
      </x:c>
      <x:c r="D77" t="str">
        <x:v>Notebooks</x:v>
      </x:c>
      <x:c r="E77" t="str">
        <x:v>1</x:v>
      </x:c>
      <x:c r="F77" t="str">
        <x:v>51</x:v>
      </x:c>
      <x:c r="G77" t="str">
        <x:v>2026-01-24</x:v>
      </x:c>
      <x:c r="H77" t="str">
        <x:v> LEBO NKOSI </x:v>
      </x:c>
      <x:c r="I77" t="str">
        <x:v>Paid</x:v>
      </x:c>
      <x:c r="J77" t="str">
        <x:v>SRC-0072</x:v>
      </x:c>
    </x:row>
    <x:row r="78">
      <x:c r="A78" t="str">
        <x:v>SAL-26-0073</x:v>
      </x:c>
      <x:c r="B78" t="str">
        <x:v>Crescent Primary</x:v>
      </x:c>
      <x:c r="C78" t="str">
        <x:v>Eldorado</x:v>
      </x:c>
      <x:c r="D78" t="str">
        <x:v>Rulers</x:v>
      </x:c>
      <x:c r="E78" t="str">
        <x:v>8</x:v>
      </x:c>
      <x:c r="F78" t="str">
        <x:v>512</x:v>
      </x:c>
      <x:c r="G78" t="str">
        <x:v>25/02/26</x:v>
      </x:c>
      <x:c r="H78" t="str">
        <x:v>Thabo Ndlovu</x:v>
      </x:c>
      <x:c r="I78" t="str">
        <x:v>Pending</x:v>
      </x:c>
      <x:c r="J78" t="str">
        <x:v>SRC-0073</x:v>
      </x:c>
    </x:row>
    <x:row r="79">
      <x:c r="A79" t="str">
        <x:v>SAL-26-0073</x:v>
      </x:c>
      <x:c r="B79" t="str">
        <x:v>Hillview Primary</x:v>
      </x:c>
      <x:c r="C79" t="str">
        <x:v>Bochum</x:v>
      </x:c>
      <x:c r="D79" t="str">
        <x:v>Exercise books</x:v>
      </x:c>
      <x:c r="E79" t="str">
        <x:v>15</x:v>
      </x:c>
      <x:c r="F79" t="str">
        <x:v>1155</x:v>
      </x:c>
      <x:c r="G79" t="str">
        <x:v>26-03-2026</x:v>
      </x:c>
      <x:c r="H79" t="str">
        <x:v>Lebo Nkosi</x:v>
      </x:c>
      <x:c r="I79" t="str">
        <x:v>Complete</x:v>
      </x:c>
      <x:c r="J79" t="str">
        <x:v>SRC-0074</x:v>
      </x:c>
    </x:row>
    <x:row r="80">
      <x:c r="A80" t="str">
        <x:v>SAL-26-0075</x:v>
      </x:c>
      <x:c r="B80" t="str">
        <x:v>Eastwood Academy</x:v>
      </x:c>
      <x:c r="C80" t="str">
        <x:v>Eldorado</x:v>
      </x:c>
      <x:c r="D80" t="str">
        <x:v>Pencils</x:v>
      </x:c>
      <x:c r="E80" t="str">
        <x:v>22</x:v>
      </x:c>
      <x:c r="F80" t="str">
        <x:v>1980</x:v>
      </x:c>
      <x:c r="G80" t="str">
        <x:v>2026/04/02</x:v>
      </x:c>
      <x:c r="H80" t="str">
        <x:v>Thabo Ndlovu</x:v>
      </x:c>
      <x:c r="I80" t="str">
        <x:v>Paid</x:v>
      </x:c>
      <x:c r="J80" t="str">
        <x:v>SRC-0075</x:v>
      </x:c>
    </x:row>
    <x:row r="81">
      <x:c r="A81" t="str">
        <x:v>SAL-26-0076</x:v>
      </x:c>
      <x:c r="B81" t="str">
        <x:v>Lakeside School</x:v>
      </x:c>
      <x:c r="C81" t="str">
        <x:v>Bochum</x:v>
      </x:c>
      <x:c r="D81" t="str">
        <x:v>Folders</x:v>
      </x:c>
      <x:c r="E81" t="str">
        <x:v>29</x:v>
      </x:c>
      <x:c r="F81" t="str">
        <x:v>2987</x:v>
      </x:c>
      <x:c r="G81" t="str">
        <x:v>2026-05-03</x:v>
      </x:c>
      <x:c r="H81" t="str">
        <x:v>Lebo Nkosi</x:v>
      </x:c>
      <x:c r="I81" t="str">
        <x:v>settled</x:v>
      </x:c>
      <x:c r="J81" t="str">
        <x:v>SRC-0076</x:v>
      </x:c>
    </x:row>
    <x:row r="82">
      <x:c r="A82" t="str">
        <x:v>SAL-26-0077</x:v>
      </x:c>
      <x:c r="B82" t="str">
        <x:v>Valley Primary</x:v>
      </x:c>
      <x:c r="C82" t="str">
        <x:v>eldos</x:v>
      </x:c>
      <x:c r="D82" t="str">
        <x:v>Pens</x:v>
      </x:c>
      <x:c r="E82" t="str">
        <x:v> 36 </x:v>
      </x:c>
      <x:c r="F82" t="str">
        <x:v>R4,176</x:v>
      </x:c>
      <x:c r="G82" t="str">
        <x:v>04/06/26</x:v>
      </x:c>
      <x:c r="H82" t="str">
        <x:v>Thabo Ndlovu</x:v>
      </x:c>
      <x:c r="I82" t="str">
        <x:v>Complete</x:v>
      </x:c>
      <x:c r="J82" t="str">
        <x:v>SRC-0077</x:v>
      </x:c>
    </x:row>
    <x:row r="83">
      <x:c r="A83" t="str">
        <x:v>SAL-26-0078</x:v>
      </x:c>
      <x:c r="B83" t="str">
        <x:v>mhlabeni secondary</x:v>
      </x:c>
      <x:c r="C83" t="str">
        <x:v>Eldorado</x:v>
      </x:c>
      <x:c r="D83" t="str">
        <x:v>Glue sticks</x:v>
      </x:c>
      <x:c r="E83" t="str">
        <x:v>7</x:v>
      </x:c>
      <x:c r="F83" t="str">
        <x:v> R 903.00 </x:v>
      </x:c>
      <x:c r="G83" t="str">
        <x:v>05-07-2026</x:v>
      </x:c>
      <x:c r="H83" t="str">
        <x:v>Lebo Nkosi</x:v>
      </x:c>
      <x:c r="I83" t="str">
        <x:v>Paid</x:v>
      </x:c>
      <x:c r="J83" t="str">
        <x:v>SRC-0078</x:v>
      </x:c>
    </x:row>
    <x:row r="84">
      <x:c r="A84" t="str">
        <x:v>SAL-26-0079</x:v>
      </x:c>
      <x:c r="B84" t="str">
        <x:v>Meadowlands School</x:v>
      </x:c>
      <x:c r="C84" t="str">
        <x:v>Bochum</x:v>
      </x:c>
      <x:c r="D84" t="str">
        <x:v>Markers</x:v>
      </x:c>
      <x:c r="E84" t="str">
        <x:v>14</x:v>
      </x:c>
      <x:c r="F84" t="str">
        <x:v>1988</x:v>
      </x:c>
      <x:c r="G84" t="str">
        <x:v>2026/08/06</x:v>
      </x:c>
      <x:c r="H84" t="str">
        <x:v>Thabo Ndlovu</x:v>
      </x:c>
      <x:c r="I84" t="str">
        <x:v>Pending</x:v>
      </x:c>
      <x:c r="J84" t="str">
        <x:v>SRC-0079</x:v>
      </x:c>
    </x:row>
    <x:row r="85">
      <x:c r="A85" t="str">
        <x:v>SAL-26-0080</x:v>
      </x:c>
      <x:c r="B85" t="str">
        <x:v>Gardenview School</x:v>
      </x:c>
      <x:c r="C85" t="str">
        <x:v>Eldorado</x:v>
      </x:c>
      <x:c r="D85" t="str">
        <x:v>  NOTEBOOKS </x:v>
      </x:c>
      <x:c r="E85" t="str">
        <x:v>21</x:v>
      </x:c>
      <x:c r="F85" t="str">
        <x:v>3255</x:v>
      </x:c>
      <x:c r="G85" t="str">
        <x:v>2026-01-07</x:v>
      </x:c>
      <x:c r="H85" t="str">
        <x:v> LEBO NKOSI </x:v>
      </x:c>
      <x:c r="I85" t="str">
        <x:v>Complete</x:v>
      </x:c>
      <x:c r="J85" t="str">
        <x:v>SRC-0080</x:v>
      </x:c>
    </x:row>
    <x:row r="86">
      <x:c r="A86" t="str">
        <x:v>SAL-26-0081</x:v>
      </x:c>
      <x:c r="B86" t="str">
        <x:v>  RIVERSIDE ACADEMY </x:v>
      </x:c>
      <x:c r="C86" t="str">
        <x:v>Bochum</x:v>
      </x:c>
      <x:c r="D86" t="str">
        <x:v>Rulers</x:v>
      </x:c>
      <x:c r="E86" t="str">
        <x:v>28</x:v>
      </x:c>
      <x:c r="F86" t="str">
        <x:v>4704</x:v>
      </x:c>
      <x:c r="G86" t="str">
        <x:v>08/02/26</x:v>
      </x:c>
      <x:c r="H86" t="str">
        <x:v>Thabo Ndlovu</x:v>
      </x:c>
      <x:c r="I86" t="str">
        <x:v>  pending </x:v>
      </x:c>
      <x:c r="J86" t="str">
        <x:v>SRC-0081</x:v>
      </x:c>
    </x:row>
    <x:row r="87">
      <x:c r="A87" t="str">
        <x:v>SAL-26-0082</x:v>
      </x:c>
      <x:c r="B87" t="str">
        <x:v>Maple Secondary</x:v>
      </x:c>
      <x:c r="C87" t="str">
        <x:v>Eldorado</x:v>
      </x:c>
      <x:c r="D87" t="str">
        <x:v>Exercise books</x:v>
      </x:c>
      <x:c r="E87" t="str">
        <x:v>35</x:v>
      </x:c>
      <x:c r="F87" t="str">
        <x:v>6335</x:v>
      </x:c>
      <x:c r="G87" t="str">
        <x:v>09-03-2026</x:v>
      </x:c>
      <x:c r="H87" t="str">
        <x:v>Lebo Nkosi</x:v>
      </x:c>
      <x:c r="I87" t="str">
        <x:v>Pending</x:v>
      </x:c>
      <x:c r="J87" t="str">
        <x:v>SRC-0082</x:v>
      </x:c>
    </x:row>
    <x:row r="88">
      <x:c r="A88" t="str">
        <x:v>SAL-26-0083</x:v>
      </x:c>
      <x:c r="B88" t="str">
        <x:v>Pinecrest School</x:v>
      </x:c>
      <x:c r="C88" t="str">
        <x:v>Bochum</x:v>
      </x:c>
      <x:c r="D88" t="str">
        <x:v>Pencils</x:v>
      </x:c>
      <x:c r="E88" t="str">
        <x:v>6</x:v>
      </x:c>
      <x:c r="F88" t="str">
        <x:v>1164</x:v>
      </x:c>
      <x:c r="G88" t="str">
        <x:v>2026/04/10</x:v>
      </x:c>
      <x:c r="H88" t="str">
        <x:v>Thabo Ndlovu</x:v>
      </x:c>
      <x:c r="I88" t="str">
        <x:v>Complete</x:v>
      </x:c>
      <x:c r="J88" t="str">
        <x:v>SRC-0083</x:v>
      </x:c>
    </x:row>
    <x:row r="89">
      <x:c r="A89" t="str">
        <x:v>SAL-26-0084</x:v>
      </x:c>
      <x:c r="B89" t="str">
        <x:v>Northstar Academy</x:v>
      </x:c>
      <x:c r="C89" t="str">
        <x:v>Bochum</x:v>
      </x:c>
      <x:c r="D89" t="str">
        <x:v>Folders</x:v>
      </x:c>
      <x:c r="E89" t="str">
        <x:v> 13 </x:v>
      </x:c>
      <x:c r="F89" t="str">
        <x:v>338</x:v>
      </x:c>
      <x:c r="G89" t="str">
        <x:v>2026-05-11</x:v>
      </x:c>
      <x:c r="H89" t="str">
        <x:v>Lebo Nkosi</x:v>
      </x:c>
      <x:c r="I89" t="str">
        <x:v>Paid</x:v>
      </x:c>
      <x:c r="J89" t="str">
        <x:v>SRC-0084</x:v>
      </x:c>
    </x:row>
    <x:row r="90">
      <x:c r="A90" t="str">
        <x:v>SAL-26-0085</x:v>
      </x:c>
      <x:c r="B90" t="str">
        <x:v>Crescent Primary</x:v>
      </x:c>
      <x:c r="C90" t="str">
        <x:v>Eldorado</x:v>
      </x:c>
      <x:c r="D90" t="str">
        <x:v>Pens</x:v>
      </x:c>
      <x:c r="E90" t="str">
        <x:v>20</x:v>
      </x:c>
      <x:c r="F90" t="str"/>
      <x:c r="G90" t="str">
        <x:v>12/06/26</x:v>
      </x:c>
      <x:c r="H90" t="str">
        <x:v>Thabo Ndlovu</x:v>
      </x:c>
      <x:c r="I90" t="str">
        <x:v>Pending</x:v>
      </x:c>
      <x:c r="J90" t="str">
        <x:v>SRC-0085</x:v>
      </x:c>
    </x:row>
    <x:row r="91">
      <x:c r="A91" t="str">
        <x:v>SAL-26-0086</x:v>
      </x:c>
      <x:c r="B91" t="str">
        <x:v>Hillview Primary</x:v>
      </x:c>
      <x:c r="C91" t="str">
        <x:v>Bochum</x:v>
      </x:c>
      <x:c r="D91" t="str">
        <x:v>Glue sticks</x:v>
      </x:c>
      <x:c r="E91" t="str">
        <x:v>27</x:v>
      </x:c>
      <x:c r="F91" t="str">
        <x:v>N/A</x:v>
      </x:c>
      <x:c r="G91" t="str">
        <x:v>13-07-2026</x:v>
      </x:c>
      <x:c r="H91" t="str">
        <x:v>Lebo Nkosi</x:v>
      </x:c>
      <x:c r="I91" t="str">
        <x:v>Complete</x:v>
      </x:c>
      <x:c r="J91" t="str">
        <x:v>SRC-0086</x:v>
      </x:c>
    </x:row>
    <x:row r="92">
      <x:c r="A92" t="str">
        <x:v>SAL-26-0087</x:v>
      </x:c>
      <x:c r="B92" t="str">
        <x:v>Eastwood Academy</x:v>
      </x:c>
      <x:c r="C92" t="str">
        <x:v>Eldorado</x:v>
      </x:c>
      <x:c r="D92" t="str">
        <x:v>Markers</x:v>
      </x:c>
      <x:c r="E92" t="str">
        <x:v>34 units</x:v>
      </x:c>
      <x:c r="F92" t="str">
        <x:v>2210</x:v>
      </x:c>
      <x:c r="G92" t="str">
        <x:v>2026/08/14</x:v>
      </x:c>
      <x:c r="H92" t="str">
        <x:v>Thabo Ndlovu</x:v>
      </x:c>
      <x:c r="I92" t="str">
        <x:v>Paid</x:v>
      </x:c>
      <x:c r="J92" t="str">
        <x:v>SRC-0087</x:v>
      </x:c>
    </x:row>
    <x:row r="93">
      <x:c r="A93" t="str">
        <x:v>SAL-26-0088</x:v>
      </x:c>
      <x:c r="B93" t="str">
        <x:v>Lakeside School</x:v>
      </x:c>
      <x:c r="C93" t="str">
        <x:v> BOCHUM REGION </x:v>
      </x:c>
      <x:c r="D93" t="str">
        <x:v>Notebooks</x:v>
      </x:c>
      <x:c r="E93" t="str">
        <x:v>5</x:v>
      </x:c>
      <x:c r="F93" t="str">
        <x:v>R390</x:v>
      </x:c>
      <x:c r="G93" t="str">
        <x:v>2026-01-15</x:v>
      </x:c>
      <x:c r="H93" t="str">
        <x:v> LEBO NKOSI </x:v>
      </x:c>
      <x:c r="I93" t="str">
        <x:v>Pending</x:v>
      </x:c>
      <x:c r="J93" t="str">
        <x:v>SRC-0088</x:v>
      </x:c>
    </x:row>
    <x:row r="94">
      <x:c r="A94" t="str">
        <x:v>SAL-26-0089</x:v>
      </x:c>
      <x:c r="B94" t="str">
        <x:v>Valley Primary</x:v>
      </x:c>
      <x:c r="C94" t="str">
        <x:v>Eldorado</x:v>
      </x:c>
      <x:c r="D94" t="str">
        <x:v>Rulers</x:v>
      </x:c>
      <x:c r="E94" t="str">
        <x:v>12</x:v>
      </x:c>
      <x:c r="F94" t="str">
        <x:v>1092</x:v>
      </x:c>
      <x:c r="G94" t="str">
        <x:v>16/02/26</x:v>
      </x:c>
      <x:c r="H94" t="str">
        <x:v>Thabo Ndlovu</x:v>
      </x:c>
      <x:c r="I94" t="str">
        <x:v>Complete</x:v>
      </x:c>
      <x:c r="J94" t="str">
        <x:v>SRC-0089</x:v>
      </x:c>
    </x:row>
    <x:row r="95">
      <x:c r="A95" t="str">
        <x:v>SAL-26-0090</x:v>
      </x:c>
      <x:c r="B95" t="str">
        <x:v>  MHLABENI SECONDARY </x:v>
      </x:c>
      <x:c r="C95" t="str">
        <x:v>Eldorado</x:v>
      </x:c>
      <x:c r="D95" t="str">
        <x:v>  EXERCISE BOOKS </x:v>
      </x:c>
      <x:c r="E95" t="str">
        <x:v>19</x:v>
      </x:c>
      <x:c r="F95" t="str">
        <x:v>1976</x:v>
      </x:c>
      <x:c r="G95" t="str">
        <x:v>17-03-2026</x:v>
      </x:c>
      <x:c r="H95" t="str">
        <x:v>Lebo Nkosi</x:v>
      </x:c>
      <x:c r="I95" t="str">
        <x:v>Paid</x:v>
      </x:c>
      <x:c r="J95" t="str">
        <x:v>SRC-0090</x:v>
      </x:c>
    </x:row>
    <x:row r="96">
      <x:c r="A96" t="str">
        <x:v>SAL-26-0091</x:v>
      </x:c>
      <x:c r="B96" t="str">
        <x:v>meadowlands school</x:v>
      </x:c>
      <x:c r="C96" t="str">
        <x:v>Bochum</x:v>
      </x:c>
      <x:c r="D96" t="str">
        <x:v>Pencils</x:v>
      </x:c>
      <x:c r="E96" t="str">
        <x:v> 26 </x:v>
      </x:c>
      <x:c r="F96" t="str">
        <x:v> R 3042.00 </x:v>
      </x:c>
      <x:c r="G96" t="str">
        <x:v>2026/04/18</x:v>
      </x:c>
      <x:c r="H96" t="str">
        <x:v>Thabo Ndlovu</x:v>
      </x:c>
      <x:c r="I96" t="str">
        <x:v>Pending</x:v>
      </x:c>
      <x:c r="J96" t="str">
        <x:v>SRC-0091</x:v>
      </x:c>
    </x:row>
    <x:row r="97">
      <x:c r="A97" t="str">
        <x:v>SAL-26-0092</x:v>
      </x:c>
      <x:c r="B97" t="str">
        <x:v>Gardenview School</x:v>
      </x:c>
      <x:c r="C97" t="str">
        <x:v>Eldorado</x:v>
      </x:c>
      <x:c r="D97" t="str">
        <x:v>Folders</x:v>
      </x:c>
      <x:c r="E97" t="str">
        <x:v>33</x:v>
      </x:c>
      <x:c r="F97" t="str">
        <x:v>4290</x:v>
      </x:c>
      <x:c r="G97" t="str">
        <x:v>2026-05-19</x:v>
      </x:c>
      <x:c r="H97" t="str"/>
      <x:c r="I97" t="str">
        <x:v>Complete</x:v>
      </x:c>
      <x:c r="J97" t="str">
        <x:v>SRC-0092</x:v>
      </x:c>
    </x:row>
    <x:row r="98">
      <x:c r="A98" t="str">
        <x:v>SAL-26-0093</x:v>
      </x:c>
      <x:c r="B98" t="str">
        <x:v>Riverside Academy</x:v>
      </x:c>
      <x:c r="C98" t="str">
        <x:v>Bochum</x:v>
      </x:c>
      <x:c r="D98" t="str">
        <x:v>Pens</x:v>
      </x:c>
      <x:c r="E98" t="str"/>
      <x:c r="F98" t="str">
        <x:v>572</x:v>
      </x:c>
      <x:c r="G98" t="str">
        <x:v>not supplied</x:v>
      </x:c>
      <x:c r="H98" t="str">
        <x:v>Thabo Ndlovu</x:v>
      </x:c>
      <x:c r="I98" t="str">
        <x:v>Paid</x:v>
      </x:c>
      <x:c r="J98" t="str">
        <x:v>SRC-0093</x:v>
      </x:c>
    </x:row>
    <x:row r="99">
      <x:c r="A99" t="str">
        <x:v>SAL-26-0094</x:v>
      </x:c>
      <x:c r="B99" t="str">
        <x:v>Maple Secondary</x:v>
      </x:c>
      <x:c r="C99" t="str">
        <x:v>Unknown district</x:v>
      </x:c>
      <x:c r="D99" t="str">
        <x:v>Glue sticks</x:v>
      </x:c>
      <x:c r="E99" t="str">
        <x:v>11</x:v>
      </x:c>
      <x:c r="F99" t="str">
        <x:v>R-300</x:v>
      </x:c>
      <x:c r="G99" t="str">
        <x:v>21-07-2026</x:v>
      </x:c>
      <x:c r="H99" t="str">
        <x:v>Lebo Nkosi</x:v>
      </x:c>
      <x:c r="I99" t="str">
        <x:v>Pending</x:v>
      </x:c>
      <x:c r="J99" t="str">
        <x:v>SRC-0094</x:v>
      </x:c>
    </x:row>
    <x:row r="100">
      <x:c r="A100" t="str">
        <x:v>SAL-26-0095</x:v>
      </x:c>
      <x:c r="B100" t="str">
        <x:v>Pinecrest School</x:v>
      </x:c>
      <x:c r="C100" t="str">
        <x:v>Bochum</x:v>
      </x:c>
      <x:c r="D100" t="str">
        <x:v>Markers</x:v>
      </x:c>
      <x:c r="E100" t="str">
        <x:v>18</x:v>
      </x:c>
      <x:c r="F100" t="str">
        <x:v>3042</x:v>
      </x:c>
      <x:c r="G100" t="str">
        <x:v>2026/08/22</x:v>
      </x:c>
      <x:c r="H100" t="str">
        <x:v>Thabo Ndlovu</x:v>
      </x:c>
      <x:c r="I100" t="str">
        <x:v>settled</x:v>
      </x:c>
      <x:c r="J100" t="str">
        <x:v>SRC-0095</x:v>
      </x:c>
    </x:row>
    <x:row r="101">
      <x:c r="A101" t="str">
        <x:v>SAL-26-0096</x:v>
      </x:c>
      <x:c r="B101" t="str">
        <x:v>Northstar Academy</x:v>
      </x:c>
      <x:c r="C101" t="str">
        <x:v>Bochum</x:v>
      </x:c>
      <x:c r="D101" t="str">
        <x:v>notebooks</x:v>
      </x:c>
      <x:c r="E101" t="str">
        <x:v>25</x:v>
      </x:c>
      <x:c r="F101" t="str">
        <x:v>4550</x:v>
      </x:c>
      <x:c r="G101" t="str">
        <x:v>2026-01-23</x:v>
      </x:c>
      <x:c r="H101" t="str">
        <x:v> LEBO NKOSI </x:v>
      </x:c>
      <x:c r="I101" t="str">
        <x:v>Paid</x:v>
      </x:c>
      <x:c r="J101" t="str">
        <x:v>SRC-0096</x:v>
      </x:c>
    </x:row>
    <x:row r="102">
      <x:c r="A102" t="str">
        <x:v>SAL-26-0097</x:v>
      </x:c>
      <x:c r="B102" t="str">
        <x:v>Crescent Primary</x:v>
      </x:c>
      <x:c r="C102" t="str">
        <x:v>Eldorado</x:v>
      </x:c>
      <x:c r="D102" t="str">
        <x:v>Rulers</x:v>
      </x:c>
      <x:c r="E102" t="str">
        <x:v>32</x:v>
      </x:c>
      <x:c r="F102" t="str">
        <x:v>6240</x:v>
      </x:c>
      <x:c r="G102" t="str">
        <x:v>24/02/26</x:v>
      </x:c>
      <x:c r="H102" t="str">
        <x:v>Thabo Ndlovu</x:v>
      </x:c>
      <x:c r="I102" t="str">
        <x:v>Pending</x:v>
      </x:c>
      <x:c r="J102" t="str">
        <x:v>SRC-0097</x:v>
      </x:c>
    </x:row>
    <x:row r="103">
      <x:c r="A103" t="str">
        <x:v>SAL-26-0098</x:v>
      </x:c>
      <x:c r="B103" t="str">
        <x:v>Hillview Primary</x:v>
      </x:c>
      <x:c r="C103" t="str">
        <x:v>Bochum</x:v>
      </x:c>
      <x:c r="D103" t="str">
        <x:v>Exercise books</x:v>
      </x:c>
      <x:c r="E103" t="str">
        <x:v> 3 </x:v>
      </x:c>
      <x:c r="F103" t="str">
        <x:v>81</x:v>
      </x:c>
      <x:c r="G103" t="str">
        <x:v>25-03-2026</x:v>
      </x:c>
      <x:c r="H103" t="str">
        <x:v>Lebo Nkosi</x:v>
      </x:c>
      <x:c r="I103" t="str">
        <x:v>Complete</x:v>
      </x:c>
      <x:c r="J103" t="str">
        <x:v>SRC-0098</x:v>
      </x:c>
    </x:row>
    <x:row r="104">
      <x:c r="A104" t="str">
        <x:v>SAL-26-0099</x:v>
      </x:c>
      <x:c r="B104" t="str">
        <x:v>  EASTWOOD ACADEMY </x:v>
      </x:c>
      <x:c r="C104" t="str">
        <x:v>eldos</x:v>
      </x:c>
      <x:c r="D104" t="str">
        <x:v>Pencils</x:v>
      </x:c>
      <x:c r="E104" t="str">
        <x:v>10</x:v>
      </x:c>
      <x:c r="F104" t="str">
        <x:v>R400</x:v>
      </x:c>
      <x:c r="G104" t="str">
        <x:v>2026/04/26</x:v>
      </x:c>
      <x:c r="H104" t="str">
        <x:v>Thabo Ndlovu</x:v>
      </x:c>
      <x:c r="I104" t="str">
        <x:v>Paid</x:v>
      </x:c>
      <x:c r="J104" t="str">
        <x:v>SRC-0099</x:v>
      </x:c>
    </x:row>
    <x:row r="105">
      <x:c r="A105" t="str">
        <x:v>SAL-26-0100</x:v>
      </x:c>
      <x:c r="B105" t="str">
        <x:v>Lakeside School</x:v>
      </x:c>
      <x:c r="C105" t="str">
        <x:v>Bochum</x:v>
      </x:c>
      <x:c r="D105" t="str">
        <x:v>  FOLDERS </x:v>
      </x:c>
      <x:c r="E105" t="str">
        <x:v>17</x:v>
      </x:c>
      <x:c r="F105" t="str">
        <x:v>901</x:v>
      </x:c>
      <x:c r="G105" t="str">
        <x:v>2026-05-02</x:v>
      </x:c>
      <x:c r="H105" t="str">
        <x:v>Lebo Nkosi</x:v>
      </x:c>
      <x:c r="I105" t="str">
        <x:v>Pending</x:v>
      </x:c>
      <x:c r="J105" t="str">
        <x:v>SRC-0100</x:v>
      </x:c>
    </x:row>
    <x:row r="106">
      <x:c r="A106" t="str">
        <x:v>SAL-26-0101</x:v>
      </x:c>
      <x:c r="B106" t="str">
        <x:v>Valley Primary</x:v>
      </x:c>
      <x:c r="C106" t="str">
        <x:v>Eldorado</x:v>
      </x:c>
      <x:c r="D106" t="str">
        <x:v>Pens</x:v>
      </x:c>
      <x:c r="E106" t="str">
        <x:v>24</x:v>
      </x:c>
      <x:c r="F106" t="str">
        <x:v>1584</x:v>
      </x:c>
      <x:c r="G106" t="str">
        <x:v>03/06/26</x:v>
      </x:c>
      <x:c r="H106" t="str">
        <x:v>Thabo Ndlovu</x:v>
      </x:c>
      <x:c r="I106" t="str">
        <x:v>Complete</x:v>
      </x:c>
      <x:c r="J106" t="str">
        <x:v>SRC-0101</x:v>
      </x:c>
    </x:row>
    <x:row r="107">
      <x:c r="A107" t="str">
        <x:v>SAL-26-0102</x:v>
      </x:c>
      <x:c r="B107" t="str">
        <x:v>Mhlabeni Secondary</x:v>
      </x:c>
      <x:c r="C107" t="str">
        <x:v>Eldorado</x:v>
      </x:c>
      <x:c r="D107" t="str">
        <x:v>Glue sticks</x:v>
      </x:c>
      <x:c r="E107" t="str">
        <x:v>31</x:v>
      </x:c>
      <x:c r="F107" t="str"/>
      <x:c r="G107" t="str">
        <x:v>04-07-2026</x:v>
      </x:c>
      <x:c r="H107" t="str">
        <x:v>Lebo Nkosi</x:v>
      </x:c>
      <x:c r="I107" t="str">
        <x:v>Paid</x:v>
      </x:c>
      <x:c r="J107" t="str">
        <x:v>SRC-0102</x:v>
      </x:c>
    </x:row>
    <x:row r="108">
      <x:c r="A108" t="str">
        <x:v>SAL-26-0103</x:v>
      </x:c>
      <x:c r="B108" t="str">
        <x:v>Meadowlands School</x:v>
      </x:c>
      <x:c r="C108" t="str">
        <x:v>Bochum</x:v>
      </x:c>
      <x:c r="D108" t="str">
        <x:v>Markers</x:v>
      </x:c>
      <x:c r="E108" t="str">
        <x:v>2</x:v>
      </x:c>
      <x:c r="F108" t="str">
        <x:v>184</x:v>
      </x:c>
      <x:c r="G108" t="str">
        <x:v>2026/08/05</x:v>
      </x:c>
      <x:c r="H108" t="str">
        <x:v>Thabo Ndlovu</x:v>
      </x:c>
      <x:c r="I108" t="str">
        <x:v>Pending</x:v>
      </x:c>
      <x:c r="J108" t="str">
        <x:v>SRC-0103</x:v>
      </x:c>
    </x:row>
    <x:row r="109">
      <x:c r="A109" t="str">
        <x:v>SAL-26-0104</x:v>
      </x:c>
      <x:c r="B109" t="str">
        <x:v>gardenview school</x:v>
      </x:c>
      <x:c r="C109" t="str">
        <x:v>Eldorado</x:v>
      </x:c>
      <x:c r="D109" t="str">
        <x:v>Notebooks</x:v>
      </x:c>
      <x:c r="E109" t="str">
        <x:v>9</x:v>
      </x:c>
      <x:c r="F109" t="str">
        <x:v> R 945.00 </x:v>
      </x:c>
      <x:c r="G109" t="str">
        <x:v>2026-01-06</x:v>
      </x:c>
      <x:c r="H109" t="str">
        <x:v> LEBO NKOSI </x:v>
      </x:c>
      <x:c r="I109" t="str">
        <x:v>Complete</x:v>
      </x:c>
      <x:c r="J109" t="str">
        <x:v>SRC-0104</x:v>
      </x:c>
    </x:row>
    <x:row r="110">
      <x:c r="A110" t="str">
        <x:v>SAL-26-0105</x:v>
      </x:c>
      <x:c r="B110" t="str">
        <x:v>Riverside Academy</x:v>
      </x:c>
      <x:c r="C110" t="str">
        <x:v>Bochum</x:v>
      </x:c>
      <x:c r="D110" t="str">
        <x:v>Rulers</x:v>
      </x:c>
      <x:c r="E110" t="str">
        <x:v> 16 </x:v>
      </x:c>
      <x:c r="F110" t="str">
        <x:v>1888</x:v>
      </x:c>
      <x:c r="G110" t="str">
        <x:v>07/02/26</x:v>
      </x:c>
      <x:c r="H110" t="str">
        <x:v>Thabo Ndlovu</x:v>
      </x:c>
      <x:c r="I110" t="str">
        <x:v>Paid</x:v>
      </x:c>
      <x:c r="J110" t="str">
        <x:v>SRC-0105</x:v>
      </x:c>
    </x:row>
    <x:row r="111">
      <x:c r="A111" t="str">
        <x:v>SAL-26-0106</x:v>
      </x:c>
      <x:c r="B111" t="str">
        <x:v>Maple Secondary</x:v>
      </x:c>
      <x:c r="C111" t="str">
        <x:v>Eldorado</x:v>
      </x:c>
      <x:c r="D111" t="str">
        <x:v>Exercise books</x:v>
      </x:c>
      <x:c r="E111" t="str">
        <x:v>23</x:v>
      </x:c>
      <x:c r="F111" t="str">
        <x:v>3013</x:v>
      </x:c>
      <x:c r="G111" t="str">
        <x:v>2026-19-44</x:v>
      </x:c>
      <x:c r="H111" t="str">
        <x:v>Lebo Nkosi</x:v>
      </x:c>
      <x:c r="I111" t="str">
        <x:v>Pending</x:v>
      </x:c>
      <x:c r="J111" t="str">
        <x:v>SRC-0106</x:v>
      </x:c>
    </x:row>
    <x:row r="112">
      <x:c r="A112" t="str">
        <x:v>SAL-26-0107</x:v>
      </x:c>
      <x:c r="B112" t="str">
        <x:v>Pinecrest School</x:v>
      </x:c>
      <x:c r="C112" t="str">
        <x:v>Bochum</x:v>
      </x:c>
      <x:c r="D112" t="str">
        <x:v>Pencils</x:v>
      </x:c>
      <x:c r="E112" t="str">
        <x:v>30</x:v>
      </x:c>
      <x:c r="F112" t="str">
        <x:v>4320</x:v>
      </x:c>
      <x:c r="G112" t="str">
        <x:v>2026/04/09</x:v>
      </x:c>
      <x:c r="H112" t="str">
        <x:v>Thabo Ndlovu</x:v>
      </x:c>
      <x:c r="I112" t="str">
        <x:v>Complete</x:v>
      </x:c>
      <x:c r="J112" t="str">
        <x:v>SRC-0107</x:v>
      </x:c>
    </x:row>
    <x:row r="113">
      <x:c r="A113" t="str">
        <x:v>SAL-26-0108</x:v>
      </x:c>
      <x:c r="B113" t="str">
        <x:v>  NORTHSTAR ACADEMY </x:v>
      </x:c>
      <x:c r="C113" t="str">
        <x:v>Bochum</x:v>
      </x:c>
      <x:c r="D113" t="str">
        <x:v>Folders</x:v>
      </x:c>
      <x:c r="E113" t="str">
        <x:v>1</x:v>
      </x:c>
      <x:c r="F113" t="str">
        <x:v>157</x:v>
      </x:c>
      <x:c r="G113" t="str">
        <x:v>2026-05-10</x:v>
      </x:c>
      <x:c r="H113" t="str">
        <x:v>Lebo Nkosi</x:v>
      </x:c>
      <x:c r="I113" t="str">
        <x:v>  pending </x:v>
      </x:c>
      <x:c r="J113" t="str">
        <x:v>SRC-0108</x:v>
      </x:c>
    </x:row>
    <x:row r="114">
      <x:c r="A114" t="str">
        <x:v>SAL-26-0109</x:v>
      </x:c>
      <x:c r="B114" t="str">
        <x:v>Crescent Primary</x:v>
      </x:c>
      <x:c r="C114" t="str">
        <x:v>Eldorado</x:v>
      </x:c>
      <x:c r="D114" t="str">
        <x:v>Pens</x:v>
      </x:c>
      <x:c r="E114" t="str">
        <x:v>8</x:v>
      </x:c>
      <x:c r="F114" t="str">
        <x:v>1360</x:v>
      </x:c>
      <x:c r="G114" t="str">
        <x:v>11/06/26</x:v>
      </x:c>
      <x:c r="H114" t="str">
        <x:v>Thabo Ndlovu</x:v>
      </x:c>
      <x:c r="I114" t="str">
        <x:v>Pending</x:v>
      </x:c>
      <x:c r="J114" t="str">
        <x:v>SRC-0109</x:v>
      </x:c>
    </x:row>
    <x:row r="115">
      <x:c r="A115" t="str">
        <x:v>SAL-26-0110</x:v>
      </x:c>
      <x:c r="B115" t="str">
        <x:v>Hillview Primary</x:v>
      </x:c>
      <x:c r="C115" t="str">
        <x:v> BOCHUM REGION </x:v>
      </x:c>
      <x:c r="D115" t="str">
        <x:v>  GLUE STICKS </x:v>
      </x:c>
      <x:c r="E115" t="str">
        <x:v>15</x:v>
      </x:c>
      <x:c r="F115" t="str">
        <x:v>R2,745</x:v>
      </x:c>
      <x:c r="G115" t="str">
        <x:v>12-07-2026</x:v>
      </x:c>
      <x:c r="H115" t="str">
        <x:v>Lebo Nkosi</x:v>
      </x:c>
      <x:c r="I115" t="str">
        <x:v>Complete</x:v>
      </x:c>
      <x:c r="J115" t="str">
        <x:v>SRC-0110</x:v>
      </x:c>
    </x:row>
    <x:row r="116">
      <x:c r="A116" t="str">
        <x:v>SAL-26-0110</x:v>
      </x:c>
      <x:c r="B116" t="str">
        <x:v>Eastwood Academy</x:v>
      </x:c>
      <x:c r="C116" t="str">
        <x:v>Eldorado</x:v>
      </x:c>
      <x:c r="D116" t="str">
        <x:v>Markers</x:v>
      </x:c>
      <x:c r="E116" t="str">
        <x:v>22</x:v>
      </x:c>
      <x:c r="F116" t="str">
        <x:v>4312</x:v>
      </x:c>
      <x:c r="G116" t="str">
        <x:v>2026/08/13</x:v>
      </x:c>
      <x:c r="H116" t="str">
        <x:v>Thabo Ndlovu</x:v>
      </x:c>
      <x:c r="I116" t="str">
        <x:v>Paid</x:v>
      </x:c>
      <x:c r="J116" t="str">
        <x:v>SRC-0111</x:v>
      </x:c>
    </x:row>
    <x:row r="117">
      <x:c r="A117" t="str">
        <x:v>SAL-26-0112</x:v>
      </x:c>
      <x:c r="B117" t="str">
        <x:v>Lakeside School</x:v>
      </x:c>
      <x:c r="C117" t="str">
        <x:v>Bochum</x:v>
      </x:c>
      <x:c r="D117" t="str">
        <x:v>notebooks</x:v>
      </x:c>
      <x:c r="E117" t="str">
        <x:v> 29 </x:v>
      </x:c>
      <x:c r="F117" t="str">
        <x:v>812</x:v>
      </x:c>
      <x:c r="G117" t="str">
        <x:v>2026-01-14</x:v>
      </x:c>
      <x:c r="H117" t="str">
        <x:v> LEBO NKOSI </x:v>
      </x:c>
      <x:c r="I117" t="str">
        <x:v>Pending</x:v>
      </x:c>
      <x:c r="J117" t="str">
        <x:v>SRC-0112</x:v>
      </x:c>
    </x:row>
    <x:row r="118">
      <x:c r="A118" t="str">
        <x:v>SAL-26-0113</x:v>
      </x:c>
      <x:c r="B118" t="str">
        <x:v>Valley Primary</x:v>
      </x:c>
      <x:c r="C118" t="str">
        <x:v>Eldorado</x:v>
      </x:c>
      <x:c r="D118" t="str">
        <x:v>Rulers</x:v>
      </x:c>
      <x:c r="E118" t="str">
        <x:v>36</x:v>
      </x:c>
      <x:c r="F118" t="str">
        <x:v>1476</x:v>
      </x:c>
      <x:c r="G118" t="str">
        <x:v>15/02/26</x:v>
      </x:c>
      <x:c r="H118" t="str">
        <x:v>Thabo Ndlovu</x:v>
      </x:c>
      <x:c r="I118" t="str">
        <x:v>Complete</x:v>
      </x:c>
      <x:c r="J118" t="str">
        <x:v>SRC-0113</x:v>
      </x:c>
    </x:row>
    <x:row r="119">
      <x:c r="A119" t="str">
        <x:v>SAL-26-0114</x:v>
      </x:c>
      <x:c r="B119" t="str">
        <x:v>Mhlabeni Secondary</x:v>
      </x:c>
      <x:c r="C119" t="str">
        <x:v>Eldorado</x:v>
      </x:c>
      <x:c r="D119" t="str">
        <x:v>Exercise books</x:v>
      </x:c>
      <x:c r="E119" t="str">
        <x:v>7</x:v>
      </x:c>
      <x:c r="F119" t="str">
        <x:v>378</x:v>
      </x:c>
      <x:c r="G119" t="str">
        <x:v>16-03-2026</x:v>
      </x:c>
      <x:c r="H119" t="str">
        <x:v>Lebo Nkosi</x:v>
      </x:c>
      <x:c r="I119" t="str">
        <x:v>settled</x:v>
      </x:c>
      <x:c r="J119" t="str">
        <x:v>SRC-0114</x:v>
      </x:c>
    </x:row>
    <x:row r="120">
      <x:c r="A120" t="str">
        <x:v>SAL-26-0115</x:v>
      </x:c>
      <x:c r="B120" t="str">
        <x:v>Meadowlands School</x:v>
      </x:c>
      <x:c r="C120" t="str">
        <x:v>Bochum</x:v>
      </x:c>
      <x:c r="D120" t="str">
        <x:v>Pencils</x:v>
      </x:c>
      <x:c r="E120" t="str">
        <x:v>14</x:v>
      </x:c>
      <x:c r="F120" t="str">
        <x:v>938</x:v>
      </x:c>
      <x:c r="G120" t="str">
        <x:v>2026/04/17</x:v>
      </x:c>
      <x:c r="H120" t="str"/>
      <x:c r="I120" t="str">
        <x:v>Pending</x:v>
      </x:c>
      <x:c r="J120" t="str">
        <x:v>SRC-0115</x:v>
      </x:c>
    </x:row>
    <x:row r="121">
      <x:c r="A121" t="str">
        <x:v>SAL-26-0116</x:v>
      </x:c>
      <x:c r="B121" t="str">
        <x:v>Gardenview School</x:v>
      </x:c>
      <x:c r="C121" t="str">
        <x:v>Eldorado</x:v>
      </x:c>
      <x:c r="D121" t="str">
        <x:v>Folders</x:v>
      </x:c>
      <x:c r="E121" t="str">
        <x:v>21 units</x:v>
      </x:c>
      <x:c r="F121" t="str">
        <x:v>1680</x:v>
      </x:c>
      <x:c r="G121" t="str">
        <x:v>2026-05-18</x:v>
      </x:c>
      <x:c r="H121" t="str">
        <x:v>Lebo Nkosi</x:v>
      </x:c>
      <x:c r="I121" t="str">
        <x:v>Complete</x:v>
      </x:c>
      <x:c r="J121" t="str">
        <x:v>SRC-0116</x:v>
      </x:c>
    </x:row>
    <x:row r="122">
      <x:c r="A122" t="str">
        <x:v>SAL-26-0117</x:v>
      </x:c>
      <x:c r="B122" t="str">
        <x:v>  RIVERSIDE ACADEMY </x:v>
      </x:c>
      <x:c r="C122" t="str">
        <x:v>Bochum</x:v>
      </x:c>
      <x:c r="D122" t="str">
        <x:v>Pens</x:v>
      </x:c>
      <x:c r="E122" t="str">
        <x:v>28</x:v>
      </x:c>
      <x:c r="F122" t="str">
        <x:v> R 2604.00 </x:v>
      </x:c>
      <x:c r="G122" t="str">
        <x:v>19/06/26</x:v>
      </x:c>
      <x:c r="H122" t="str">
        <x:v>Thabo Ndlovu</x:v>
      </x:c>
      <x:c r="I122" t="str">
        <x:v>Paid</x:v>
      </x:c>
      <x:c r="J122" t="str">
        <x:v>SRC-0117</x:v>
      </x:c>
    </x:row>
    <x:row r="123">
      <x:c r="A123" t="str">
        <x:v>SAL-26-0118</x:v>
      </x:c>
      <x:c r="B123" t="str">
        <x:v>Maple Secondary</x:v>
      </x:c>
      <x:c r="C123" t="str">
        <x:v>Eldorado</x:v>
      </x:c>
      <x:c r="D123" t="str">
        <x:v>Glue sticks</x:v>
      </x:c>
      <x:c r="E123" t="str">
        <x:v>35</x:v>
      </x:c>
      <x:c r="F123" t="str">
        <x:v>3710</x:v>
      </x:c>
      <x:c r="G123" t="str">
        <x:v>20-07-2026</x:v>
      </x:c>
      <x:c r="H123" t="str">
        <x:v>Lebo Nkosi</x:v>
      </x:c>
      <x:c r="I123" t="str">
        <x:v>Pending</x:v>
      </x:c>
      <x:c r="J123" t="str">
        <x:v>SRC-0118</x:v>
      </x:c>
    </x:row>
    <x:row r="124">
      <x:c r="A124" t="str">
        <x:v>SAL-26-0119</x:v>
      </x:c>
      <x:c r="B124" t="str">
        <x:v>Pinecrest School</x:v>
      </x:c>
      <x:c r="C124" t="str">
        <x:v>Bochum</x:v>
      </x:c>
      <x:c r="D124" t="str">
        <x:v>Markers</x:v>
      </x:c>
      <x:c r="E124" t="str">
        <x:v> 6 </x:v>
      </x:c>
      <x:c r="F124" t="str"/>
      <x:c r="G124" t="str">
        <x:v>2026/08/21</x:v>
      </x:c>
      <x:c r="H124" t="str">
        <x:v>Thabo Ndlovu</x:v>
      </x:c>
      <x:c r="I124" t="str">
        <x:v>Complete</x:v>
      </x:c>
      <x:c r="J124" t="str">
        <x:v>SRC-0119</x:v>
      </x:c>
    </x:row>
    <x:row r="125">
      <x:c r="A125" t="str">
        <x:v>SAL-26-0120</x:v>
      </x:c>
      <x:c r="B125" t="str">
        <x:v>Northstar Academy</x:v>
      </x:c>
      <x:c r="C125" t="str">
        <x:v>Bochum</x:v>
      </x:c>
      <x:c r="D125" t="str">
        <x:v>  NOTEBOOKS </x:v>
      </x:c>
      <x:c r="E125" t="str">
        <x:v>13</x:v>
      </x:c>
      <x:c r="F125" t="str">
        <x:v>1716</x:v>
      </x:c>
      <x:c r="G125" t="str">
        <x:v>2026-01-22</x:v>
      </x:c>
      <x:c r="H125" t="str">
        <x:v> LEBO NKOSI </x:v>
      </x:c>
      <x:c r="I125" t="str">
        <x:v>Paid</x:v>
      </x:c>
      <x:c r="J125" t="str">
        <x:v>SRC-0120</x:v>
      </x:c>
    </x:row>
    <x:row r="126">
      <x:c r="A126" t="str">
        <x:v>SAL-26-0121</x:v>
      </x:c>
      <x:c r="B126" t="str">
        <x:v>Crescent Primary</x:v>
      </x:c>
      <x:c r="C126" t="str">
        <x:v>eldos</x:v>
      </x:c>
      <x:c r="D126" t="str">
        <x:v>Rulers</x:v>
      </x:c>
      <x:c r="E126" t="str">
        <x:v>20</x:v>
      </x:c>
      <x:c r="F126" t="str">
        <x:v>R2,900</x:v>
      </x:c>
      <x:c r="G126" t="str">
        <x:v>23/02/26</x:v>
      </x:c>
      <x:c r="H126" t="str">
        <x:v>Thabo Ndlovu</x:v>
      </x:c>
      <x:c r="I126" t="str">
        <x:v>Pending</x:v>
      </x:c>
      <x:c r="J126" t="str">
        <x:v>SRC-0121</x:v>
      </x:c>
    </x:row>
    <x:row r="127">
      <x:c r="A127" t="str">
        <x:v>SAL-26-0122</x:v>
      </x:c>
      <x:c r="B127" t="str">
        <x:v>Hillview Primary</x:v>
      </x:c>
      <x:c r="C127" t="str">
        <x:v>Bochum</x:v>
      </x:c>
      <x:c r="D127" t="str">
        <x:v>Exercise books</x:v>
      </x:c>
      <x:c r="E127" t="str">
        <x:v>27</x:v>
      </x:c>
      <x:c r="F127" t="str">
        <x:v>4266</x:v>
      </x:c>
      <x:c r="G127" t="str">
        <x:v>24-03-2026</x:v>
      </x:c>
      <x:c r="H127" t="str">
        <x:v>Lebo Nkosi</x:v>
      </x:c>
      <x:c r="I127" t="str">
        <x:v>Complete</x:v>
      </x:c>
      <x:c r="J127" t="str">
        <x:v>SRC-0122</x:v>
      </x:c>
    </x:row>
    <x:row r="128">
      <x:c r="A128" t="str">
        <x:v>SAL-26-0123</x:v>
      </x:c>
      <x:c r="B128" t="str">
        <x:v>Eastwood Academy</x:v>
      </x:c>
      <x:c r="C128" t="str">
        <x:v>Eldorado</x:v>
      </x:c>
      <x:c r="D128" t="str">
        <x:v>Pencils</x:v>
      </x:c>
      <x:c r="E128" t="str">
        <x:v>34</x:v>
      </x:c>
      <x:c r="F128" t="str">
        <x:v>5814</x:v>
      </x:c>
      <x:c r="G128" t="str">
        <x:v>2026/04/25</x:v>
      </x:c>
      <x:c r="H128" t="str">
        <x:v>Thabo Ndlovu</x:v>
      </x:c>
      <x:c r="I128" t="str">
        <x:v>Paid</x:v>
      </x:c>
      <x:c r="J128" t="str">
        <x:v>SRC-0123</x:v>
      </x:c>
    </x:row>
    <x:row r="129">
      <x:c r="A129" t="str">
        <x:v>SAL-26-0124</x:v>
      </x:c>
      <x:c r="B129" t="str">
        <x:v>Lakeside School</x:v>
      </x:c>
      <x:c r="C129" t="str">
        <x:v>Bochum</x:v>
      </x:c>
      <x:c r="D129" t="str">
        <x:v>Folders</x:v>
      </x:c>
      <x:c r="E129" t="str"/>
      <x:c r="F129" t="str">
        <x:v>920</x:v>
      </x:c>
      <x:c r="G129" t="str">
        <x:v>not supplied</x:v>
      </x:c>
      <x:c r="H129" t="str">
        <x:v>Lebo Nkosi</x:v>
      </x:c>
      <x:c r="I129" t="str">
        <x:v>Pending</x:v>
      </x:c>
      <x:c r="J129" t="str">
        <x:v>SRC-0124</x:v>
      </x:c>
    </x:row>
    <x:row r="130">
      <x:c r="A130" t="str">
        <x:v>SAL-26-0125</x:v>
      </x:c>
      <x:c r="B130" t="str">
        <x:v>Valley Primary</x:v>
      </x:c>
      <x:c r="C130" t="str">
        <x:v>Eldorado</x:v>
      </x:c>
      <x:c r="D130" t="str">
        <x:v>Pens</x:v>
      </x:c>
      <x:c r="E130" t="str">
        <x:v>12</x:v>
      </x:c>
      <x:c r="F130" t="str">
        <x:v>2364</x:v>
      </x:c>
      <x:c r="G130" t="str">
        <x:v>02/06/26</x:v>
      </x:c>
      <x:c r="H130" t="str">
        <x:v>Thabo Ndlovu</x:v>
      </x:c>
      <x:c r="I130" t="str">
        <x:v>Complete</x:v>
      </x:c>
      <x:c r="J130" t="str">
        <x:v>SRC-0125</x:v>
      </x:c>
    </x:row>
    <x:row r="131">
      <x:c r="A131" t="str">
        <x:v>SAL-26-0126</x:v>
      </x:c>
      <x:c r="B131" t="str">
        <x:v>  MHLABENI SECONDARY </x:v>
      </x:c>
      <x:c r="C131" t="str">
        <x:v>Eldorado</x:v>
      </x:c>
      <x:c r="D131" t="str">
        <x:v>Glue sticks</x:v>
      </x:c>
      <x:c r="E131" t="str">
        <x:v> 19 </x:v>
      </x:c>
      <x:c r="F131" t="str">
        <x:v>551</x:v>
      </x:c>
      <x:c r="G131" t="str">
        <x:v>03-07-2026</x:v>
      </x:c>
      <x:c r="H131" t="str">
        <x:v>Lebo Nkosi</x:v>
      </x:c>
      <x:c r="I131" t="str">
        <x:v>Paid</x:v>
      </x:c>
      <x:c r="J131" t="str">
        <x:v>SRC-0126</x:v>
      </x:c>
    </x:row>
    <x:row r="132">
      <x:c r="A132" t="str">
        <x:v>SAL-26-0127</x:v>
      </x:c>
      <x:c r="B132" t="str">
        <x:v>Meadowlands School</x:v>
      </x:c>
      <x:c r="C132" t="str">
        <x:v>Bochum</x:v>
      </x:c>
      <x:c r="D132" t="str">
        <x:v>Markers</x:v>
      </x:c>
      <x:c r="E132" t="str">
        <x:v>26</x:v>
      </x:c>
      <x:c r="F132" t="str">
        <x:v>1092</x:v>
      </x:c>
      <x:c r="G132" t="str">
        <x:v>2026/08/04</x:v>
      </x:c>
      <x:c r="H132" t="str">
        <x:v>Thabo Ndlovu</x:v>
      </x:c>
      <x:c r="I132" t="str">
        <x:v>Pending</x:v>
      </x:c>
      <x:c r="J132" t="str">
        <x:v>SRC-0127</x:v>
      </x:c>
    </x:row>
    <x:row r="133">
      <x:c r="A133" t="str">
        <x:v>SAL-26-0128</x:v>
      </x:c>
      <x:c r="B133" t="str">
        <x:v>Gardenview School</x:v>
      </x:c>
      <x:c r="C133" t="str">
        <x:v>Eldorado</x:v>
      </x:c>
      <x:c r="D133" t="str">
        <x:v>notebooks</x:v>
      </x:c>
      <x:c r="E133" t="str">
        <x:v>33</x:v>
      </x:c>
      <x:c r="F133" t="str">
        <x:v>1815</x:v>
      </x:c>
      <x:c r="G133" t="str">
        <x:v>2026-01-05</x:v>
      </x:c>
      <x:c r="H133" t="str">
        <x:v> LEBO NKOSI </x:v>
      </x:c>
      <x:c r="I133" t="str">
        <x:v>Complete</x:v>
      </x:c>
      <x:c r="J133" t="str">
        <x:v>SRC-0128</x:v>
      </x:c>
    </x:row>
    <x:row r="134">
      <x:c r="A134" t="str">
        <x:v>SAL-26-0129</x:v>
      </x:c>
      <x:c r="B134" t="str">
        <x:v>Riverside Academy</x:v>
      </x:c>
      <x:c r="C134" t="str">
        <x:v>Bochum</x:v>
      </x:c>
      <x:c r="D134" t="str">
        <x:v>Rulers</x:v>
      </x:c>
      <x:c r="E134" t="str">
        <x:v>4</x:v>
      </x:c>
      <x:c r="F134" t="str">
        <x:v>N/A</x:v>
      </x:c>
      <x:c r="G134" t="str">
        <x:v>06/02/26</x:v>
      </x:c>
      <x:c r="H134" t="str">
        <x:v>Thabo Ndlovu</x:v>
      </x:c>
      <x:c r="I134" t="str">
        <x:v>Paid</x:v>
      </x:c>
      <x:c r="J134" t="str">
        <x:v>SRC-0129</x:v>
      </x:c>
    </x:row>
    <x:row r="135">
      <x:c r="A135" t="str">
        <x:v>SAL-26-0130</x:v>
      </x:c>
      <x:c r="B135" t="str">
        <x:v>maple secondary</x:v>
      </x:c>
      <x:c r="C135" t="str">
        <x:v>Eldorado</x:v>
      </x:c>
      <x:c r="D135" t="str">
        <x:v>  EXERCISE BOOKS </x:v>
      </x:c>
      <x:c r="E135" t="str">
        <x:v>11</x:v>
      </x:c>
      <x:c r="F135" t="str">
        <x:v> R 891.00 </x:v>
      </x:c>
      <x:c r="G135" t="str">
        <x:v>07-03-2026</x:v>
      </x:c>
      <x:c r="H135" t="str">
        <x:v>Lebo Nkosi</x:v>
      </x:c>
      <x:c r="I135" t="str">
        <x:v>Pending</x:v>
      </x:c>
      <x:c r="J135" t="str">
        <x:v>SRC-0130</x:v>
      </x:c>
    </x:row>
    <x:row r="136">
      <x:c r="A136" t="str">
        <x:v>SAL-26-0131</x:v>
      </x:c>
      <x:c r="B136" t="str">
        <x:v>Pinecrest School</x:v>
      </x:c>
      <x:c r="C136" t="str">
        <x:v>Bochum</x:v>
      </x:c>
      <x:c r="D136" t="str">
        <x:v>Pencils</x:v>
      </x:c>
      <x:c r="E136" t="str">
        <x:v>18</x:v>
      </x:c>
      <x:c r="F136" t="str">
        <x:v>1692</x:v>
      </x:c>
      <x:c r="G136" t="str">
        <x:v>2026/04/08</x:v>
      </x:c>
      <x:c r="H136" t="str">
        <x:v>Thabo Ndlovu</x:v>
      </x:c>
      <x:c r="I136" t="str">
        <x:v>Complete</x:v>
      </x:c>
      <x:c r="J136" t="str">
        <x:v>SRC-0131</x:v>
      </x:c>
    </x:row>
    <x:row r="137">
      <x:c r="A137" t="str">
        <x:v>SAL-26-0132</x:v>
      </x:c>
      <x:c r="B137" t="str">
        <x:v>Northstar Academy</x:v>
      </x:c>
      <x:c r="C137" t="str">
        <x:v> BOCHUM REGION </x:v>
      </x:c>
      <x:c r="D137" t="str">
        <x:v>Folders</x:v>
      </x:c>
      <x:c r="E137" t="str">
        <x:v>25</x:v>
      </x:c>
      <x:c r="F137" t="str">
        <x:v>R2,675</x:v>
      </x:c>
      <x:c r="G137" t="str">
        <x:v>2026-05-09</x:v>
      </x:c>
      <x:c r="H137" t="str">
        <x:v>Lebo Nkosi</x:v>
      </x:c>
      <x:c r="I137" t="str">
        <x:v>Paid</x:v>
      </x:c>
      <x:c r="J137" t="str">
        <x:v>SRC-0132</x:v>
      </x:c>
    </x:row>
    <x:row r="138">
      <x:c r="A138" t="str">
        <x:v>SAL-26-0133</x:v>
      </x:c>
      <x:c r="B138" t="str">
        <x:v>Crescent Primary</x:v>
      </x:c>
      <x:c r="C138" t="str">
        <x:v>Eldorado</x:v>
      </x:c>
      <x:c r="D138" t="str">
        <x:v>Pens</x:v>
      </x:c>
      <x:c r="E138" t="str">
        <x:v> 32 </x:v>
      </x:c>
      <x:c r="F138" t="str">
        <x:v>3840</x:v>
      </x:c>
      <x:c r="G138" t="str">
        <x:v>10/06/26</x:v>
      </x:c>
      <x:c r="H138" t="str">
        <x:v>Thabo Ndlovu</x:v>
      </x:c>
      <x:c r="I138" t="str">
        <x:v>settled</x:v>
      </x:c>
      <x:c r="J138" t="str">
        <x:v>SRC-0133</x:v>
      </x:c>
    </x:row>
    <x:row r="139">
      <x:c r="A139" t="str">
        <x:v>SAL-26-0134</x:v>
      </x:c>
      <x:c r="B139" t="str">
        <x:v>Hillview Primary</x:v>
      </x:c>
      <x:c r="C139" t="str">
        <x:v>Bochum</x:v>
      </x:c>
      <x:c r="D139" t="str">
        <x:v>Glue sticks</x:v>
      </x:c>
      <x:c r="E139" t="str">
        <x:v>3</x:v>
      </x:c>
      <x:c r="F139" t="str">
        <x:v>399</x:v>
      </x:c>
      <x:c r="G139" t="str">
        <x:v>11-07-2026</x:v>
      </x:c>
      <x:c r="H139" t="str">
        <x:v>Lebo Nkosi</x:v>
      </x:c>
      <x:c r="I139" t="str">
        <x:v>Complete</x:v>
      </x:c>
      <x:c r="J139" t="str">
        <x:v>SRC-0134</x:v>
      </x:c>
    </x:row>
    <x:row r="140">
      <x:c r="A140" t="str">
        <x:v>SAL-26-0135</x:v>
      </x:c>
      <x:c r="B140" t="str">
        <x:v>  EASTWOOD ACADEMY </x:v>
      </x:c>
      <x:c r="C140" t="str">
        <x:v>Eldorado</x:v>
      </x:c>
      <x:c r="D140" t="str">
        <x:v>Markers</x:v>
      </x:c>
      <x:c r="E140" t="str">
        <x:v>10</x:v>
      </x:c>
      <x:c r="F140" t="str">
        <x:v>1460</x:v>
      </x:c>
      <x:c r="G140" t="str">
        <x:v>2026/08/12</x:v>
      </x:c>
      <x:c r="H140" t="str">
        <x:v>Thabo Ndlovu</x:v>
      </x:c>
      <x:c r="I140" t="str">
        <x:v>  pending </x:v>
      </x:c>
      <x:c r="J140" t="str">
        <x:v>SRC-0135</x:v>
      </x:c>
    </x:row>
    <x:row r="141">
      <x:c r="A141" t="str">
        <x:v>SAL-26-0136</x:v>
      </x:c>
      <x:c r="B141" t="str">
        <x:v>Lakeside School</x:v>
      </x:c>
      <x:c r="C141" t="str">
        <x:v>Bochum</x:v>
      </x:c>
      <x:c r="D141" t="str">
        <x:v>Notebooks</x:v>
      </x:c>
      <x:c r="E141" t="str">
        <x:v>17</x:v>
      </x:c>
      <x:c r="F141" t="str"/>
      <x:c r="G141" t="str">
        <x:v>2026-01-13</x:v>
      </x:c>
      <x:c r="H141" t="str">
        <x:v> LEBO NKOSI </x:v>
      </x:c>
      <x:c r="I141" t="str">
        <x:v>Pending</x:v>
      </x:c>
      <x:c r="J141" t="str">
        <x:v>SRC-0136</x:v>
      </x:c>
    </x:row>
    <x:row r="142">
      <x:c r="A142" t="str">
        <x:v>SAL-26-0137</x:v>
      </x:c>
      <x:c r="B142" t="str">
        <x:v>Valley Primary</x:v>
      </x:c>
      <x:c r="C142" t="str">
        <x:v>Eldorado</x:v>
      </x:c>
      <x:c r="D142" t="str">
        <x:v>Rulers</x:v>
      </x:c>
      <x:c r="E142" t="str">
        <x:v>24</x:v>
      </x:c>
      <x:c r="F142" t="str">
        <x:v>4128</x:v>
      </x:c>
      <x:c r="G142" t="str">
        <x:v>14/02/26</x:v>
      </x:c>
      <x:c r="H142" t="str">
        <x:v>Thabo Ndlovu</x:v>
      </x:c>
      <x:c r="I142" t="str">
        <x:v>Complete</x:v>
      </x:c>
      <x:c r="J142" t="str">
        <x:v>SRC-0137</x:v>
      </x:c>
    </x:row>
    <x:row r="143">
      <x:c r="A143" t="str">
        <x:v>SAL-26-0138</x:v>
      </x:c>
      <x:c r="B143" t="str">
        <x:v>Mhlabeni Secondary</x:v>
      </x:c>
      <x:c r="C143" t="str">
        <x:v>Eldorado</x:v>
      </x:c>
      <x:c r="D143" t="str">
        <x:v>Exercise books</x:v>
      </x:c>
      <x:c r="E143" t="str">
        <x:v>31</x:v>
      </x:c>
      <x:c r="F143" t="str">
        <x:v>5735</x:v>
      </x:c>
      <x:c r="G143" t="str">
        <x:v>15-03-2026</x:v>
      </x:c>
      <x:c r="H143" t="str"/>
      <x:c r="I143" t="str">
        <x:v>Paid</x:v>
      </x:c>
      <x:c r="J143" t="str">
        <x:v>SRC-0138</x:v>
      </x:c>
    </x:row>
    <x:row r="144">
      <x:c r="A144" t="str">
        <x:v>SAL-26-0139</x:v>
      </x:c>
      <x:c r="B144" t="str">
        <x:v>Meadowlands School</x:v>
      </x:c>
      <x:c r="C144" t="str">
        <x:v>Bochum</x:v>
      </x:c>
      <x:c r="D144" t="str">
        <x:v>Pencils</x:v>
      </x:c>
      <x:c r="E144" t="str">
        <x:v>2</x:v>
      </x:c>
      <x:c r="F144" t="str">
        <x:v>396</x:v>
      </x:c>
      <x:c r="G144" t="str">
        <x:v>2026/04/16</x:v>
      </x:c>
      <x:c r="H144" t="str">
        <x:v>Thabo Ndlovu</x:v>
      </x:c>
      <x:c r="I144" t="str">
        <x:v>Pending</x:v>
      </x:c>
      <x:c r="J144" t="str">
        <x:v>SRC-0139</x:v>
      </x:c>
    </x:row>
    <x:row r="145">
      <x:c r="A145" t="str">
        <x:v>SAL-26-0140</x:v>
      </x:c>
      <x:c r="B145" t="str">
        <x:v>Gardenview School</x:v>
      </x:c>
      <x:c r="C145" t="str">
        <x:v>Eldorado</x:v>
      </x:c>
      <x:c r="D145" t="str">
        <x:v>  FOLDERS </x:v>
      </x:c>
      <x:c r="E145" t="str">
        <x:v> 9 </x:v>
      </x:c>
      <x:c r="F145" t="str">
        <x:v>270</x:v>
      </x:c>
      <x:c r="G145" t="str">
        <x:v>2026-05-17</x:v>
      </x:c>
      <x:c r="H145" t="str">
        <x:v>Lebo Nkosi</x:v>
      </x:c>
      <x:c r="I145" t="str">
        <x:v>Complete</x:v>
      </x:c>
      <x:c r="J145" t="str">
        <x:v>SRC-0140</x:v>
      </x:c>
    </x:row>
    <x:row r="146">
      <x:c r="A146" t="str">
        <x:v>SAL-26-0141</x:v>
      </x:c>
      <x:c r="B146" t="str">
        <x:v>Riverside Academy</x:v>
      </x:c>
      <x:c r="C146" t="str">
        <x:v>Unknown district</x:v>
      </x:c>
      <x:c r="D146" t="str">
        <x:v>Pens</x:v>
      </x:c>
      <x:c r="E146" t="str">
        <x:v>16</x:v>
      </x:c>
      <x:c r="F146" t="str">
        <x:v>R-300</x:v>
      </x:c>
      <x:c r="G146" t="str">
        <x:v>18/06/26</x:v>
      </x:c>
      <x:c r="H146" t="str">
        <x:v>Thabo Ndlovu</x:v>
      </x:c>
      <x:c r="I146" t="str">
        <x:v>Paid</x:v>
      </x:c>
      <x:c r="J146" t="str">
        <x:v>SRC-0141</x:v>
      </x:c>
    </x:row>
    <x:row r="147">
      <x:c r="A147" t="str">
        <x:v>SAL-26-0142</x:v>
      </x:c>
      <x:c r="B147" t="str">
        <x:v>Maple Secondary</x:v>
      </x:c>
      <x:c r="C147" t="str">
        <x:v>Eldorado</x:v>
      </x:c>
      <x:c r="D147" t="str">
        <x:v>Glue sticks</x:v>
      </x:c>
      <x:c r="E147" t="str">
        <x:v>23</x:v>
      </x:c>
      <x:c r="F147" t="str">
        <x:v>1288</x:v>
      </x:c>
      <x:c r="G147" t="str">
        <x:v>19-07-2026</x:v>
      </x:c>
      <x:c r="H147" t="str">
        <x:v>Lebo Nkosi</x:v>
      </x:c>
      <x:c r="I147" t="str">
        <x:v>Pending</x:v>
      </x:c>
      <x:c r="J147" t="str">
        <x:v>SRC-0142</x:v>
      </x:c>
    </x:row>
    <x:row r="148">
      <x:c r="A148" t="str">
        <x:v>SAL-26-0143</x:v>
      </x:c>
      <x:c r="B148" t="str">
        <x:v>pinecrest school</x:v>
      </x:c>
      <x:c r="C148" t="str">
        <x:v> BOCHUM REGION </x:v>
      </x:c>
      <x:c r="D148" t="str">
        <x:v>Markers</x:v>
      </x:c>
      <x:c r="E148" t="str">
        <x:v>30</x:v>
      </x:c>
      <x:c r="F148" t="str">
        <x:v>R2,070</x:v>
      </x:c>
      <x:c r="G148" t="str">
        <x:v>2026/08/20</x:v>
      </x:c>
      <x:c r="H148" t="str">
        <x:v>Thabo Ndlovu</x:v>
      </x:c>
      <x:c r="I148" t="str">
        <x:v>Complete</x:v>
      </x:c>
      <x:c r="J148" t="str">
        <x:v>SRC-0143</x:v>
      </x:c>
    </x:row>
    <x:row r="149">
      <x:c r="A149" t="str">
        <x:v>SAL-26-0144</x:v>
      </x:c>
      <x:c r="B149" t="str">
        <x:v>  NORTHSTAR ACADEMY </x:v>
      </x:c>
      <x:c r="C149" t="str">
        <x:v>Bochum</x:v>
      </x:c>
      <x:c r="D149" t="str">
        <x:v>notebooks</x:v>
      </x:c>
      <x:c r="E149" t="str">
        <x:v>1</x:v>
      </x:c>
      <x:c r="F149" t="str">
        <x:v>82</x:v>
      </x:c>
      <x:c r="G149" t="str">
        <x:v>2026-01-21</x:v>
      </x:c>
      <x:c r="H149" t="str">
        <x:v> LEBO NKOSI </x:v>
      </x:c>
      <x:c r="I149" t="str">
        <x:v>Paid</x:v>
      </x:c>
      <x:c r="J149" t="str">
        <x:v>SRC-0144</x:v>
      </x:c>
    </x:row>
    <x:row r="150">
      <x:c r="A150" t="str">
        <x:v>SAL-26-0145</x:v>
      </x:c>
      <x:c r="B150" t="str">
        <x:v>Crescent Primary</x:v>
      </x:c>
      <x:c r="C150" t="str">
        <x:v>Eldorado</x:v>
      </x:c>
      <x:c r="D150" t="str">
        <x:v>Rulers</x:v>
      </x:c>
      <x:c r="E150" t="str">
        <x:v>8 units</x:v>
      </x:c>
      <x:c r="F150" t="str">
        <x:v>760</x:v>
      </x:c>
      <x:c r="G150" t="str">
        <x:v>22/02/26</x:v>
      </x:c>
      <x:c r="H150" t="str">
        <x:v>Thabo Ndlovu</x:v>
      </x:c>
      <x:c r="I150" t="str">
        <x:v>Pending</x:v>
      </x:c>
      <x:c r="J150" t="str">
        <x:v>SRC-0145</x:v>
      </x:c>
    </x:row>
    <x:row r="151">
      <x:c r="A151" t="str">
        <x:v>SAL-26-0146</x:v>
      </x:c>
      <x:c r="B151" t="str">
        <x:v>Hillview Primary</x:v>
      </x:c>
      <x:c r="C151" t="str">
        <x:v>Bochum</x:v>
      </x:c>
      <x:c r="D151" t="str">
        <x:v>Exercise books</x:v>
      </x:c>
      <x:c r="E151" t="str">
        <x:v>15</x:v>
      </x:c>
      <x:c r="F151" t="str">
        <x:v>1620</x:v>
      </x:c>
      <x:c r="G151" t="str">
        <x:v>23-03-2026</x:v>
      </x:c>
      <x:c r="H151" t="str">
        <x:v>Lebo Nkosi</x:v>
      </x:c>
      <x:c r="I151" t="str">
        <x:v>Complete</x:v>
      </x:c>
      <x:c r="J151" t="str">
        <x:v>SRC-0146</x:v>
      </x:c>
    </x:row>
    <x:row r="152">
      <x:c r="A152" t="str">
        <x:v>SAL-26-0147</x:v>
      </x:c>
      <x:c r="B152" t="str">
        <x:v>Eastwood Academy</x:v>
      </x:c>
      <x:c r="C152" t="str">
        <x:v>Eldorado</x:v>
      </x:c>
      <x:c r="D152" t="str">
        <x:v>Pencils</x:v>
      </x:c>
      <x:c r="E152" t="str">
        <x:v> 22 </x:v>
      </x:c>
      <x:c r="F152" t="str">
        <x:v>2662</x:v>
      </x:c>
      <x:c r="G152" t="str">
        <x:v>2026/04/24</x:v>
      </x:c>
      <x:c r="H152" t="str">
        <x:v>Thabo Ndlovu</x:v>
      </x:c>
      <x:c r="I152" t="str">
        <x:v>Paid</x:v>
      </x:c>
      <x:c r="J152" t="str">
        <x:v>SRC-0147</x:v>
      </x:c>
    </x:row>
    <x:row r="153">
      <x:c r="A153" t="str">
        <x:v>SAL-26-0147</x:v>
      </x:c>
      <x:c r="B153" t="str">
        <x:v>Lakeside School</x:v>
      </x:c>
      <x:c r="C153" t="str">
        <x:v>Bochum</x:v>
      </x:c>
      <x:c r="D153" t="str">
        <x:v>Folders</x:v>
      </x:c>
      <x:c r="E153" t="str">
        <x:v>29</x:v>
      </x:c>
      <x:c r="F153" t="str">
        <x:v>3886</x:v>
      </x:c>
      <x:c r="G153" t="str">
        <x:v>2026-05-25</x:v>
      </x:c>
      <x:c r="H153" t="str">
        <x:v>Lebo Nkosi</x:v>
      </x:c>
      <x:c r="I153" t="str">
        <x:v>Pending</x:v>
      </x:c>
      <x:c r="J153" t="str">
        <x:v>SRC-0148</x:v>
      </x:c>
    </x:row>
    <x:row r="154">
      <x:c r="A154" t="str">
        <x:v>SAL-26-0149</x:v>
      </x:c>
      <x:c r="B154" t="str">
        <x:v>Valley Primary</x:v>
      </x:c>
      <x:c r="C154" t="str">
        <x:v>Eldorado</x:v>
      </x:c>
      <x:c r="D154" t="str">
        <x:v>Pens</x:v>
      </x:c>
      <x:c r="E154" t="str">
        <x:v>36</x:v>
      </x:c>
      <x:c r="F154" t="str">
        <x:v>5292</x:v>
      </x:c>
      <x:c r="G154" t="str">
        <x:v>26/06/26</x:v>
      </x:c>
      <x:c r="H154" t="str">
        <x:v>Thabo Ndlovu</x:v>
      </x:c>
      <x:c r="I154" t="str">
        <x:v>Complete</x:v>
      </x:c>
      <x:c r="J154" t="str">
        <x:v>SRC-0149</x:v>
      </x:c>
    </x:row>
    <x:row r="155">
      <x:c r="A155" t="str">
        <x:v>SAL-26-0150</x:v>
      </x:c>
      <x:c r="B155" t="str">
        <x:v>Mhlabeni Secondary</x:v>
      </x:c>
      <x:c r="C155" t="str">
        <x:v>Eldorado</x:v>
      </x:c>
      <x:c r="D155" t="str">
        <x:v>  GLUE STICKS </x:v>
      </x:c>
      <x:c r="E155" t="str">
        <x:v>7</x:v>
      </x:c>
      <x:c r="F155" t="str">
        <x:v>1120</x:v>
      </x:c>
      <x:c r="G155" t="str">
        <x:v>02-07-2026</x:v>
      </x:c>
      <x:c r="H155" t="str">
        <x:v>Lebo Nkosi</x:v>
      </x:c>
      <x:c r="I155" t="str">
        <x:v>Paid</x:v>
      </x:c>
      <x:c r="J155" t="str">
        <x:v>SRC-0150</x:v>
      </x:c>
    </x:row>
    <x:row r="156">
      <x:c r="A156" t="str">
        <x:v>SAL-26-0151</x:v>
      </x:c>
      <x:c r="B156" t="str">
        <x:v>Meadowlands School</x:v>
      </x:c>
      <x:c r="C156" t="str">
        <x:v>Bochum</x:v>
      </x:c>
      <x:c r="D156" t="str">
        <x:v>Markers</x:v>
      </x:c>
      <x:c r="E156" t="str">
        <x:v>14</x:v>
      </x:c>
      <x:c r="F156" t="str">
        <x:v>2422</x:v>
      </x:c>
      <x:c r="G156" t="str">
        <x:v>2026/08/03</x:v>
      </x:c>
      <x:c r="H156" t="str">
        <x:v>Thabo Ndlovu</x:v>
      </x:c>
      <x:c r="I156" t="str">
        <x:v>Pending</x:v>
      </x:c>
      <x:c r="J156" t="str">
        <x:v>SRC-0151</x:v>
      </x:c>
    </x:row>
    <x:row r="157">
      <x:c r="A157" t="str">
        <x:v>SAL-26-0152</x:v>
      </x:c>
      <x:c r="B157" t="str">
        <x:v>Gardenview School</x:v>
      </x:c>
      <x:c r="C157" t="str">
        <x:v>Eldorado</x:v>
      </x:c>
      <x:c r="D157" t="str">
        <x:v>Notebooks</x:v>
      </x:c>
      <x:c r="E157" t="str">
        <x:v>21</x:v>
      </x:c>
      <x:c r="F157" t="str">
        <x:v>3906</x:v>
      </x:c>
      <x:c r="G157" t="str">
        <x:v>2026-01-04</x:v>
      </x:c>
      <x:c r="H157" t="str">
        <x:v> LEBO NKOSI </x:v>
      </x:c>
      <x:c r="I157" t="str">
        <x:v>settled</x:v>
      </x:c>
      <x:c r="J157" t="str">
        <x:v>SRC-0152</x:v>
      </x:c>
    </x:row>
    <x:row r="158">
      <x:c r="A158" t="str">
        <x:v>SAL-26-0153</x:v>
      </x:c>
      <x:c r="B158" t="str">
        <x:v>  RIVERSIDE ACADEMY </x:v>
      </x:c>
      <x:c r="C158" t="str">
        <x:v>Bochum</x:v>
      </x:c>
      <x:c r="D158" t="str">
        <x:v>Rulers</x:v>
      </x:c>
      <x:c r="E158" t="str">
        <x:v>28</x:v>
      </x:c>
      <x:c r="F158" t="str"/>
      <x:c r="G158" t="str">
        <x:v>05/02/26</x:v>
      </x:c>
      <x:c r="H158" t="str">
        <x:v>Thabo Ndlovu</x:v>
      </x:c>
      <x:c r="I158" t="str">
        <x:v>Paid</x:v>
      </x:c>
      <x:c r="J158" t="str">
        <x:v>SRC-0153</x:v>
      </x:c>
    </x:row>
    <x:row r="159">
      <x:c r="A159" t="str">
        <x:v>SAL-26-0154</x:v>
      </x:c>
      <x:c r="B159" t="str">
        <x:v>Maple Secondary</x:v>
      </x:c>
      <x:c r="C159" t="str">
        <x:v>eldos</x:v>
      </x:c>
      <x:c r="D159" t="str">
        <x:v>Exercise books</x:v>
      </x:c>
      <x:c r="E159" t="str">
        <x:v> 35 </x:v>
      </x:c>
      <x:c r="F159" t="str">
        <x:v>R1,085</x:v>
      </x:c>
      <x:c r="G159" t="str">
        <x:v>06-03-2026</x:v>
      </x:c>
      <x:c r="H159" t="str">
        <x:v>Lebo Nkosi</x:v>
      </x:c>
      <x:c r="I159" t="str">
        <x:v>Pending</x:v>
      </x:c>
      <x:c r="J159" t="str">
        <x:v>SRC-0154</x:v>
      </x:c>
    </x:row>
    <x:row r="160">
      <x:c r="A160" t="str">
        <x:v>SAL-26-0155</x:v>
      </x:c>
      <x:c r="B160" t="str">
        <x:v>Pinecrest School</x:v>
      </x:c>
      <x:c r="C160" t="str">
        <x:v>Bochum</x:v>
      </x:c>
      <x:c r="D160" t="str">
        <x:v>Pencils</x:v>
      </x:c>
      <x:c r="E160" t="str"/>
      <x:c r="F160" t="str">
        <x:v>264</x:v>
      </x:c>
      <x:c r="G160" t="str">
        <x:v>not supplied</x:v>
      </x:c>
      <x:c r="H160" t="str">
        <x:v>Thabo Ndlovu</x:v>
      </x:c>
      <x:c r="I160" t="str">
        <x:v>Complete</x:v>
      </x:c>
      <x:c r="J160" t="str">
        <x:v>SRC-0155</x:v>
      </x:c>
    </x:row>
    <x:row r="161">
      <x:c r="A161" t="str">
        <x:v>SAL-26-0156</x:v>
      </x:c>
      <x:c r="B161" t="str">
        <x:v>northstar academy</x:v>
      </x:c>
      <x:c r="C161" t="str">
        <x:v>Bochum</x:v>
      </x:c>
      <x:c r="D161" t="str">
        <x:v>Folders</x:v>
      </x:c>
      <x:c r="E161" t="str">
        <x:v>13</x:v>
      </x:c>
      <x:c r="F161" t="str">
        <x:v> R 741.00 </x:v>
      </x:c>
      <x:c r="G161" t="str">
        <x:v>2026-05-08</x:v>
      </x:c>
      <x:c r="H161" t="str">
        <x:v>Lebo Nkosi</x:v>
      </x:c>
      <x:c r="I161" t="str">
        <x:v>Paid</x:v>
      </x:c>
      <x:c r="J161" t="str">
        <x:v>SRC-0156</x:v>
      </x:c>
    </x:row>
    <x:row r="162">
      <x:c r="A162" t="str">
        <x:v>SAL-26-0157</x:v>
      </x:c>
      <x:c r="B162" t="str">
        <x:v>Crescent Primary</x:v>
      </x:c>
      <x:c r="C162" t="str">
        <x:v>Eldorado</x:v>
      </x:c>
      <x:c r="D162" t="str">
        <x:v>Pens</x:v>
      </x:c>
      <x:c r="E162" t="str">
        <x:v>20</x:v>
      </x:c>
      <x:c r="F162" t="str">
        <x:v>1400</x:v>
      </x:c>
      <x:c r="G162" t="str">
        <x:v>09/06/26</x:v>
      </x:c>
      <x:c r="H162" t="str">
        <x:v>Thabo Ndlovu</x:v>
      </x:c>
      <x:c r="I162" t="str">
        <x:v>Pending</x:v>
      </x:c>
      <x:c r="J162" t="str">
        <x:v>SRC-0157</x:v>
      </x:c>
    </x:row>
    <x:row r="163">
      <x:c r="A163" t="str">
        <x:v>SAL-26-0158</x:v>
      </x:c>
      <x:c r="B163" t="str">
        <x:v>Hillview Primary</x:v>
      </x:c>
      <x:c r="C163" t="str">
        <x:v>Bochum</x:v>
      </x:c>
      <x:c r="D163" t="str">
        <x:v>Glue sticks</x:v>
      </x:c>
      <x:c r="E163" t="str">
        <x:v>27</x:v>
      </x:c>
      <x:c r="F163" t="str">
        <x:v>2241</x:v>
      </x:c>
      <x:c r="G163" t="str">
        <x:v>10-07-2026</x:v>
      </x:c>
      <x:c r="H163" t="str">
        <x:v>Lebo Nkosi</x:v>
      </x:c>
      <x:c r="I163" t="str">
        <x:v>Complete</x:v>
      </x:c>
      <x:c r="J163" t="str">
        <x:v>SRC-0158</x:v>
      </x:c>
    </x:row>
    <x:row r="164">
      <x:c r="A164" t="str">
        <x:v>SAL-26-0159</x:v>
      </x:c>
      <x:c r="B164" t="str">
        <x:v>Eastwood Academy</x:v>
      </x:c>
      <x:c r="C164" t="str">
        <x:v>Eldorado</x:v>
      </x:c>
      <x:c r="D164" t="str">
        <x:v>Markers</x:v>
      </x:c>
      <x:c r="E164" t="str">
        <x:v>34</x:v>
      </x:c>
      <x:c r="F164" t="str">
        <x:v>3264</x:v>
      </x:c>
      <x:c r="G164" t="str">
        <x:v>2026-19-44</x:v>
      </x:c>
      <x:c r="H164" t="str">
        <x:v>Thabo Ndlovu</x:v>
      </x:c>
      <x:c r="I164" t="str">
        <x:v>Paid</x:v>
      </x:c>
      <x:c r="J164" t="str">
        <x:v>SRC-0159</x:v>
      </x:c>
    </x:row>
    <x:row r="165">
      <x:c r="A165" t="str">
        <x:v>SAL-26-0160</x:v>
      </x:c>
      <x:c r="B165" t="str">
        <x:v>Lakeside School</x:v>
      </x:c>
      <x:c r="C165" t="str">
        <x:v>Bochum</x:v>
      </x:c>
      <x:c r="D165" t="str">
        <x:v>  NOTEBOOKS </x:v>
      </x:c>
      <x:c r="E165" t="str">
        <x:v>5</x:v>
      </x:c>
      <x:c r="F165" t="str">
        <x:v>545</x:v>
      </x:c>
      <x:c r="G165" t="str">
        <x:v>2026-01-12</x:v>
      </x:c>
      <x:c r="H165" t="str">
        <x:v> LEBO NKOSI </x:v>
      </x:c>
      <x:c r="I165" t="str">
        <x:v>Pending</x:v>
      </x:c>
      <x:c r="J165" t="str">
        <x:v>SRC-0160</x:v>
      </x:c>
    </x:row>
    <x:row r="166">
      <x:c r="A166" t="str">
        <x:v>SAL-26-0161</x:v>
      </x:c>
      <x:c r="B166" t="str">
        <x:v>Valley Primary</x:v>
      </x:c>
      <x:c r="C166" t="str">
        <x:v>Eldorado</x:v>
      </x:c>
      <x:c r="D166" t="str">
        <x:v>Rulers</x:v>
      </x:c>
      <x:c r="E166" t="str">
        <x:v> 12 </x:v>
      </x:c>
      <x:c r="F166" t="str">
        <x:v>1464</x:v>
      </x:c>
      <x:c r="G166" t="str">
        <x:v>13/02/26</x:v>
      </x:c>
      <x:c r="H166" t="str"/>
      <x:c r="I166" t="str">
        <x:v>Complete</x:v>
      </x:c>
      <x:c r="J166" t="str">
        <x:v>SRC-0161</x:v>
      </x:c>
    </x:row>
    <x:row r="167">
      <x:c r="A167" t="str">
        <x:v>SAL-26-0162</x:v>
      </x:c>
      <x:c r="B167" t="str">
        <x:v>  MHLABENI SECONDARY </x:v>
      </x:c>
      <x:c r="C167" t="str">
        <x:v>Eldorado</x:v>
      </x:c>
      <x:c r="D167" t="str">
        <x:v>Exercise books</x:v>
      </x:c>
      <x:c r="E167" t="str">
        <x:v>19</x:v>
      </x:c>
      <x:c r="F167" t="str">
        <x:v>2565</x:v>
      </x:c>
      <x:c r="G167" t="str">
        <x:v>14-03-2026</x:v>
      </x:c>
      <x:c r="H167" t="str">
        <x:v>Lebo Nkosi</x:v>
      </x:c>
      <x:c r="I167" t="str">
        <x:v>  pending </x:v>
      </x:c>
      <x:c r="J167" t="str">
        <x:v>SRC-0162</x:v>
      </x:c>
    </x:row>
    <x:row r="168">
      <x:c r="A168" t="str">
        <x:v>SAL-26-0163</x:v>
      </x:c>
      <x:c r="B168" t="str">
        <x:v>Meadowlands School</x:v>
      </x:c>
      <x:c r="C168" t="str">
        <x:v>Bochum</x:v>
      </x:c>
      <x:c r="D168" t="str">
        <x:v>Pencils</x:v>
      </x:c>
      <x:c r="E168" t="str">
        <x:v>26</x:v>
      </x:c>
      <x:c r="F168" t="str">
        <x:v>3848</x:v>
      </x:c>
      <x:c r="G168" t="str">
        <x:v>2026/04/15</x:v>
      </x:c>
      <x:c r="H168" t="str">
        <x:v>Thabo Ndlovu</x:v>
      </x:c>
      <x:c r="I168" t="str">
        <x:v>Pending</x:v>
      </x:c>
      <x:c r="J168" t="str">
        <x:v>SRC-0163</x:v>
      </x:c>
    </x:row>
    <x:row r="169">
      <x:c r="A169" t="str">
        <x:v>SAL-26-0164</x:v>
      </x:c>
      <x:c r="B169" t="str">
        <x:v>Gardenview School</x:v>
      </x:c>
      <x:c r="C169" t="str">
        <x:v>Eldorado</x:v>
      </x:c>
      <x:c r="D169" t="str">
        <x:v>Folders</x:v>
      </x:c>
      <x:c r="E169" t="str">
        <x:v>33</x:v>
      </x:c>
      <x:c r="F169" t="str">
        <x:v>5313</x:v>
      </x:c>
      <x:c r="G169" t="str">
        <x:v>2026-05-16</x:v>
      </x:c>
      <x:c r="H169" t="str">
        <x:v>Lebo Nkosi</x:v>
      </x:c>
      <x:c r="I169" t="str">
        <x:v>Complete</x:v>
      </x:c>
      <x:c r="J169" t="str">
        <x:v>SRC-0164</x:v>
      </x:c>
    </x:row>
    <x:row r="170">
      <x:c r="A170" t="str">
        <x:v>SAL-26-0165</x:v>
      </x:c>
      <x:c r="B170" t="str">
        <x:v>Riverside Academy</x:v>
      </x:c>
      <x:c r="C170" t="str">
        <x:v> BOCHUM REGION </x:v>
      </x:c>
      <x:c r="D170" t="str">
        <x:v>Pens</x:v>
      </x:c>
      <x:c r="E170" t="str">
        <x:v>4</x:v>
      </x:c>
      <x:c r="F170" t="str">
        <x:v>R696</x:v>
      </x:c>
      <x:c r="G170" t="str">
        <x:v>17/06/26</x:v>
      </x:c>
      <x:c r="H170" t="str">
        <x:v>Thabo Ndlovu</x:v>
      </x:c>
      <x:c r="I170" t="str">
        <x:v>Paid</x:v>
      </x:c>
      <x:c r="J170" t="str">
        <x:v>SRC-0165</x:v>
      </x:c>
    </x:row>
    <x:row r="171">
      <x:c r="A171" t="str">
        <x:v>SAL-26-0166</x:v>
      </x:c>
      <x:c r="B171" t="str">
        <x:v>Maple Secondary</x:v>
      </x:c>
      <x:c r="C171" t="str">
        <x:v>Eldorado</x:v>
      </x:c>
      <x:c r="D171" t="str">
        <x:v>Glue sticks</x:v>
      </x:c>
      <x:c r="E171" t="str">
        <x:v>11</x:v>
      </x:c>
      <x:c r="F171" t="str">
        <x:v>2057</x:v>
      </x:c>
      <x:c r="G171" t="str">
        <x:v>18-07-2026</x:v>
      </x:c>
      <x:c r="H171" t="str">
        <x:v>Lebo Nkosi</x:v>
      </x:c>
      <x:c r="I171" t="str">
        <x:v>Pending</x:v>
      </x:c>
      <x:c r="J171" t="str">
        <x:v>SRC-0166</x:v>
      </x:c>
    </x:row>
    <x:row r="172">
      <x:c r="A172" t="str">
        <x:v>SAL-26-0167</x:v>
      </x:c>
      <x:c r="B172" t="str">
        <x:v>Pinecrest School</x:v>
      </x:c>
      <x:c r="C172" t="str">
        <x:v>Bochum</x:v>
      </x:c>
      <x:c r="D172" t="str">
        <x:v>Markers</x:v>
      </x:c>
      <x:c r="E172" t="str">
        <x:v>18</x:v>
      </x:c>
      <x:c r="F172" t="str">
        <x:v>3600</x:v>
      </x:c>
      <x:c r="G172" t="str">
        <x:v>2026/08/19</x:v>
      </x:c>
      <x:c r="H172" t="str">
        <x:v>Thabo Ndlovu</x:v>
      </x:c>
      <x:c r="I172" t="str">
        <x:v>Complete</x:v>
      </x:c>
      <x:c r="J172" t="str">
        <x:v>SRC-0167</x:v>
      </x:c>
    </x:row>
    <x:row r="173">
      <x:c r="A173" t="str">
        <x:v>SAL-26-0168</x:v>
      </x:c>
      <x:c r="B173" t="str">
        <x:v>Northstar Academy</x:v>
      </x:c>
      <x:c r="C173" t="str">
        <x:v>Bochum</x:v>
      </x:c>
      <x:c r="D173" t="str">
        <x:v>Notebooks</x:v>
      </x:c>
      <x:c r="E173" t="str">
        <x:v> 25 </x:v>
      </x:c>
      <x:c r="F173" t="str">
        <x:v>800</x:v>
      </x:c>
      <x:c r="G173" t="str">
        <x:v>2026-01-20</x:v>
      </x:c>
      <x:c r="H173" t="str">
        <x:v> LEBO NKOSI </x:v>
      </x:c>
      <x:c r="I173" t="str">
        <x:v>Paid</x:v>
      </x:c>
      <x:c r="J173" t="str">
        <x:v>SRC-0168</x:v>
      </x:c>
    </x:row>
    <x:row r="174">
      <x:c r="A174" t="str">
        <x:v>SAL-26-0169</x:v>
      </x:c>
      <x:c r="B174" t="str">
        <x:v>crescent primary</x:v>
      </x:c>
      <x:c r="C174" t="str">
        <x:v>Eldorado</x:v>
      </x:c>
      <x:c r="D174" t="str">
        <x:v>Rulers</x:v>
      </x:c>
      <x:c r="E174" t="str">
        <x:v>32</x:v>
      </x:c>
      <x:c r="F174" t="str">
        <x:v> R 1440.00 </x:v>
      </x:c>
      <x:c r="G174" t="str">
        <x:v>21/02/26</x:v>
      </x:c>
      <x:c r="H174" t="str">
        <x:v>Thabo Ndlovu</x:v>
      </x:c>
      <x:c r="I174" t="str">
        <x:v>Pending</x:v>
      </x:c>
      <x:c r="J174" t="str">
        <x:v>SRC-0169</x:v>
      </x:c>
    </x:row>
    <x:row r="175">
      <x:c r="A175" t="str">
        <x:v>SAL-26-0170</x:v>
      </x:c>
      <x:c r="B175" t="str">
        <x:v>Hillview Primary</x:v>
      </x:c>
      <x:c r="C175" t="str">
        <x:v>Bochum</x:v>
      </x:c>
      <x:c r="D175" t="str">
        <x:v>  EXERCISE BOOKS </x:v>
      </x:c>
      <x:c r="E175" t="str">
        <x:v>3</x:v>
      </x:c>
      <x:c r="F175" t="str"/>
      <x:c r="G175" t="str">
        <x:v>22-03-2026</x:v>
      </x:c>
      <x:c r="H175" t="str">
        <x:v>Lebo Nkosi</x:v>
      </x:c>
      <x:c r="I175" t="str">
        <x:v>Complete</x:v>
      </x:c>
      <x:c r="J175" t="str">
        <x:v>SRC-0170</x:v>
      </x:c>
    </x:row>
    <x:row r="176">
      <x:c r="A176" t="str">
        <x:v>SAL-26-0171</x:v>
      </x:c>
      <x:c r="B176" t="str">
        <x:v>  EASTWOOD ACADEMY </x:v>
      </x:c>
      <x:c r="C176" t="str">
        <x:v>Eldorado</x:v>
      </x:c>
      <x:c r="D176" t="str">
        <x:v>Pencils</x:v>
      </x:c>
      <x:c r="E176" t="str">
        <x:v>10</x:v>
      </x:c>
      <x:c r="F176" t="str">
        <x:v>710</x:v>
      </x:c>
      <x:c r="G176" t="str">
        <x:v>2026/04/23</x:v>
      </x:c>
      <x:c r="H176" t="str">
        <x:v>Thabo Ndlovu</x:v>
      </x:c>
      <x:c r="I176" t="str">
        <x:v>settled</x:v>
      </x:c>
      <x:c r="J176" t="str">
        <x:v>SRC-0171</x:v>
      </x:c>
    </x:row>
    <x:row r="177">
      <x:c r="A177" t="str">
        <x:v>SAL-26-0172</x:v>
      </x:c>
      <x:c r="B177" t="str">
        <x:v>Lakeside School</x:v>
      </x:c>
      <x:c r="C177" t="str">
        <x:v>Bochum</x:v>
      </x:c>
      <x:c r="D177" t="str">
        <x:v>Folders</x:v>
      </x:c>
      <x:c r="E177" t="str">
        <x:v>17</x:v>
      </x:c>
      <x:c r="F177" t="str">
        <x:v>N/A</x:v>
      </x:c>
      <x:c r="G177" t="str">
        <x:v>2026-05-24</x:v>
      </x:c>
      <x:c r="H177" t="str">
        <x:v>Lebo Nkosi</x:v>
      </x:c>
      <x:c r="I177" t="str">
        <x:v>Pending</x:v>
      </x:c>
      <x:c r="J177" t="str">
        <x:v>SRC-0172</x:v>
      </x:c>
    </x:row>
    <x:row r="178">
      <x:c r="A178" t="str">
        <x:v>SAL-26-0173</x:v>
      </x:c>
      <x:c r="B178" t="str">
        <x:v>Valley Primary</x:v>
      </x:c>
      <x:c r="C178" t="str">
        <x:v>Eldorado</x:v>
      </x:c>
      <x:c r="D178" t="str">
        <x:v>Pens</x:v>
      </x:c>
      <x:c r="E178" t="str">
        <x:v>24</x:v>
      </x:c>
      <x:c r="F178" t="str">
        <x:v>2328</x:v>
      </x:c>
      <x:c r="G178" t="str">
        <x:v>25/06/26</x:v>
      </x:c>
      <x:c r="H178" t="str">
        <x:v>Thabo Ndlovu</x:v>
      </x:c>
      <x:c r="I178" t="str">
        <x:v>Complete</x:v>
      </x:c>
      <x:c r="J178" t="str">
        <x:v>SRC-0173</x:v>
      </x:c>
    </x:row>
    <x:row r="179">
      <x:c r="A179" t="str">
        <x:v>SAL-26-0174</x:v>
      </x:c>
      <x:c r="B179" t="str">
        <x:v>Mhlabeni Secondary</x:v>
      </x:c>
      <x:c r="C179" t="str">
        <x:v>Eldorado</x:v>
      </x:c>
      <x:c r="D179" t="str">
        <x:v>Glue sticks</x:v>
      </x:c>
      <x:c r="E179" t="str">
        <x:v>31 units</x:v>
      </x:c>
      <x:c r="F179" t="str">
        <x:v>3410</x:v>
      </x:c>
      <x:c r="G179" t="str">
        <x:v>26-07-2026</x:v>
      </x:c>
      <x:c r="H179" t="str">
        <x:v>Lebo Nkosi</x:v>
      </x:c>
      <x:c r="I179" t="str">
        <x:v>Paid</x:v>
      </x:c>
      <x:c r="J179" t="str">
        <x:v>SRC-0174</x:v>
      </x:c>
    </x:row>
    <x:row r="180">
      <x:c r="A180" t="str">
        <x:v>SAL-26-0175</x:v>
      </x:c>
      <x:c r="B180" t="str">
        <x:v>Meadowlands School</x:v>
      </x:c>
      <x:c r="C180" t="str">
        <x:v>Bochum</x:v>
      </x:c>
      <x:c r="D180" t="str">
        <x:v>Markers</x:v>
      </x:c>
      <x:c r="E180" t="str">
        <x:v> 2 </x:v>
      </x:c>
      <x:c r="F180" t="str">
        <x:v>246</x:v>
      </x:c>
      <x:c r="G180" t="str">
        <x:v>2026/08/02</x:v>
      </x:c>
      <x:c r="H180" t="str">
        <x:v>Thabo Ndlovu</x:v>
      </x:c>
      <x:c r="I180" t="str">
        <x:v>Pending</x:v>
      </x:c>
      <x:c r="J180" t="str">
        <x:v>SRC-0175</x:v>
      </x:c>
    </x:row>
    <x:row r="181">
      <x:c r="A181" t="str">
        <x:v>SAL-26-0176</x:v>
      </x:c>
      <x:c r="B181" t="str">
        <x:v>Gardenview School</x:v>
      </x:c>
      <x:c r="C181" t="str">
        <x:v>eldos</x:v>
      </x:c>
      <x:c r="D181" t="str">
        <x:v>notebooks</x:v>
      </x:c>
      <x:c r="E181" t="str">
        <x:v>9</x:v>
      </x:c>
      <x:c r="F181" t="str">
        <x:v>R1,224</x:v>
      </x:c>
      <x:c r="G181" t="str">
        <x:v>2026-01-03</x:v>
      </x:c>
      <x:c r="H181" t="str">
        <x:v> LEBO NKOSI </x:v>
      </x:c>
      <x:c r="I181" t="str">
        <x:v>Complete</x:v>
      </x:c>
      <x:c r="J181" t="str">
        <x:v>SRC-0176</x:v>
      </x:c>
    </x:row>
    <x:row r="182">
      <x:c r="A182" t="str">
        <x:v>SAL-26-0177</x:v>
      </x:c>
      <x:c r="B182" t="str">
        <x:v>Riverside Academy</x:v>
      </x:c>
      <x:c r="C182" t="str">
        <x:v>Bochum</x:v>
      </x:c>
      <x:c r="D182" t="str">
        <x:v>Rulers</x:v>
      </x:c>
      <x:c r="E182" t="str">
        <x:v>16</x:v>
      </x:c>
      <x:c r="F182" t="str">
        <x:v>2384</x:v>
      </x:c>
      <x:c r="G182" t="str">
        <x:v>04/02/26</x:v>
      </x:c>
      <x:c r="H182" t="str">
        <x:v>Thabo Ndlovu</x:v>
      </x:c>
      <x:c r="I182" t="str">
        <x:v>Paid</x:v>
      </x:c>
      <x:c r="J182" t="str">
        <x:v>SRC-0177</x:v>
      </x:c>
    </x:row>
    <x:row r="183">
      <x:c r="A183" t="str">
        <x:v>SAL-26-0178</x:v>
      </x:c>
      <x:c r="B183" t="str">
        <x:v>Maple Secondary</x:v>
      </x:c>
      <x:c r="C183" t="str">
        <x:v>Eldorado</x:v>
      </x:c>
      <x:c r="D183" t="str">
        <x:v>Exercise books</x:v>
      </x:c>
      <x:c r="E183" t="str">
        <x:v>23</x:v>
      </x:c>
      <x:c r="F183" t="str">
        <x:v>3726</x:v>
      </x:c>
      <x:c r="G183" t="str">
        <x:v>05-03-2026</x:v>
      </x:c>
      <x:c r="H183" t="str">
        <x:v>Lebo Nkosi</x:v>
      </x:c>
      <x:c r="I183" t="str">
        <x:v>Pending</x:v>
      </x:c>
      <x:c r="J183" t="str">
        <x:v>SRC-0178</x:v>
      </x:c>
    </x:row>
    <x:row r="184">
      <x:c r="A184" t="str">
        <x:v>SAL-26-0179</x:v>
      </x:c>
      <x:c r="B184" t="str">
        <x:v>Pinecrest School</x:v>
      </x:c>
      <x:c r="C184" t="str">
        <x:v>Bochum</x:v>
      </x:c>
      <x:c r="D184" t="str">
        <x:v>Pencils</x:v>
      </x:c>
      <x:c r="E184" t="str">
        <x:v>30</x:v>
      </x:c>
      <x:c r="F184" t="str">
        <x:v>5250</x:v>
      </x:c>
      <x:c r="G184" t="str">
        <x:v>2026/04/06</x:v>
      </x:c>
      <x:c r="H184" t="str">
        <x:v>Thabo Ndlovu</x:v>
      </x:c>
      <x:c r="I184" t="str">
        <x:v>Complete</x:v>
      </x:c>
      <x:c r="J184" t="str">
        <x:v>SRC-0179</x:v>
      </x:c>
    </x:row>
    <x:row r="185">
      <x:c r="A185" t="str">
        <x:v>SAL-26-0180</x:v>
      </x:c>
      <x:c r="B185" t="str">
        <x:v>  NORTHSTAR ACADEMY </x:v>
      </x:c>
      <x:c r="C185" t="str">
        <x:v>Bochum</x:v>
      </x:c>
      <x:c r="D185" t="str">
        <x:v>  FOLDERS </x:v>
      </x:c>
      <x:c r="E185" t="str">
        <x:v>1</x:v>
      </x:c>
      <x:c r="F185" t="str">
        <x:v>188</x:v>
      </x:c>
      <x:c r="G185" t="str">
        <x:v>2026-05-07</x:v>
      </x:c>
      <x:c r="H185" t="str">
        <x:v>Lebo Nkosi</x:v>
      </x:c>
      <x:c r="I185" t="str">
        <x:v>Paid</x:v>
      </x:c>
      <x:c r="J185" t="str">
        <x:v>SRC-0180</x:v>
      </x:c>
    </x:row>
    <x:row r="186">
      <x:c r="A186" t="str">
        <x:v>SAL-26-0181</x:v>
      </x:c>
      <x:c r="B186" t="str">
        <x:v>Crescent Primary</x:v>
      </x:c>
      <x:c r="C186" t="str">
        <x:v>Eldorado</x:v>
      </x:c>
      <x:c r="D186" t="str">
        <x:v>Pens</x:v>
      </x:c>
      <x:c r="E186" t="str">
        <x:v>8</x:v>
      </x:c>
      <x:c r="F186" t="str">
        <x:v>160</x:v>
      </x:c>
      <x:c r="G186" t="str">
        <x:v>08/06/26</x:v>
      </x:c>
      <x:c r="H186" t="str">
        <x:v>Thabo Ndlovu</x:v>
      </x:c>
      <x:c r="I186" t="str">
        <x:v>Pending</x:v>
      </x:c>
      <x:c r="J186" t="str">
        <x:v>SRC-0181</x:v>
      </x:c>
    </x:row>
    <x:row r="187">
      <x:c r="A187" t="str">
        <x:v>SAL-26-0182</x:v>
      </x:c>
      <x:c r="B187" t="str">
        <x:v>hillview primary</x:v>
      </x:c>
      <x:c r="C187" t="str">
        <x:v>Bochum</x:v>
      </x:c>
      <x:c r="D187" t="str">
        <x:v>Glue sticks</x:v>
      </x:c>
      <x:c r="E187" t="str">
        <x:v> 15 </x:v>
      </x:c>
      <x:c r="F187" t="str">
        <x:v> R 495.00 </x:v>
      </x:c>
      <x:c r="G187" t="str">
        <x:v>09-07-2026</x:v>
      </x:c>
      <x:c r="H187" t="str">
        <x:v>Lebo Nkosi</x:v>
      </x:c>
      <x:c r="I187" t="str">
        <x:v>Complete</x:v>
      </x:c>
      <x:c r="J187" t="str">
        <x:v>SRC-0182</x:v>
      </x:c>
    </x:row>
    <x:row r="188">
      <x:c r="A188" t="str">
        <x:v>SAL-26-0183</x:v>
      </x:c>
      <x:c r="B188" t="str">
        <x:v>Eastwood Academy</x:v>
      </x:c>
      <x:c r="C188" t="str">
        <x:v>Eldorado</x:v>
      </x:c>
      <x:c r="D188" t="str">
        <x:v>Markers</x:v>
      </x:c>
      <x:c r="E188" t="str">
        <x:v>22</x:v>
      </x:c>
      <x:c r="F188" t="str">
        <x:v>1012</x:v>
      </x:c>
      <x:c r="G188" t="str">
        <x:v>2026/08/10</x:v>
      </x:c>
      <x:c r="H188" t="str">
        <x:v>Thabo Ndlovu</x:v>
      </x:c>
      <x:c r="I188" t="str">
        <x:v>Paid</x:v>
      </x:c>
      <x:c r="J188" t="str">
        <x:v>SRC-0183</x:v>
      </x:c>
    </x:row>
    <x:row r="189">
      <x:c r="A189" t="str">
        <x:v>SAL-26-0184</x:v>
      </x:c>
      <x:c r="B189" t="str">
        <x:v>Lakeside School</x:v>
      </x:c>
      <x:c r="C189" t="str">
        <x:v>Bochum</x:v>
      </x:c>
      <x:c r="D189" t="str">
        <x:v>Notebooks</x:v>
      </x:c>
      <x:c r="E189" t="str">
        <x:v>29</x:v>
      </x:c>
      <x:c r="F189" t="str">
        <x:v>1711</x:v>
      </x:c>
      <x:c r="G189" t="str">
        <x:v>2026-01-11</x:v>
      </x:c>
      <x:c r="H189" t="str"/>
      <x:c r="I189" t="str">
        <x:v>Pending</x:v>
      </x:c>
      <x:c r="J189" t="str">
        <x:v>SRC-0184</x:v>
      </x:c>
    </x:row>
    <x:row r="190">
      <x:c r="A190" t="str">
        <x:v>SAL-26-0184</x:v>
      </x:c>
      <x:c r="B190" t="str">
        <x:v>Valley Primary</x:v>
      </x:c>
      <x:c r="C190" t="str">
        <x:v>Eldorado</x:v>
      </x:c>
      <x:c r="D190" t="str">
        <x:v>Rulers</x:v>
      </x:c>
      <x:c r="E190" t="str">
        <x:v>36</x:v>
      </x:c>
      <x:c r="F190" t="str">
        <x:v>2592</x:v>
      </x:c>
      <x:c r="G190" t="str">
        <x:v>12/02/26</x:v>
      </x:c>
      <x:c r="H190" t="str">
        <x:v>Thabo Ndlovu</x:v>
      </x:c>
      <x:c r="I190" t="str">
        <x:v>Complete</x:v>
      </x:c>
      <x:c r="J190" t="str">
        <x:v>SRC-0185</x:v>
      </x:c>
    </x:row>
    <x:row r="191">
      <x:c r="A191" t="str">
        <x:v>SAL-26-0186</x:v>
      </x:c>
      <x:c r="B191" t="str">
        <x:v>Mhlabeni Secondary</x:v>
      </x:c>
      <x:c r="C191" t="str">
        <x:v>Eldorado</x:v>
      </x:c>
      <x:c r="D191" t="str">
        <x:v>Exercise books</x:v>
      </x:c>
      <x:c r="E191" t="str"/>
      <x:c r="F191" t="str">
        <x:v>595</x:v>
      </x:c>
      <x:c r="G191" t="str">
        <x:v>not supplied</x:v>
      </x:c>
      <x:c r="H191" t="str">
        <x:v>Lebo Nkosi</x:v>
      </x:c>
      <x:c r="I191" t="str">
        <x:v>Paid</x:v>
      </x:c>
      <x:c r="J191" t="str">
        <x:v>SRC-0186</x:v>
      </x:c>
    </x:row>
    <x:row r="192">
      <x:c r="A192" t="str">
        <x:v>SAL-26-0187</x:v>
      </x:c>
      <x:c r="B192" t="str">
        <x:v>Meadowlands School</x:v>
      </x:c>
      <x:c r="C192" t="str">
        <x:v> BOCHUM REGION </x:v>
      </x:c>
      <x:c r="D192" t="str">
        <x:v>Pencils</x:v>
      </x:c>
      <x:c r="E192" t="str">
        <x:v>14</x:v>
      </x:c>
      <x:c r="F192" t="str">
        <x:v>R1,372</x:v>
      </x:c>
      <x:c r="G192" t="str">
        <x:v>2026/04/14</x:v>
      </x:c>
      <x:c r="H192" t="str">
        <x:v>Thabo Ndlovu</x:v>
      </x:c>
      <x:c r="I192" t="str">
        <x:v>Pending</x:v>
      </x:c>
      <x:c r="J192" t="str">
        <x:v>SRC-0187</x:v>
      </x:c>
    </x:row>
    <x:row r="193">
      <x:c r="A193" t="str">
        <x:v>SAL-26-0188</x:v>
      </x:c>
      <x:c r="B193" t="str">
        <x:v>Gardenview School</x:v>
      </x:c>
      <x:c r="C193" t="str">
        <x:v>Unknown district</x:v>
      </x:c>
      <x:c r="D193" t="str">
        <x:v>Folders</x:v>
      </x:c>
      <x:c r="E193" t="str">
        <x:v>21</x:v>
      </x:c>
      <x:c r="F193" t="str">
        <x:v>R-300</x:v>
      </x:c>
      <x:c r="G193" t="str">
        <x:v>2026-05-15</x:v>
      </x:c>
      <x:c r="H193" t="str">
        <x:v>Lebo Nkosi</x:v>
      </x:c>
      <x:c r="I193" t="str">
        <x:v>Complete</x:v>
      </x:c>
      <x:c r="J193" t="str">
        <x:v>SRC-0188</x:v>
      </x:c>
    </x:row>
    <x:row r="194">
      <x:c r="A194" t="str">
        <x:v>SAL-26-0189</x:v>
      </x:c>
      <x:c r="B194" t="str">
        <x:v>  RIVERSIDE ACADEMY </x:v>
      </x:c>
      <x:c r="C194" t="str">
        <x:v>Bochum</x:v>
      </x:c>
      <x:c r="D194" t="str">
        <x:v>Pens</x:v>
      </x:c>
      <x:c r="E194" t="str">
        <x:v> 28 </x:v>
      </x:c>
      <x:c r="F194" t="str">
        <x:v>3472</x:v>
      </x:c>
      <x:c r="G194" t="str">
        <x:v>16/06/26</x:v>
      </x:c>
      <x:c r="H194" t="str">
        <x:v>Thabo Ndlovu</x:v>
      </x:c>
      <x:c r="I194" t="str">
        <x:v>  pending </x:v>
      </x:c>
      <x:c r="J194" t="str">
        <x:v>SRC-0189</x:v>
      </x:c>
    </x:row>
    <x:row r="195">
      <x:c r="A195" t="str">
        <x:v>SAL-26-0190</x:v>
      </x:c>
      <x:c r="B195" t="str">
        <x:v>Maple Secondary</x:v>
      </x:c>
      <x:c r="C195" t="str">
        <x:v>Eldorado</x:v>
      </x:c>
      <x:c r="D195" t="str">
        <x:v>  GLUE STICKS </x:v>
      </x:c>
      <x:c r="E195" t="str">
        <x:v>35</x:v>
      </x:c>
      <x:c r="F195" t="str">
        <x:v>4795</x:v>
      </x:c>
      <x:c r="G195" t="str">
        <x:v>17-07-2026</x:v>
      </x:c>
      <x:c r="H195" t="str">
        <x:v>Lebo Nkosi</x:v>
      </x:c>
      <x:c r="I195" t="str">
        <x:v>settled</x:v>
      </x:c>
      <x:c r="J195" t="str">
        <x:v>SRC-0190</x:v>
      </x:c>
    </x:row>
    <x:row r="196">
      <x:c r="A196" t="str">
        <x:v>SAL-26-0191</x:v>
      </x:c>
      <x:c r="B196" t="str">
        <x:v>Pinecrest School</x:v>
      </x:c>
      <x:c r="C196" t="str">
        <x:v>Bochum</x:v>
      </x:c>
      <x:c r="D196" t="str">
        <x:v>Markers</x:v>
      </x:c>
      <x:c r="E196" t="str">
        <x:v>6</x:v>
      </x:c>
      <x:c r="F196" t="str">
        <x:v>900</x:v>
      </x:c>
      <x:c r="G196" t="str">
        <x:v>2026/08/18</x:v>
      </x:c>
      <x:c r="H196" t="str">
        <x:v>Thabo Ndlovu</x:v>
      </x:c>
      <x:c r="I196" t="str">
        <x:v>Complete</x:v>
      </x:c>
      <x:c r="J196" t="str">
        <x:v>SRC-0191</x:v>
      </x:c>
    </x:row>
    <x:row r="197">
      <x:c r="A197" t="str">
        <x:v>SAL-26-0192</x:v>
      </x:c>
      <x:c r="B197" t="str">
        <x:v>Northstar Academy</x:v>
      </x:c>
      <x:c r="C197" t="str">
        <x:v>Bochum</x:v>
      </x:c>
      <x:c r="D197" t="str">
        <x:v>notebooks</x:v>
      </x:c>
      <x:c r="E197" t="str">
        <x:v>13</x:v>
      </x:c>
      <x:c r="F197" t="str">
        <x:v>2119</x:v>
      </x:c>
      <x:c r="G197" t="str">
        <x:v>2026-01-19</x:v>
      </x:c>
      <x:c r="H197" t="str">
        <x:v> LEBO NKOSI </x:v>
      </x:c>
      <x:c r="I197" t="str">
        <x:v>Paid</x:v>
      </x:c>
      <x:c r="J197" t="str">
        <x:v>SRC-0192</x:v>
      </x:c>
    </x:row>
    <x:row r="198">
      <x:c r="A198" t="str">
        <x:v>SAL-26-0193</x:v>
      </x:c>
      <x:c r="B198" t="str">
        <x:v>Crescent Primary</x:v>
      </x:c>
      <x:c r="C198" t="str">
        <x:v>Eldorado</x:v>
      </x:c>
      <x:c r="D198" t="str">
        <x:v>Rulers</x:v>
      </x:c>
      <x:c r="E198" t="str">
        <x:v>20</x:v>
      </x:c>
      <x:c r="F198" t="str">
        <x:v>3520</x:v>
      </x:c>
      <x:c r="G198" t="str">
        <x:v>20/02/26</x:v>
      </x:c>
      <x:c r="H198" t="str">
        <x:v>Thabo Ndlovu</x:v>
      </x:c>
      <x:c r="I198" t="str">
        <x:v>Pending</x:v>
      </x:c>
      <x:c r="J198" t="str">
        <x:v>SRC-0193</x:v>
      </x:c>
    </x:row>
    <x:row r="199">
      <x:c r="A199" t="str">
        <x:v>SAL-26-0194</x:v>
      </x:c>
      <x:c r="B199" t="str">
        <x:v>Hillview Primary</x:v>
      </x:c>
      <x:c r="C199" t="str">
        <x:v>Bochum</x:v>
      </x:c>
      <x:c r="D199" t="str">
        <x:v>Exercise books</x:v>
      </x:c>
      <x:c r="E199" t="str">
        <x:v>27</x:v>
      </x:c>
      <x:c r="F199" t="str">
        <x:v>5103</x:v>
      </x:c>
      <x:c r="G199" t="str">
        <x:v>21-03-2026</x:v>
      </x:c>
      <x:c r="H199" t="str">
        <x:v>Lebo Nkosi</x:v>
      </x:c>
      <x:c r="I199" t="str">
        <x:v>Complete</x:v>
      </x:c>
      <x:c r="J199" t="str">
        <x:v>SRC-0194</x:v>
      </x:c>
    </x:row>
    <x:row r="200">
      <x:c r="A200" t="str">
        <x:v>SAL-26-0195</x:v>
      </x:c>
      <x:c r="B200" t="str">
        <x:v>eastwood academy</x:v>
      </x:c>
      <x:c r="C200" t="str">
        <x:v>Eldorado</x:v>
      </x:c>
      <x:c r="D200" t="str">
        <x:v>Pencils</x:v>
      </x:c>
      <x:c r="E200" t="str">
        <x:v>34</x:v>
      </x:c>
      <x:c r="F200" t="str">
        <x:v> R 714.00 </x:v>
      </x:c>
      <x:c r="G200" t="str">
        <x:v>2026/04/22</x:v>
      </x:c>
      <x:c r="H200" t="str">
        <x:v>Thabo Ndlovu</x:v>
      </x:c>
      <x:c r="I200" t="str">
        <x:v>Paid</x:v>
      </x:c>
      <x:c r="J200" t="str">
        <x:v>SRC-0195</x:v>
      </x:c>
    </x:row>
    <x:row r="201">
      <x:c r="A201" t="str">
        <x:v>SAL-26-0196</x:v>
      </x:c>
      <x:c r="B201" t="str">
        <x:v>Lakeside School</x:v>
      </x:c>
      <x:c r="C201" t="str">
        <x:v>Bochum</x:v>
      </x:c>
      <x:c r="D201" t="str">
        <x:v>Folders</x:v>
      </x:c>
      <x:c r="E201" t="str">
        <x:v> 5 </x:v>
      </x:c>
      <x:c r="F201" t="str">
        <x:v>170</x:v>
      </x:c>
      <x:c r="G201" t="str">
        <x:v>2026-05-23</x:v>
      </x:c>
      <x:c r="H201" t="str">
        <x:v>Lebo Nkosi</x:v>
      </x:c>
      <x:c r="I201" t="str">
        <x:v>Pending</x:v>
      </x:c>
      <x:c r="J201" t="str">
        <x:v>SRC-0196</x:v>
      </x:c>
    </x:row>
    <x:row r="202">
      <x:c r="A202" t="str">
        <x:v>SAL-26-0197</x:v>
      </x:c>
      <x:c r="B202" t="str">
        <x:v>Valley Primary</x:v>
      </x:c>
      <x:c r="C202" t="str">
        <x:v>Eldorado</x:v>
      </x:c>
      <x:c r="D202" t="str">
        <x:v>Pens</x:v>
      </x:c>
      <x:c r="E202" t="str">
        <x:v>12</x:v>
      </x:c>
      <x:c r="F202" t="str">
        <x:v>564</x:v>
      </x:c>
      <x:c r="G202" t="str">
        <x:v>24/06/26</x:v>
      </x:c>
      <x:c r="H202" t="str">
        <x:v>Thabo Ndlovu</x:v>
      </x:c>
      <x:c r="I202" t="str">
        <x:v>Complete</x:v>
      </x:c>
      <x:c r="J202" t="str">
        <x:v>SRC-0197</x:v>
      </x:c>
    </x:row>
    <x:row r="203">
      <x:c r="A203" t="str">
        <x:v>SAL-26-0198</x:v>
      </x:c>
      <x:c r="B203" t="str">
        <x:v>  MHLABENI SECONDARY </x:v>
      </x:c>
      <x:c r="C203" t="str">
        <x:v>eldos</x:v>
      </x:c>
      <x:c r="D203" t="str">
        <x:v>Glue sticks</x:v>
      </x:c>
      <x:c r="E203" t="str">
        <x:v>19</x:v>
      </x:c>
      <x:c r="F203" t="str">
        <x:v>R1,140</x:v>
      </x:c>
      <x:c r="G203" t="str">
        <x:v>25-07-2026</x:v>
      </x:c>
      <x:c r="H203" t="str">
        <x:v>Lebo Nkosi</x:v>
      </x:c>
      <x:c r="I203" t="str">
        <x:v>Paid</x:v>
      </x:c>
      <x:c r="J203" t="str">
        <x:v>SRC-0198</x:v>
      </x:c>
    </x:row>
    <x:row r="204">
      <x:c r="A204" t="str">
        <x:v>SAL-26-0199</x:v>
      </x:c>
      <x:c r="B204" t="str">
        <x:v>Meadowlands School</x:v>
      </x:c>
      <x:c r="C204" t="str">
        <x:v>Bochum</x:v>
      </x:c>
      <x:c r="D204" t="str">
        <x:v>Markers</x:v>
      </x:c>
      <x:c r="E204" t="str">
        <x:v>26</x:v>
      </x:c>
      <x:c r="F204" t="str">
        <x:v>1898</x:v>
      </x:c>
      <x:c r="G204" t="str">
        <x:v>2026/08/26</x:v>
      </x:c>
      <x:c r="H204" t="str">
        <x:v>Thabo Ndlovu</x:v>
      </x:c>
      <x:c r="I204" t="str">
        <x:v>Pending</x:v>
      </x:c>
      <x:c r="J204" t="str">
        <x:v>SRC-0199</x:v>
      </x:c>
    </x:row>
    <x:row r="205">
      <x:c r="A205" t="str">
        <x:v>SAL-26-0200</x:v>
      </x:c>
      <x:c r="B205" t="str">
        <x:v>Gardenview School</x:v>
      </x:c>
      <x:c r="C205" t="str">
        <x:v>Eldorado</x:v>
      </x:c>
      <x:c r="D205" t="str">
        <x:v>  NOTEBOOKS </x:v>
      </x:c>
      <x:c r="E205" t="str">
        <x:v>33</x:v>
      </x:c>
      <x:c r="F205" t="str">
        <x:v>2838</x:v>
      </x:c>
      <x:c r="G205" t="str">
        <x:v>2026-01-02</x:v>
      </x:c>
      <x:c r="H205" t="str">
        <x:v> LEBO NKOSI </x:v>
      </x:c>
      <x:c r="I205" t="str">
        <x:v>Complete</x:v>
      </x:c>
      <x:c r="J205" t="str">
        <x:v>SRC-0200</x:v>
      </x:c>
    </x:row>
    <x:row r="206">
      <x:c r="A206" t="str">
        <x:v>SAL-26-0201</x:v>
      </x:c>
      <x:c r="B206" t="str">
        <x:v>Riverside Academy</x:v>
      </x:c>
      <x:c r="C206" t="str">
        <x:v>Bochum</x:v>
      </x:c>
      <x:c r="D206" t="str">
        <x:v>Rulers</x:v>
      </x:c>
      <x:c r="E206" t="str">
        <x:v>4</x:v>
      </x:c>
      <x:c r="F206" t="str">
        <x:v>396</x:v>
      </x:c>
      <x:c r="G206" t="str">
        <x:v>03/02/26</x:v>
      </x:c>
      <x:c r="H206" t="str">
        <x:v>Thabo Ndlovu</x:v>
      </x:c>
      <x:c r="I206" t="str">
        <x:v>Paid</x:v>
      </x:c>
      <x:c r="J206" t="str">
        <x:v>SRC-0201</x:v>
      </x:c>
    </x:row>
    <x:row r="207">
      <x:c r="A207" t="str">
        <x:v>SAL-26-0202</x:v>
      </x:c>
      <x:c r="B207" t="str">
        <x:v>Maple Secondary</x:v>
      </x:c>
      <x:c r="C207" t="str">
        <x:v>Eldorado</x:v>
      </x:c>
      <x:c r="D207" t="str">
        <x:v>Exercise books</x:v>
      </x:c>
      <x:c r="E207" t="str">
        <x:v>11</x:v>
      </x:c>
      <x:c r="F207" t="str">
        <x:v>1232</x:v>
      </x:c>
      <x:c r="G207" t="str">
        <x:v>04-03-2026</x:v>
      </x:c>
      <x:c r="H207" t="str">
        <x:v>Lebo Nkosi</x:v>
      </x:c>
      <x:c r="I207" t="str">
        <x:v>Pending</x:v>
      </x:c>
      <x:c r="J207" t="str">
        <x:v>SRC-0202</x:v>
      </x:c>
    </x:row>
    <x:row r="208">
      <x:c r="A208" t="str">
        <x:v>SAL-26-0203</x:v>
      </x:c>
      <x:c r="B208" t="str">
        <x:v>Pinecrest School</x:v>
      </x:c>
      <x:c r="C208" t="str">
        <x:v>Bochum</x:v>
      </x:c>
      <x:c r="D208" t="str">
        <x:v>Pencils</x:v>
      </x:c>
      <x:c r="E208" t="str">
        <x:v>18 units</x:v>
      </x:c>
      <x:c r="F208" t="str">
        <x:v>2250</x:v>
      </x:c>
      <x:c r="G208" t="str">
        <x:v>2026/04/05</x:v>
      </x:c>
      <x:c r="H208" t="str">
        <x:v>Thabo Ndlovu</x:v>
      </x:c>
      <x:c r="I208" t="str">
        <x:v>Complete</x:v>
      </x:c>
      <x:c r="J208" t="str">
        <x:v>SRC-0203</x:v>
      </x:c>
    </x:row>
    <x:row r="209">
      <x:c r="A209" t="str">
        <x:v>SAL-26-0204</x:v>
      </x:c>
      <x:c r="B209" t="str">
        <x:v>Northstar Academy</x:v>
      </x:c>
      <x:c r="C209" t="str">
        <x:v>Bochum</x:v>
      </x:c>
      <x:c r="D209" t="str">
        <x:v>Folders</x:v>
      </x:c>
      <x:c r="E209" t="str">
        <x:v>25</x:v>
      </x:c>
      <x:c r="F209" t="str"/>
      <x:c r="G209" t="str">
        <x:v>2026-05-06</x:v>
      </x:c>
      <x:c r="H209" t="str">
        <x:v>Lebo Nkosi</x:v>
      </x:c>
      <x:c r="I209" t="str">
        <x:v>Paid</x:v>
      </x:c>
      <x:c r="J209" t="str">
        <x:v>SRC-0204</x:v>
      </x:c>
    </x:row>
    <x:row r="210">
      <x:c r="A210" t="str">
        <x:v>SAL-26-0205</x:v>
      </x:c>
      <x:c r="B210" t="str">
        <x:v>Crescent Primary</x:v>
      </x:c>
      <x:c r="C210" t="str">
        <x:v>Eldorado</x:v>
      </x:c>
      <x:c r="D210" t="str">
        <x:v>Pens</x:v>
      </x:c>
      <x:c r="E210" t="str">
        <x:v>32</x:v>
      </x:c>
      <x:c r="F210" t="str">
        <x:v>4832</x:v>
      </x:c>
      <x:c r="G210" t="str">
        <x:v>07/06/26</x:v>
      </x:c>
      <x:c r="H210" t="str">
        <x:v>Thabo Ndlovu</x:v>
      </x:c>
      <x:c r="I210" t="str">
        <x:v>Pending</x:v>
      </x:c>
      <x:c r="J210" t="str">
        <x:v>SRC-0205</x:v>
      </x:c>
    </x:row>
    <x:row r="211">
      <x:c r="A211" t="str">
        <x:v>SAL-26-0206</x:v>
      </x:c>
      <x:c r="B211" t="str">
        <x:v>Hillview Primary</x:v>
      </x:c>
      <x:c r="C211" t="str">
        <x:v>Bochum</x:v>
      </x:c>
      <x:c r="D211" t="str">
        <x:v>Glue sticks</x:v>
      </x:c>
      <x:c r="E211" t="str">
        <x:v>3</x:v>
      </x:c>
      <x:c r="F211" t="str">
        <x:v>492</x:v>
      </x:c>
      <x:c r="G211" t="str">
        <x:v>08-07-2026</x:v>
      </x:c>
      <x:c r="H211" t="str">
        <x:v>Lebo Nkosi</x:v>
      </x:c>
      <x:c r="I211" t="str">
        <x:v>Complete</x:v>
      </x:c>
      <x:c r="J211" t="str">
        <x:v>SRC-0206</x:v>
      </x:c>
    </x:row>
    <x:row r="212">
      <x:c r="A212" t="str">
        <x:v>SAL-26-0207</x:v>
      </x:c>
      <x:c r="B212" t="str">
        <x:v>  EASTWOOD ACADEMY </x:v>
      </x:c>
      <x:c r="C212" t="str">
        <x:v>Eldorado</x:v>
      </x:c>
      <x:c r="D212" t="str">
        <x:v>Markers</x:v>
      </x:c>
      <x:c r="E212" t="str">
        <x:v>10</x:v>
      </x:c>
      <x:c r="F212" t="str">
        <x:v>1770</x:v>
      </x:c>
      <x:c r="G212" t="str">
        <x:v>2026/08/09</x:v>
      </x:c>
      <x:c r="H212" t="str"/>
      <x:c r="I212" t="str">
        <x:v>Paid</x:v>
      </x:c>
      <x:c r="J212" t="str">
        <x:v>SRC-0207</x:v>
      </x:c>
    </x:row>
    <x:row r="213">
      <x:c r="A213" t="str">
        <x:v>SAL-26-0208</x:v>
      </x:c>
      <x:c r="B213" t="str">
        <x:v>lakeside school</x:v>
      </x:c>
      <x:c r="C213" t="str">
        <x:v>Bochum</x:v>
      </x:c>
      <x:c r="D213" t="str">
        <x:v>notebooks</x:v>
      </x:c>
      <x:c r="E213" t="str">
        <x:v>17</x:v>
      </x:c>
      <x:c r="F213" t="str">
        <x:v> R 3230.00 </x:v>
      </x:c>
      <x:c r="G213" t="str">
        <x:v>2026-01-10</x:v>
      </x:c>
      <x:c r="H213" t="str">
        <x:v> LEBO NKOSI </x:v>
      </x:c>
      <x:c r="I213" t="str">
        <x:v>Pending</x:v>
      </x:c>
      <x:c r="J213" t="str">
        <x:v>SRC-0208</x:v>
      </x:c>
    </x:row>
    <x:row r="214">
      <x:c r="A214" t="str">
        <x:v>SAL-26-0209</x:v>
      </x:c>
      <x:c r="B214" t="str">
        <x:v>Valley Primary</x:v>
      </x:c>
      <x:c r="C214" t="str">
        <x:v>eldos</x:v>
      </x:c>
      <x:c r="D214" t="str">
        <x:v>Rulers</x:v>
      </x:c>
      <x:c r="E214" t="str">
        <x:v>24</x:v>
      </x:c>
      <x:c r="F214" t="str">
        <x:v>R528</x:v>
      </x:c>
      <x:c r="G214" t="str">
        <x:v>11/02/26</x:v>
      </x:c>
      <x:c r="H214" t="str">
        <x:v>Thabo Ndlovu</x:v>
      </x:c>
      <x:c r="I214" t="str">
        <x:v>settled</x:v>
      </x:c>
      <x:c r="J214" t="str">
        <x:v>SRC-0209</x:v>
      </x:c>
    </x:row>
    <x:row r="215">
      <x:c r="A215" t="str">
        <x:v>SAL-26-0210</x:v>
      </x:c>
      <x:c r="B215" t="str">
        <x:v>Mhlabeni Secondary</x:v>
      </x:c>
      <x:c r="C215" t="str">
        <x:v>Eldorado</x:v>
      </x:c>
      <x:c r="D215" t="str">
        <x:v>  EXERCISE BOOKS </x:v>
      </x:c>
      <x:c r="E215" t="str">
        <x:v> 31 </x:v>
      </x:c>
      <x:c r="F215" t="str">
        <x:v>1085</x:v>
      </x:c>
      <x:c r="G215" t="str">
        <x:v>12-03-2026</x:v>
      </x:c>
      <x:c r="H215" t="str">
        <x:v>Lebo Nkosi</x:v>
      </x:c>
      <x:c r="I215" t="str">
        <x:v>Paid</x:v>
      </x:c>
      <x:c r="J215" t="str">
        <x:v>SRC-0210</x:v>
      </x:c>
    </x:row>
    <x:row r="216">
      <x:c r="A216" t="str">
        <x:v>SAL-26-0211</x:v>
      </x:c>
      <x:c r="B216" t="str">
        <x:v>Meadowlands School</x:v>
      </x:c>
      <x:c r="C216" t="str">
        <x:v>Bochum</x:v>
      </x:c>
      <x:c r="D216" t="str">
        <x:v>Pencils</x:v>
      </x:c>
      <x:c r="E216" t="str">
        <x:v>2</x:v>
      </x:c>
      <x:c r="F216" t="str">
        <x:v>96</x:v>
      </x:c>
      <x:c r="G216" t="str">
        <x:v>2026/04/13</x:v>
      </x:c>
      <x:c r="H216" t="str">
        <x:v>Thabo Ndlovu</x:v>
      </x:c>
      <x:c r="I216" t="str">
        <x:v>Pending</x:v>
      </x:c>
      <x:c r="J216" t="str">
        <x:v>SRC-0211</x:v>
      </x:c>
    </x:row>
    <x:row r="217">
      <x:c r="A217" t="str">
        <x:v>SAL-26-0212</x:v>
      </x:c>
      <x:c r="B217" t="str">
        <x:v>Gardenview School</x:v>
      </x:c>
      <x:c r="C217" t="str">
        <x:v>Eldorado</x:v>
      </x:c>
      <x:c r="D217" t="str">
        <x:v>Folders</x:v>
      </x:c>
      <x:c r="E217" t="str">
        <x:v>9</x:v>
      </x:c>
      <x:c r="F217" t="str">
        <x:v>549</x:v>
      </x:c>
      <x:c r="G217" t="str">
        <x:v>2026-19-44</x:v>
      </x:c>
      <x:c r="H217" t="str">
        <x:v>Lebo Nkosi</x:v>
      </x:c>
      <x:c r="I217" t="str">
        <x:v>Complete</x:v>
      </x:c>
      <x:c r="J217" t="str">
        <x:v>SRC-0212</x:v>
      </x:c>
    </x:row>
    <x:row r="218">
      <x:c r="A218" t="str">
        <x:v>SAL-26-0213</x:v>
      </x:c>
      <x:c r="B218" t="str">
        <x:v>Riverside Academy</x:v>
      </x:c>
      <x:c r="C218" t="str">
        <x:v>Bochum</x:v>
      </x:c>
      <x:c r="D218" t="str">
        <x:v>Pens</x:v>
      </x:c>
      <x:c r="E218" t="str">
        <x:v>16</x:v>
      </x:c>
      <x:c r="F218" t="str">
        <x:v>1184</x:v>
      </x:c>
      <x:c r="G218" t="str">
        <x:v>15/06/26</x:v>
      </x:c>
      <x:c r="H218" t="str">
        <x:v>Thabo Ndlovu</x:v>
      </x:c>
      <x:c r="I218" t="str">
        <x:v>Paid</x:v>
      </x:c>
      <x:c r="J218" t="str">
        <x:v>SRC-0213</x:v>
      </x:c>
    </x:row>
    <x:row r="219">
      <x:c r="A219" t="str">
        <x:v>SAL-26-0214</x:v>
      </x:c>
      <x:c r="B219" t="str">
        <x:v>Maple Secondary</x:v>
      </x:c>
      <x:c r="C219" t="str">
        <x:v>Eldorado</x:v>
      </x:c>
      <x:c r="D219" t="str">
        <x:v>Glue sticks</x:v>
      </x:c>
      <x:c r="E219" t="str">
        <x:v>23</x:v>
      </x:c>
      <x:c r="F219" t="str">
        <x:v>2001</x:v>
      </x:c>
      <x:c r="G219" t="str">
        <x:v>16-07-2026</x:v>
      </x:c>
      <x:c r="H219" t="str">
        <x:v>Lebo Nkosi</x:v>
      </x:c>
      <x:c r="I219" t="str">
        <x:v>Pending</x:v>
      </x:c>
      <x:c r="J219" t="str">
        <x:v>SRC-0214</x:v>
      </x:c>
    </x:row>
    <x:row r="220">
      <x:c r="A220" t="str">
        <x:v>SAL-26-0215</x:v>
      </x:c>
      <x:c r="B220" t="str">
        <x:v>Pinecrest School</x:v>
      </x:c>
      <x:c r="C220" t="str">
        <x:v>Bochum</x:v>
      </x:c>
      <x:c r="D220" t="str">
        <x:v>Markers</x:v>
      </x:c>
      <x:c r="E220" t="str">
        <x:v>30</x:v>
      </x:c>
      <x:c r="F220" t="str">
        <x:v>N/A</x:v>
      </x:c>
      <x:c r="G220" t="str">
        <x:v>2026/08/17</x:v>
      </x:c>
      <x:c r="H220" t="str">
        <x:v>Thabo Ndlovu</x:v>
      </x:c>
      <x:c r="I220" t="str">
        <x:v>Complete</x:v>
      </x:c>
      <x:c r="J220" t="str">
        <x:v>SRC-0215</x:v>
      </x:c>
    </x:row>
    <x:row r="221">
      <x:c r="A221" t="str">
        <x:v>SAL-26-0216</x:v>
      </x:c>
      <x:c r="B221" t="str">
        <x:v>  NORTHSTAR ACADEMY </x:v>
      </x:c>
      <x:c r="C221" t="str">
        <x:v>Bochum</x:v>
      </x:c>
      <x:c r="D221" t="str">
        <x:v>Notebooks</x:v>
      </x:c>
      <x:c r="E221" t="str">
        <x:v>1</x:v>
      </x:c>
      <x:c r="F221" t="str">
        <x:v>113</x:v>
      </x:c>
      <x:c r="G221" t="str">
        <x:v>2026-01-18</x:v>
      </x:c>
      <x:c r="H221" t="str">
        <x:v> LEBO NKOSI </x:v>
      </x:c>
      <x:c r="I221" t="str">
        <x:v>  pending </x:v>
      </x:c>
      <x:c r="J221" t="str">
        <x:v>SRC-0216</x:v>
      </x:c>
    </x:row>
    <x:row r="222">
      <x:c r="A222" t="str">
        <x:v>SAL-26-0217</x:v>
      </x:c>
      <x:c r="B222" t="str">
        <x:v>Crescent Primary</x:v>
      </x:c>
      <x:c r="C222" t="str">
        <x:v>Eldorado</x:v>
      </x:c>
      <x:c r="D222" t="str">
        <x:v>Rulers</x:v>
      </x:c>
      <x:c r="E222" t="str"/>
      <x:c r="F222" t="str">
        <x:v>1008</x:v>
      </x:c>
      <x:c r="G222" t="str">
        <x:v>not supplied</x:v>
      </x:c>
      <x:c r="H222" t="str">
        <x:v>Thabo Ndlovu</x:v>
      </x:c>
      <x:c r="I222" t="str">
        <x:v>Pending</x:v>
      </x:c>
      <x:c r="J222" t="str">
        <x:v>SRC-0217</x:v>
      </x:c>
    </x:row>
    <x:row r="223">
      <x:c r="A223" t="str">
        <x:v>SAL-26-0218</x:v>
      </x:c>
      <x:c r="B223" t="str">
        <x:v>Hillview Primary</x:v>
      </x:c>
      <x:c r="C223" t="str">
        <x:v>Bochum</x:v>
      </x:c>
      <x:c r="D223" t="str">
        <x:v>Exercise books</x:v>
      </x:c>
      <x:c r="E223" t="str">
        <x:v>15</x:v>
      </x:c>
      <x:c r="F223" t="str">
        <x:v>2085</x:v>
      </x:c>
      <x:c r="G223" t="str">
        <x:v>20-03-2026</x:v>
      </x:c>
      <x:c r="H223" t="str">
        <x:v>Lebo Nkosi</x:v>
      </x:c>
      <x:c r="I223" t="str">
        <x:v>Complete</x:v>
      </x:c>
      <x:c r="J223" t="str">
        <x:v>SRC-0218</x:v>
      </x:c>
    </x:row>
    <x:row r="224">
      <x:c r="A224" t="str">
        <x:v>SAL-26-0219</x:v>
      </x:c>
      <x:c r="B224" t="str">
        <x:v>Eastwood Academy</x:v>
      </x:c>
      <x:c r="C224" t="str">
        <x:v>Eldorado</x:v>
      </x:c>
      <x:c r="D224" t="str">
        <x:v>Pencils</x:v>
      </x:c>
      <x:c r="E224" t="str">
        <x:v>22</x:v>
      </x:c>
      <x:c r="F224" t="str">
        <x:v>3344</x:v>
      </x:c>
      <x:c r="G224" t="str">
        <x:v>2026/04/21</x:v>
      </x:c>
      <x:c r="H224" t="str">
        <x:v>Thabo Ndlovu</x:v>
      </x:c>
      <x:c r="I224" t="str">
        <x:v>Paid</x:v>
      </x:c>
      <x:c r="J224" t="str">
        <x:v>SRC-0219</x:v>
      </x:c>
    </x:row>
    <x:row r="225">
      <x:c r="A225" t="str">
        <x:v>SAL-26-0220</x:v>
      </x:c>
      <x:c r="B225" t="str">
        <x:v>Lakeside School</x:v>
      </x:c>
      <x:c r="C225" t="str">
        <x:v> BOCHUM REGION </x:v>
      </x:c>
      <x:c r="D225" t="str">
        <x:v>  FOLDERS </x:v>
      </x:c>
      <x:c r="E225" t="str">
        <x:v>29</x:v>
      </x:c>
      <x:c r="F225" t="str">
        <x:v>R4,785</x:v>
      </x:c>
      <x:c r="G225" t="str">
        <x:v>2026-05-22</x:v>
      </x:c>
      <x:c r="H225" t="str">
        <x:v>Lebo Nkosi</x:v>
      </x:c>
      <x:c r="I225" t="str">
        <x:v>Pending</x:v>
      </x:c>
      <x:c r="J225" t="str">
        <x:v>SRC-0220</x:v>
      </x:c>
    </x:row>
    <x:row r="226">
      <x:c r="A226" t="str">
        <x:v>SAL-26-0221</x:v>
      </x:c>
      <x:c r="B226" t="str">
        <x:v>valley primary</x:v>
      </x:c>
      <x:c r="C226" t="str">
        <x:v>Eldorado</x:v>
      </x:c>
      <x:c r="D226" t="str">
        <x:v>Pens</x:v>
      </x:c>
      <x:c r="E226" t="str">
        <x:v>36</x:v>
      </x:c>
      <x:c r="F226" t="str">
        <x:v> R 6408.00 </x:v>
      </x:c>
      <x:c r="G226" t="str">
        <x:v>23/06/26</x:v>
      </x:c>
      <x:c r="H226" t="str">
        <x:v>Thabo Ndlovu</x:v>
      </x:c>
      <x:c r="I226" t="str">
        <x:v>Complete</x:v>
      </x:c>
      <x:c r="J226" t="str">
        <x:v>SRC-0221</x:v>
      </x:c>
    </x:row>
    <x:row r="227">
      <x:c r="A227" t="str">
        <x:v>SAL-26-0221</x:v>
      </x:c>
      <x:c r="B227" t="str">
        <x:v>Mhlabeni Secondary</x:v>
      </x:c>
      <x:c r="C227" t="str">
        <x:v>Eldorado</x:v>
      </x:c>
      <x:c r="D227" t="str">
        <x:v>Glue sticks</x:v>
      </x:c>
      <x:c r="E227" t="str">
        <x:v>7</x:v>
      </x:c>
      <x:c r="F227" t="str">
        <x:v>1337</x:v>
      </x:c>
      <x:c r="G227" t="str">
        <x:v>24-07-2026</x:v>
      </x:c>
      <x:c r="H227" t="str">
        <x:v>Lebo Nkosi</x:v>
      </x:c>
      <x:c r="I227" t="str">
        <x:v>Paid</x:v>
      </x:c>
      <x:c r="J227" t="str">
        <x:v>SRC-0222</x:v>
      </x:c>
    </x:row>
    <x:row r="228">
      <x:c r="A228" t="str">
        <x:v>SAL-26-0223</x:v>
      </x:c>
      <x:c r="B228" t="str">
        <x:v>Meadowlands School</x:v>
      </x:c>
      <x:c r="C228" t="str">
        <x:v>Bochum</x:v>
      </x:c>
      <x:c r="D228" t="str">
        <x:v>Markers</x:v>
      </x:c>
      <x:c r="E228" t="str">
        <x:v>14</x:v>
      </x:c>
      <x:c r="F228" t="str">
        <x:v>322</x:v>
      </x:c>
      <x:c r="G228" t="str">
        <x:v>2026/08/25</x:v>
      </x:c>
      <x:c r="H228" t="str">
        <x:v>Thabo Ndlovu</x:v>
      </x:c>
      <x:c r="I228" t="str">
        <x:v>Pending</x:v>
      </x:c>
      <x:c r="J228" t="str">
        <x:v>SRC-0223</x:v>
      </x:c>
    </x:row>
    <x:row r="229">
      <x:c r="A229" t="str">
        <x:v>SAL-26-0224</x:v>
      </x:c>
      <x:c r="B229" t="str">
        <x:v>Gardenview School</x:v>
      </x:c>
      <x:c r="C229" t="str">
        <x:v>Eldorado</x:v>
      </x:c>
      <x:c r="D229" t="str">
        <x:v>notebooks</x:v>
      </x:c>
      <x:c r="E229" t="str">
        <x:v> 21 </x:v>
      </x:c>
      <x:c r="F229" t="str">
        <x:v>756</x:v>
      </x:c>
      <x:c r="G229" t="str">
        <x:v>2026-01-26</x:v>
      </x:c>
      <x:c r="H229" t="str">
        <x:v> LEBO NKOSI </x:v>
      </x:c>
      <x:c r="I229" t="str">
        <x:v>Complete</x:v>
      </x:c>
      <x:c r="J229" t="str">
        <x:v>SRC-0224</x:v>
      </x:c>
    </x:row>
    <x:row r="230">
      <x:c r="A230" t="str">
        <x:v>SAL-26-0225</x:v>
      </x:c>
      <x:c r="B230" t="str">
        <x:v>  RIVERSIDE ACADEMY </x:v>
      </x:c>
      <x:c r="C230" t="str">
        <x:v>Bochum</x:v>
      </x:c>
      <x:c r="D230" t="str">
        <x:v>Rulers</x:v>
      </x:c>
      <x:c r="E230" t="str">
        <x:v>28</x:v>
      </x:c>
      <x:c r="F230" t="str">
        <x:v>1372</x:v>
      </x:c>
      <x:c r="G230" t="str">
        <x:v>02/02/26</x:v>
      </x:c>
      <x:c r="H230" t="str">
        <x:v>Thabo Ndlovu</x:v>
      </x:c>
      <x:c r="I230" t="str">
        <x:v>Paid</x:v>
      </x:c>
      <x:c r="J230" t="str">
        <x:v>SRC-0225</x:v>
      </x:c>
    </x:row>
    <x:row r="231">
      <x:c r="A231" t="str">
        <x:v>SAL-26-0226</x:v>
      </x:c>
      <x:c r="B231" t="str">
        <x:v>Maple Secondary</x:v>
      </x:c>
      <x:c r="C231" t="str">
        <x:v>Eldorado</x:v>
      </x:c>
      <x:c r="D231" t="str">
        <x:v>Exercise books</x:v>
      </x:c>
      <x:c r="E231" t="str">
        <x:v>35</x:v>
      </x:c>
      <x:c r="F231" t="str">
        <x:v>2170</x:v>
      </x:c>
      <x:c r="G231" t="str">
        <x:v>03-03-2026</x:v>
      </x:c>
      <x:c r="H231" t="str">
        <x:v>Lebo Nkosi</x:v>
      </x:c>
      <x:c r="I231" t="str">
        <x:v>Pending</x:v>
      </x:c>
      <x:c r="J231" t="str">
        <x:v>SRC-0226</x:v>
      </x:c>
    </x:row>
    <x:row r="232">
      <x:c r="A232" t="str">
        <x:v>SAL-26-0227</x:v>
      </x:c>
      <x:c r="B232" t="str">
        <x:v>Pinecrest School</x:v>
      </x:c>
      <x:c r="C232" t="str">
        <x:v>Bochum</x:v>
      </x:c>
      <x:c r="D232" t="str">
        <x:v>Pencils</x:v>
      </x:c>
      <x:c r="E232" t="str">
        <x:v>6</x:v>
      </x:c>
      <x:c r="F232" t="str">
        <x:v>450</x:v>
      </x:c>
      <x:c r="G232" t="str">
        <x:v>2026/04/04</x:v>
      </x:c>
      <x:c r="H232" t="str">
        <x:v>Thabo Ndlovu</x:v>
      </x:c>
      <x:c r="I232" t="str">
        <x:v>Complete</x:v>
      </x:c>
      <x:c r="J232" t="str">
        <x:v>SRC-0227</x:v>
      </x:c>
    </x:row>
    <x:row r="233">
      <x:c r="A233" t="str">
        <x:v>SAL-26-0228</x:v>
      </x:c>
      <x:c r="B233" t="str">
        <x:v>Northstar Academy</x:v>
      </x:c>
      <x:c r="C233" t="str">
        <x:v>Bochum</x:v>
      </x:c>
      <x:c r="D233" t="str">
        <x:v>Folders</x:v>
      </x:c>
      <x:c r="E233" t="str">
        <x:v>13</x:v>
      </x:c>
      <x:c r="F233" t="str">
        <x:v>1144</x:v>
      </x:c>
      <x:c r="G233" t="str">
        <x:v>2026-05-05</x:v>
      </x:c>
      <x:c r="H233" t="str">
        <x:v>Lebo Nkosi</x:v>
      </x:c>
      <x:c r="I233" t="str">
        <x:v>settled</x:v>
      </x:c>
      <x:c r="J233" t="str">
        <x:v>SRC-0228</x:v>
      </x:c>
    </x:row>
    <x:row r="234">
      <x:c r="A234" t="str">
        <x:v>SAL-26-0229</x:v>
      </x:c>
      <x:c r="B234" t="str">
        <x:v>Crescent Primary</x:v>
      </x:c>
      <x:c r="C234" t="str">
        <x:v>Eldorado</x:v>
      </x:c>
      <x:c r="D234" t="str">
        <x:v>Pens</x:v>
      </x:c>
      <x:c r="E234" t="str">
        <x:v>20</x:v>
      </x:c>
      <x:c r="F234" t="str">
        <x:v>2020</x:v>
      </x:c>
      <x:c r="G234" t="str">
        <x:v>06/06/26</x:v>
      </x:c>
      <x:c r="H234" t="str">
        <x:v>Thabo Ndlovu</x:v>
      </x:c>
      <x:c r="I234" t="str">
        <x:v>Pending</x:v>
      </x:c>
      <x:c r="J234" t="str">
        <x:v>SRC-0229</x:v>
      </x:c>
    </x:row>
    <x:row r="235">
      <x:c r="A235" t="str">
        <x:v>SAL-26-0230</x:v>
      </x:c>
      <x:c r="B235" t="str">
        <x:v>Hillview Primary</x:v>
      </x:c>
      <x:c r="C235" t="str">
        <x:v>Bochum</x:v>
      </x:c>
      <x:c r="D235" t="str">
        <x:v>  GLUE STICKS </x:v>
      </x:c>
      <x:c r="E235" t="str">
        <x:v>27</x:v>
      </x:c>
      <x:c r="F235" t="str">
        <x:v>3078</x:v>
      </x:c>
      <x:c r="G235" t="str">
        <x:v>07-07-2026</x:v>
      </x:c>
      <x:c r="H235" t="str"/>
      <x:c r="I235" t="str">
        <x:v>Complete</x:v>
      </x:c>
      <x:c r="J235" t="str">
        <x:v>SRC-0230</x:v>
      </x:c>
    </x:row>
    <x:row r="236">
      <x:c r="A236" t="str">
        <x:v>SAL-26-0231</x:v>
      </x:c>
      <x:c r="B236" t="str">
        <x:v>Eastwood Academy</x:v>
      </x:c>
      <x:c r="C236" t="str">
        <x:v>eldos</x:v>
      </x:c>
      <x:c r="D236" t="str">
        <x:v>Markers</x:v>
      </x:c>
      <x:c r="E236" t="str">
        <x:v> 34 </x:v>
      </x:c>
      <x:c r="F236" t="str">
        <x:v>R4,318</x:v>
      </x:c>
      <x:c r="G236" t="str">
        <x:v>2026/08/08</x:v>
      </x:c>
      <x:c r="H236" t="str">
        <x:v>Thabo Ndlovu</x:v>
      </x:c>
      <x:c r="I236" t="str">
        <x:v>Paid</x:v>
      </x:c>
      <x:c r="J236" t="str">
        <x:v>SRC-0231</x:v>
      </x:c>
    </x:row>
    <x:row r="237">
      <x:c r="A237" t="str">
        <x:v>SAL-26-0232</x:v>
      </x:c>
      <x:c r="B237" t="str">
        <x:v>Lakeside School</x:v>
      </x:c>
      <x:c r="C237" t="str">
        <x:v>Bochum</x:v>
      </x:c>
      <x:c r="D237" t="str">
        <x:v>Notebooks</x:v>
      </x:c>
      <x:c r="E237" t="str">
        <x:v>5 units</x:v>
      </x:c>
      <x:c r="F237" t="str">
        <x:v>700</x:v>
      </x:c>
      <x:c r="G237" t="str">
        <x:v>2026-01-09</x:v>
      </x:c>
      <x:c r="H237" t="str">
        <x:v> LEBO NKOSI </x:v>
      </x:c>
      <x:c r="I237" t="str">
        <x:v>Pending</x:v>
      </x:c>
      <x:c r="J237" t="str">
        <x:v>SRC-0232</x:v>
      </x:c>
    </x:row>
    <x:row r="238">
      <x:c r="A238" t="str">
        <x:v>SAL-26-0233</x:v>
      </x:c>
      <x:c r="B238" t="str">
        <x:v>Valley Primary</x:v>
      </x:c>
      <x:c r="C238" t="str">
        <x:v>Eldorado</x:v>
      </x:c>
      <x:c r="D238" t="str">
        <x:v>Rulers</x:v>
      </x:c>
      <x:c r="E238" t="str">
        <x:v>12</x:v>
      </x:c>
      <x:c r="F238" t="str">
        <x:v>1836</x:v>
      </x:c>
      <x:c r="G238" t="str">
        <x:v>10/02/26</x:v>
      </x:c>
      <x:c r="H238" t="str">
        <x:v>Thabo Ndlovu</x:v>
      </x:c>
      <x:c r="I238" t="str">
        <x:v>Complete</x:v>
      </x:c>
      <x:c r="J238" t="str">
        <x:v>SRC-0233</x:v>
      </x:c>
    </x:row>
    <x:row r="239">
      <x:c r="A239" t="str">
        <x:v>SAL-26-0234</x:v>
      </x:c>
      <x:c r="B239" t="str">
        <x:v>  MHLABENI SECONDARY </x:v>
      </x:c>
      <x:c r="C239" t="str">
        <x:v>Eldorado</x:v>
      </x:c>
      <x:c r="D239" t="str">
        <x:v>Exercise books</x:v>
      </x:c>
      <x:c r="E239" t="str">
        <x:v>19</x:v>
      </x:c>
      <x:c r="F239" t="str">
        <x:v> R 3154.00 </x:v>
      </x:c>
      <x:c r="G239" t="str">
        <x:v>11-03-2026</x:v>
      </x:c>
      <x:c r="H239" t="str">
        <x:v>Lebo Nkosi</x:v>
      </x:c>
      <x:c r="I239" t="str">
        <x:v>Paid</x:v>
      </x:c>
      <x:c r="J239" t="str">
        <x:v>SRC-0234</x:v>
      </x:c>
    </x:row>
    <x:row r="240">
      <x:c r="A240" t="str">
        <x:v>SAL-26-0235</x:v>
      </x:c>
      <x:c r="B240" t="str">
        <x:v>Meadowlands School</x:v>
      </x:c>
      <x:c r="C240" t="str">
        <x:v>Unknown district</x:v>
      </x:c>
      <x:c r="D240" t="str">
        <x:v>Pencils</x:v>
      </x:c>
      <x:c r="E240" t="str">
        <x:v>26</x:v>
      </x:c>
      <x:c r="F240" t="str">
        <x:v>R-300</x:v>
      </x:c>
      <x:c r="G240" t="str">
        <x:v>2026/04/12</x:v>
      </x:c>
      <x:c r="H240" t="str">
        <x:v>Thabo Ndlovu</x:v>
      </x:c>
      <x:c r="I240" t="str">
        <x:v>Pending</x:v>
      </x:c>
      <x:c r="J240" t="str">
        <x:v>SRC-0235</x:v>
      </x:c>
    </x:row>
    <x:row r="241">
      <x:c r="A241" t="str">
        <x:v>SAL-26-0236</x:v>
      </x:c>
      <x:c r="B241" t="str">
        <x:v>Gardenview School</x:v>
      </x:c>
      <x:c r="C241" t="str">
        <x:v>Eldorado</x:v>
      </x:c>
      <x:c r="D241" t="str">
        <x:v>Folders</x:v>
      </x:c>
      <x:c r="E241" t="str">
        <x:v>33</x:v>
      </x:c>
      <x:c r="F241" t="str">
        <x:v>6336</x:v>
      </x:c>
      <x:c r="G241" t="str">
        <x:v>2026-05-13</x:v>
      </x:c>
      <x:c r="H241" t="str">
        <x:v>Lebo Nkosi</x:v>
      </x:c>
      <x:c r="I241" t="str">
        <x:v>Complete</x:v>
      </x:c>
      <x:c r="J241" t="str">
        <x:v>SRC-0236</x:v>
      </x:c>
    </x:row>
    <x:row r="242">
      <x:c r="A242" t="str">
        <x:v>SAL-26-0237</x:v>
      </x:c>
      <x:c r="B242" t="str">
        <x:v>Riverside Academy</x:v>
      </x:c>
      <x:c r="C242" t="str">
        <x:v>Bochum</x:v>
      </x:c>
      <x:c r="D242" t="str">
        <x:v>Pens</x:v>
      </x:c>
      <x:c r="E242" t="str">
        <x:v>4</x:v>
      </x:c>
      <x:c r="F242" t="str">
        <x:v>96</x:v>
      </x:c>
      <x:c r="G242" t="str">
        <x:v>14/06/26</x:v>
      </x:c>
      <x:c r="H242" t="str">
        <x:v>Thabo Ndlovu</x:v>
      </x:c>
      <x:c r="I242" t="str">
        <x:v>Paid</x:v>
      </x:c>
      <x:c r="J242" t="str">
        <x:v>SRC-0237</x:v>
      </x:c>
    </x:row>
    <x:row r="243">
      <x:c r="A243" t="str">
        <x:v>SAL-26-0238</x:v>
      </x:c>
      <x:c r="B243" t="str">
        <x:v>Maple Secondary</x:v>
      </x:c>
      <x:c r="C243" t="str">
        <x:v>Eldorado</x:v>
      </x:c>
      <x:c r="D243" t="str">
        <x:v>Glue sticks</x:v>
      </x:c>
      <x:c r="E243" t="str">
        <x:v> 11 </x:v>
      </x:c>
      <x:c r="F243" t="str"/>
      <x:c r="G243" t="str">
        <x:v>15-07-2026</x:v>
      </x:c>
      <x:c r="H243" t="str">
        <x:v>Lebo Nkosi</x:v>
      </x:c>
      <x:c r="I243" t="str">
        <x:v>Pending</x:v>
      </x:c>
      <x:c r="J243" t="str">
        <x:v>SRC-0238</x:v>
      </x:c>
    </x:row>
    <x:row r="244">
      <x:c r="A244" t="str">
        <x:v>SAL-26-0239</x:v>
      </x:c>
      <x:c r="B244" t="str">
        <x:v>Pinecrest School</x:v>
      </x:c>
      <x:c r="C244" t="str">
        <x:v>Bochum</x:v>
      </x:c>
      <x:c r="D244" t="str">
        <x:v>Markers</x:v>
      </x:c>
      <x:c r="E244" t="str">
        <x:v>18</x:v>
      </x:c>
      <x:c r="F244" t="str">
        <x:v>900</x:v>
      </x:c>
      <x:c r="G244" t="str">
        <x:v>2026/08/16</x:v>
      </x:c>
      <x:c r="H244" t="str">
        <x:v>Thabo Ndlovu</x:v>
      </x:c>
      <x:c r="I244" t="str">
        <x:v>Complete</x:v>
      </x:c>
      <x:c r="J244" t="str">
        <x:v>SRC-0239</x:v>
      </x:c>
    </x:row>
    <x:row r="245">
      <x:c r="A245" t="str">
        <x:v>SAL-26-0240</x:v>
      </x:c>
      <x:c r="B245" t="str">
        <x:v>Northstar Academy</x:v>
      </x:c>
      <x:c r="C245" t="str">
        <x:v>Bochum</x:v>
      </x:c>
      <x:c r="D245" t="str">
        <x:v>  NOTEBOOKS </x:v>
      </x:c>
      <x:c r="E245" t="str">
        <x:v>25</x:v>
      </x:c>
      <x:c r="F245" t="str">
        <x:v>1575</x:v>
      </x:c>
      <x:c r="G245" t="str">
        <x:v>2026-01-17</x:v>
      </x:c>
      <x:c r="H245" t="str">
        <x:v> LEBO NKOSI </x:v>
      </x:c>
      <x:c r="I245" t="str">
        <x:v>Paid</x:v>
      </x:c>
      <x:c r="J245" t="str">
        <x:v>SRC-0240</x:v>
      </x:c>
    </x:row>
  </x:sheetData>
  <x:pageMargins left="0.7" right="0.7" top="0.75" bottom="0.75" header="0.3" footer="0.3"/>
  <x:tableParts count="1">
    <x:tablePart xmlns:r="http://schemas.openxmlformats.org/officeDocument/2006/relationships" r:id="Rd83b14cd3fad4c43"/>
  </x:tableParts>
</x:worksheet>
</file>

<file path=xl/worksheets/sheet3.xml><?xml version="1.0" encoding="utf-8"?>
<x:worksheet xmlns:x="http://schemas.openxmlformats.org/spreadsheetml/2006/main">
  <x:sheetPr>
    <x:tabColor rgb="FF35584D"/>
  </x:sheetPr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2" hidden="0" customWidth="1"/>
    <x:col min="5" max="5" width="13" hidden="0" customWidth="1"/>
    <x:col min="6" max="6" width="18" hidden="0" customWidth="1"/>
    <x:col min="7" max="7" width="17" hidden="0" customWidth="1"/>
    <x:col min="8" max="8" width="22" hidden="0" customWidth="1"/>
    <x:col min="9" max="9" width="20" hidden="0" customWidth="1"/>
    <x:col min="10" max="10" width="17" hidden="0" customWidth="1"/>
    <x:col min="11" max="11" width="13" hidden="0" customWidth="1"/>
    <x:col min="12" max="12" width="52" hidden="0" customWidth="1"/>
    <x:col min="13" max="13" width="17" hidden="0" customWidth="1"/>
  </x:cols>
  <x:sheetData>
    <x:row r="1">
      <x:c r="A1" s="1" t="str">
        <x:v>Cleaned Sales and Quality Controls</x:v>
      </x:c>
    </x:row>
    <x:row r="2">
      <x:c r="A2" s="2" t="str">
        <x:v>Formula-driven normalization, data type conversion, duplicate detection and row-level release control</x:v>
      </x:c>
    </x:row>
    <x:row r="5" ht="30" customHeight="1">
      <x:c r="A5" s="7" t="str">
        <x:v>Order ID</x:v>
      </x:c>
      <x:c r="B5" s="7" t="str">
        <x:v>School</x:v>
      </x:c>
      <x:c r="C5" s="7" t="str">
        <x:v>Region</x:v>
      </x:c>
      <x:c r="D5" s="7" t="str">
        <x:v>Product</x:v>
      </x:c>
      <x:c r="E5" s="7" t="str">
        <x:v>Units</x:v>
      </x:c>
      <x:c r="F5" s="7" t="str">
        <x:v>Amount (ZAR)</x:v>
      </x:c>
      <x:c r="G5" s="7" t="str">
        <x:v>Order date</x:v>
      </x:c>
      <x:c r="H5" s="7" t="str">
        <x:v>Sales rep</x:v>
      </x:c>
      <x:c r="I5" s="7" t="str">
        <x:v>Payment status</x:v>
      </x:c>
      <x:c r="J5" s="7" t="str">
        <x:v>Duplicate key</x:v>
      </x:c>
      <x:c r="K5" s="7" t="str">
        <x:v>Issue count</x:v>
      </x:c>
      <x:c r="L5" s="7" t="str">
        <x:v>Issue flags</x:v>
      </x:c>
      <x:c r="M5" s="7" t="str">
        <x:v>Control status</x:v>
      </x:c>
    </x:row>
    <x:row r="6">
      <x:c r="A6" t="str">
        <x:f>UPPER(TRIM('Raw Sales'!A6))</x:f>
        <x:v>SAL-26-0001</x:v>
      </x:c>
      <x:c r="B6" t="str">
        <x:f>PROPER(TRIM('Raw Sales'!B6))</x:f>
        <x:v>Crescent Primary</x:v>
      </x:c>
      <x:c r="C6" t="str">
        <x:f>IF(OR(UPPER(TRIM('Raw Sales'!C6))="BOCHUM",UPPER(TRIM('Raw Sales'!C6))="BOCHUM REGION"),"Bochum",IF(OR(UPPER(TRIM('Raw Sales'!C6))="ELDORADO",UPPER(TRIM('Raw Sales'!C6))="ELDOS"),"Eldorado","Review"))</x:f>
        <x:v>Eldorado</x:v>
      </x:c>
      <x:c r="D6" t="str">
        <x:f>PROPER(TRIM('Raw Sales'!D6))</x:f>
        <x:v>Rulers</x:v>
      </x:c>
      <x:c r="E6" s="8" t="n">
        <x:f>IFERROR(VALUE('Raw Sales'!E6),"")</x:f>
        <x:v>8</x:v>
      </x:c>
      <x:c r="F6" s="9" t="n">
        <x:v>264</x:v>
      </x:c>
      <x:c r="G6" s="10" t="n">
        <x:f>IFERROR(IF(OR(MID(TRIM('Raw Sales'!G6),5,1)="-",MID(TRIM('Raw Sales'!G6),5,1)="/"),DATE(VALUE(LEFT(TRIM('Raw Sales'!G6),4)),VALUE(MID(TRIM('Raw Sales'!G6),6,2)),VALUE(RIGHT(TRIM('Raw Sales'!G6),2))),IF(LEN(TRIM('Raw Sales'!G6))=10,DATE(VALUE(RIGHT(TRIM('Raw Sales'!G6),4)),VALUE(MID(TRIM('Raw Sales'!G6),4,2)),VALUE(LEFT(TRIM('Raw Sales'!G6),2))),IF(LEN(TRIM('Raw Sales'!G6))=8,DATE(2000+VALUE(RIGHT(TRIM('Raw Sales'!G6),2)),VALUE(MID(TRIM('Raw Sales'!G6),4,2)),VALUE(LEFT(TRIM('Raw Sales'!G6),2))),""))),"")</x:f>
        <x:v>46056</x:v>
      </x:c>
      <x:c r="H6" t="str">
        <x:f>IF(TRIM('Raw Sales'!H6)="","Missing",PROPER(TRIM('Raw Sales'!H6)))</x:f>
        <x:v>Thabo Ndlovu</x:v>
      </x:c>
      <x:c r="I6" t="str">
        <x:f>IF(OR(UPPER(TRIM('Raw Sales'!I6))="PAID",UPPER(TRIM('Raw Sales'!I6))="SETTLED",UPPER(TRIM('Raw Sales'!I6))="COMPLETE"),"Paid",IF(UPPER(TRIM('Raw Sales'!I6))="PENDING","Pending","Review"))</x:f>
        <x:v>Pending</x:v>
      </x:c>
      <x:c r="J6" t="str">
        <x:f>IF(A6="","Missing",IF(COUNTIF($A$6:A6,A6)&gt;1,"Duplicate","Unique"))</x:f>
        <x:v>Unique</x:v>
      </x:c>
      <x:c r="K6" s="11" t="n">
        <x:f>IF(A6="",1,0)+IF(B6="",1,0)+IF(C6="Review",1,0)+IF(D6="",1,0)+IF(OR(E6="",E6&lt;=0),1,0)+IF(OR(F6="",F6&lt;=0),1,0)+IF(G6="",1,0)+IF(H6="Missing",1,0)+IF(I6="Review",1,0)+IF(J6="Duplicate",1,0)</x:f>
        <x:v>0</x:v>
      </x:c>
      <x:c r="L6" s="12" t="str">
        <x:f>IF(A6="","Missing order ID; ","")&amp;IF(B6="","Missing school; ","")&amp;IF(C6="Review","Unmapped region; ","")&amp;IF(D6="","Missing product; ","")&amp;IF(OR(E6="",E6&lt;=0),"Invalid units; ","")&amp;IF(OR(F6="",F6&lt;=0),"Invalid amount; ","")&amp;IF(G6="","Invalid date; ","")&amp;IF(H6="Missing","Missing sales rep; ","")&amp;IF(I6="Review","Unmapped payment status; ","")&amp;IF(J6="Duplicate","Duplicate ID; ","")</x:f>
      </x:c>
      <x:c r="M6" t="str">
        <x:f>IF(K6=0,"Ready","Review")</x:f>
        <x:v>Ready</x:v>
      </x:c>
    </x:row>
    <x:row r="7">
      <x:c r="A7" t="str">
        <x:f>UPPER(TRIM('Raw Sales'!A7))</x:f>
        <x:v>SAL-26-0002</x:v>
      </x:c>
      <x:c r="B7" t="str">
        <x:f>PROPER(TRIM('Raw Sales'!B7))</x:f>
        <x:v>Hillview Primary</x:v>
      </x:c>
      <x:c r="C7" t="str">
        <x:f>IF(OR(UPPER(TRIM('Raw Sales'!C7))="BOCHUM",UPPER(TRIM('Raw Sales'!C7))="BOCHUM REGION"),"Bochum",IF(OR(UPPER(TRIM('Raw Sales'!C7))="ELDORADO",UPPER(TRIM('Raw Sales'!C7))="ELDOS"),"Eldorado","Review"))</x:f>
        <x:v>Bochum</x:v>
      </x:c>
      <x:c r="D7" t="str">
        <x:f>PROPER(TRIM('Raw Sales'!D7))</x:f>
        <x:v>Exercise Books</x:v>
      </x:c>
      <x:c r="E7" s="8" t="n">
        <x:f>IFERROR(VALUE('Raw Sales'!E7),"")</x:f>
        <x:v>15</x:v>
      </x:c>
      <x:c r="F7" s="9" t="n">
        <x:v>690</x:v>
      </x:c>
      <x:c r="G7" s="10" t="n">
        <x:f>IFERROR(IF(OR(MID(TRIM('Raw Sales'!G7),5,1)="-",MID(TRIM('Raw Sales'!G7),5,1)="/"),DATE(VALUE(LEFT(TRIM('Raw Sales'!G7),4)),VALUE(MID(TRIM('Raw Sales'!G7),6,2)),VALUE(RIGHT(TRIM('Raw Sales'!G7),2))),IF(LEN(TRIM('Raw Sales'!G7))=10,DATE(VALUE(RIGHT(TRIM('Raw Sales'!G7),4)),VALUE(MID(TRIM('Raw Sales'!G7),4,2)),VALUE(LEFT(TRIM('Raw Sales'!G7),2))),IF(LEN(TRIM('Raw Sales'!G7))=8,DATE(2000+VALUE(RIGHT(TRIM('Raw Sales'!G7),2)),VALUE(MID(TRIM('Raw Sales'!G7),4,2)),VALUE(LEFT(TRIM('Raw Sales'!G7),2))),""))),"")</x:f>
        <x:v>46085</x:v>
      </x:c>
      <x:c r="H7" t="str">
        <x:f>IF(TRIM('Raw Sales'!H7)="","Missing",PROPER(TRIM('Raw Sales'!H7)))</x:f>
        <x:v>Lebo Nkosi</x:v>
      </x:c>
      <x:c r="I7" t="str">
        <x:f>IF(OR(UPPER(TRIM('Raw Sales'!I7))="PAID",UPPER(TRIM('Raw Sales'!I7))="SETTLED",UPPER(TRIM('Raw Sales'!I7))="COMPLETE"),"Paid",IF(UPPER(TRIM('Raw Sales'!I7))="PENDING","Pending","Review"))</x:f>
        <x:v>Paid</x:v>
      </x:c>
      <x:c r="J7" t="str">
        <x:f>IF(A7="","Missing",IF(COUNTIF($A$6:A7,A7)&gt;1,"Duplicate","Unique"))</x:f>
        <x:v>Unique</x:v>
      </x:c>
      <x:c r="K7" s="11" t="n">
        <x:f>IF(A7="",1,0)+IF(B7="",1,0)+IF(C7="Review",1,0)+IF(D7="",1,0)+IF(OR(E7="",E7&lt;=0),1,0)+IF(OR(F7="",F7&lt;=0),1,0)+IF(G7="",1,0)+IF(H7="Missing",1,0)+IF(I7="Review",1,0)+IF(J7="Duplicate",1,0)</x:f>
        <x:v>0</x:v>
      </x:c>
      <x:c r="L7" s="12" t="str">
        <x:f>IF(A7="","Missing order ID; ","")&amp;IF(B7="","Missing school; ","")&amp;IF(C7="Review","Unmapped region; ","")&amp;IF(D7="","Missing product; ","")&amp;IF(OR(E7="",E7&lt;=0),"Invalid units; ","")&amp;IF(OR(F7="",F7&lt;=0),"Invalid amount; ","")&amp;IF(G7="","Invalid date; ","")&amp;IF(H7="Missing","Missing sales rep; ","")&amp;IF(I7="Review","Unmapped payment status; ","")&amp;IF(J7="Duplicate","Duplicate ID; ","")</x:f>
      </x:c>
      <x:c r="M7" t="str">
        <x:f>IF(K7=0,"Ready","Review")</x:f>
        <x:v>Ready</x:v>
      </x:c>
    </x:row>
    <x:row r="8">
      <x:c r="A8" t="str">
        <x:f>UPPER(TRIM('Raw Sales'!A8))</x:f>
        <x:v>SAL-26-0003</x:v>
      </x:c>
      <x:c r="B8" t="str">
        <x:f>PROPER(TRIM('Raw Sales'!B8))</x:f>
        <x:v>Eastwood Academy</x:v>
      </x:c>
      <x:c r="C8" t="str">
        <x:f>IF(OR(UPPER(TRIM('Raw Sales'!C8))="BOCHUM",UPPER(TRIM('Raw Sales'!C8))="BOCHUM REGION"),"Bochum",IF(OR(UPPER(TRIM('Raw Sales'!C8))="ELDORADO",UPPER(TRIM('Raw Sales'!C8))="ELDOS"),"Eldorado","Review"))</x:f>
        <x:v>Eldorado</x:v>
      </x:c>
      <x:c r="D8" t="str">
        <x:f>PROPER(TRIM('Raw Sales'!D8))</x:f>
        <x:v>Pencils</x:v>
      </x:c>
      <x:c r="E8" s="8" t="n">
        <x:f>IFERROR(VALUE('Raw Sales'!E8),"")</x:f>
        <x:v>22</x:v>
      </x:c>
      <x:c r="F8" s="9" t="n">
        <x:v>1298</x:v>
      </x:c>
      <x:c r="G8" s="10" t="n">
        <x:f>IFERROR(IF(OR(MID(TRIM('Raw Sales'!G8),5,1)="-",MID(TRIM('Raw Sales'!G8),5,1)="/"),DATE(VALUE(LEFT(TRIM('Raw Sales'!G8),4)),VALUE(MID(TRIM('Raw Sales'!G8),6,2)),VALUE(RIGHT(TRIM('Raw Sales'!G8),2))),IF(LEN(TRIM('Raw Sales'!G8))=10,DATE(VALUE(RIGHT(TRIM('Raw Sales'!G8),4)),VALUE(MID(TRIM('Raw Sales'!G8),4,2)),VALUE(LEFT(TRIM('Raw Sales'!G8),2))),IF(LEN(TRIM('Raw Sales'!G8))=8,DATE(2000+VALUE(RIGHT(TRIM('Raw Sales'!G8),2)),VALUE(MID(TRIM('Raw Sales'!G8),4,2)),VALUE(LEFT(TRIM('Raw Sales'!G8),2))),""))),"")</x:f>
        <x:v>46117</x:v>
      </x:c>
      <x:c r="H8" t="str">
        <x:f>IF(TRIM('Raw Sales'!H8)="","Missing",PROPER(TRIM('Raw Sales'!H8)))</x:f>
        <x:v>Thabo Ndlovu</x:v>
      </x:c>
      <x:c r="I8" t="str">
        <x:f>IF(OR(UPPER(TRIM('Raw Sales'!I8))="PAID",UPPER(TRIM('Raw Sales'!I8))="SETTLED",UPPER(TRIM('Raw Sales'!I8))="COMPLETE"),"Paid",IF(UPPER(TRIM('Raw Sales'!I8))="PENDING","Pending","Review"))</x:f>
        <x:v>Paid</x:v>
      </x:c>
      <x:c r="J8" t="str">
        <x:f>IF(A8="","Missing",IF(COUNTIF($A$6:A8,A8)&gt;1,"Duplicate","Unique"))</x:f>
        <x:v>Unique</x:v>
      </x:c>
      <x:c r="K8" s="11" t="n">
        <x:f>IF(A8="",1,0)+IF(B8="",1,0)+IF(C8="Review",1,0)+IF(D8="",1,0)+IF(OR(E8="",E8&lt;=0),1,0)+IF(OR(F8="",F8&lt;=0),1,0)+IF(G8="",1,0)+IF(H8="Missing",1,0)+IF(I8="Review",1,0)+IF(J8="Duplicate",1,0)</x:f>
        <x:v>0</x:v>
      </x:c>
      <x:c r="L8" s="12" t="str">
        <x:f>IF(A8="","Missing order ID; ","")&amp;IF(B8="","Missing school; ","")&amp;IF(C8="Review","Unmapped region; ","")&amp;IF(D8="","Missing product; ","")&amp;IF(OR(E8="",E8&lt;=0),"Invalid units; ","")&amp;IF(OR(F8="",F8&lt;=0),"Invalid amount; ","")&amp;IF(G8="","Invalid date; ","")&amp;IF(H8="Missing","Missing sales rep; ","")&amp;IF(I8="Review","Unmapped payment status; ","")&amp;IF(J8="Duplicate","Duplicate ID; ","")</x:f>
      </x:c>
      <x:c r="M8" t="str">
        <x:f>IF(K8=0,"Ready","Review")</x:f>
        <x:v>Ready</x:v>
      </x:c>
    </x:row>
    <x:row r="9">
      <x:c r="A9" t="str">
        <x:f>UPPER(TRIM('Raw Sales'!A9))</x:f>
        <x:v>SAL-26-0004</x:v>
      </x:c>
      <x:c r="B9" t="str">
        <x:f>PROPER(TRIM('Raw Sales'!B9))</x:f>
        <x:v>Lakeside School</x:v>
      </x:c>
      <x:c r="C9" t="str">
        <x:f>IF(OR(UPPER(TRIM('Raw Sales'!C9))="BOCHUM",UPPER(TRIM('Raw Sales'!C9))="BOCHUM REGION"),"Bochum",IF(OR(UPPER(TRIM('Raw Sales'!C9))="ELDORADO",UPPER(TRIM('Raw Sales'!C9))="ELDOS"),"Eldorado","Review"))</x:f>
        <x:v>Bochum</x:v>
      </x:c>
      <x:c r="D9" t="str">
        <x:f>PROPER(TRIM('Raw Sales'!D9))</x:f>
        <x:v>Folders</x:v>
      </x:c>
      <x:c r="E9" s="8" t="n">
        <x:f>IFERROR(VALUE('Raw Sales'!E9),"")</x:f>
        <x:v>29</x:v>
      </x:c>
      <x:c r="F9" s="9" t="n">
        <x:v>2088</x:v>
      </x:c>
      <x:c r="G9" s="10" t="n">
        <x:f>IFERROR(IF(OR(MID(TRIM('Raw Sales'!G9),5,1)="-",MID(TRIM('Raw Sales'!G9),5,1)="/"),DATE(VALUE(LEFT(TRIM('Raw Sales'!G9),4)),VALUE(MID(TRIM('Raw Sales'!G9),6,2)),VALUE(RIGHT(TRIM('Raw Sales'!G9),2))),IF(LEN(TRIM('Raw Sales'!G9))=10,DATE(VALUE(RIGHT(TRIM('Raw Sales'!G9),4)),VALUE(MID(TRIM('Raw Sales'!G9),4,2)),VALUE(LEFT(TRIM('Raw Sales'!G9),2))),IF(LEN(TRIM('Raw Sales'!G9))=8,DATE(2000+VALUE(RIGHT(TRIM('Raw Sales'!G9),2)),VALUE(MID(TRIM('Raw Sales'!G9),4,2)),VALUE(LEFT(TRIM('Raw Sales'!G9),2))),""))),"")</x:f>
        <x:v>46148</x:v>
      </x:c>
      <x:c r="H9" t="str">
        <x:f>IF(TRIM('Raw Sales'!H9)="","Missing",PROPER(TRIM('Raw Sales'!H9)))</x:f>
        <x:v>Lebo Nkosi</x:v>
      </x:c>
      <x:c r="I9" t="str">
        <x:f>IF(OR(UPPER(TRIM('Raw Sales'!I9))="PAID",UPPER(TRIM('Raw Sales'!I9))="SETTLED",UPPER(TRIM('Raw Sales'!I9))="COMPLETE"),"Paid",IF(UPPER(TRIM('Raw Sales'!I9))="PENDING","Pending","Review"))</x:f>
        <x:v>Pending</x:v>
      </x:c>
      <x:c r="J9" t="str">
        <x:f>IF(A9="","Missing",IF(COUNTIF($A$6:A9,A9)&gt;1,"Duplicate","Unique"))</x:f>
        <x:v>Unique</x:v>
      </x:c>
      <x:c r="K9" s="11" t="n">
        <x:f>IF(A9="",1,0)+IF(B9="",1,0)+IF(C9="Review",1,0)+IF(D9="",1,0)+IF(OR(E9="",E9&lt;=0),1,0)+IF(OR(F9="",F9&lt;=0),1,0)+IF(G9="",1,0)+IF(H9="Missing",1,0)+IF(I9="Review",1,0)+IF(J9="Duplicate",1,0)</x:f>
        <x:v>0</x:v>
      </x:c>
      <x:c r="L9" s="12" t="str">
        <x:f>IF(A9="","Missing order ID; ","")&amp;IF(B9="","Missing school; ","")&amp;IF(C9="Review","Unmapped region; ","")&amp;IF(D9="","Missing product; ","")&amp;IF(OR(E9="",E9&lt;=0),"Invalid units; ","")&amp;IF(OR(F9="",F9&lt;=0),"Invalid amount; ","")&amp;IF(G9="","Invalid date; ","")&amp;IF(H9="Missing","Missing sales rep; ","")&amp;IF(I9="Review","Unmapped payment status; ","")&amp;IF(J9="Duplicate","Duplicate ID; ","")</x:f>
      </x:c>
      <x:c r="M9" t="str">
        <x:f>IF(K9=0,"Ready","Review")</x:f>
        <x:v>Ready</x:v>
      </x:c>
    </x:row>
    <x:row r="10">
      <x:c r="A10" t="str">
        <x:f>UPPER(TRIM('Raw Sales'!A10))</x:f>
        <x:v>SAL-26-0005</x:v>
      </x:c>
      <x:c r="B10" t="str">
        <x:f>PROPER(TRIM('Raw Sales'!B10))</x:f>
        <x:v>Valley Primary</x:v>
      </x:c>
      <x:c r="C10" t="str">
        <x:f>IF(OR(UPPER(TRIM('Raw Sales'!C10))="BOCHUM",UPPER(TRIM('Raw Sales'!C10))="BOCHUM REGION"),"Bochum",IF(OR(UPPER(TRIM('Raw Sales'!C10))="ELDORADO",UPPER(TRIM('Raw Sales'!C10))="ELDOS"),"Eldorado","Review"))</x:f>
        <x:v>Eldorado</x:v>
      </x:c>
      <x:c r="D10" t="str">
        <x:f>PROPER(TRIM('Raw Sales'!D10))</x:f>
        <x:v>Pens</x:v>
      </x:c>
      <x:c r="E10" s="8" t="n">
        <x:f>IFERROR(VALUE('Raw Sales'!E10),"")</x:f>
        <x:v>36</x:v>
      </x:c>
      <x:c r="F10" s="9" t="n">
        <x:v>3060</x:v>
      </x:c>
      <x:c r="G10" s="10" t="n">
        <x:f>IFERROR(IF(OR(MID(TRIM('Raw Sales'!G10),5,1)="-",MID(TRIM('Raw Sales'!G10),5,1)="/"),DATE(VALUE(LEFT(TRIM('Raw Sales'!G10),4)),VALUE(MID(TRIM('Raw Sales'!G10),6,2)),VALUE(RIGHT(TRIM('Raw Sales'!G10),2))),IF(LEN(TRIM('Raw Sales'!G10))=10,DATE(VALUE(RIGHT(TRIM('Raw Sales'!G10),4)),VALUE(MID(TRIM('Raw Sales'!G10),4,2)),VALUE(LEFT(TRIM('Raw Sales'!G10),2))),IF(LEN(TRIM('Raw Sales'!G10))=8,DATE(2000+VALUE(RIGHT(TRIM('Raw Sales'!G10),2)),VALUE(MID(TRIM('Raw Sales'!G10),4,2)),VALUE(LEFT(TRIM('Raw Sales'!G10),2))),""))),"")</x:f>
        <x:v>46180</x:v>
      </x:c>
      <x:c r="H10" t="str">
        <x:f>IF(TRIM('Raw Sales'!H10)="","Missing",PROPER(TRIM('Raw Sales'!H10)))</x:f>
        <x:v>Thabo Ndlovu</x:v>
      </x:c>
      <x:c r="I10" t="str">
        <x:f>IF(OR(UPPER(TRIM('Raw Sales'!I10))="PAID",UPPER(TRIM('Raw Sales'!I10))="SETTLED",UPPER(TRIM('Raw Sales'!I10))="COMPLETE"),"Paid",IF(UPPER(TRIM('Raw Sales'!I10))="PENDING","Pending","Review"))</x:f>
        <x:v>Paid</x:v>
      </x:c>
      <x:c r="J10" t="str">
        <x:f>IF(A10="","Missing",IF(COUNTIF($A$6:A10,A10)&gt;1,"Duplicate","Unique"))</x:f>
        <x:v>Unique</x:v>
      </x:c>
      <x:c r="K10" s="11" t="n">
        <x:f>IF(A10="",1,0)+IF(B10="",1,0)+IF(C10="Review",1,0)+IF(D10="",1,0)+IF(OR(E10="",E10&lt;=0),1,0)+IF(OR(F10="",F10&lt;=0),1,0)+IF(G10="",1,0)+IF(H10="Missing",1,0)+IF(I10="Review",1,0)+IF(J10="Duplicate",1,0)</x:f>
        <x:v>0</x:v>
      </x:c>
      <x:c r="L10" s="12" t="str">
        <x:f>IF(A10="","Missing order ID; ","")&amp;IF(B10="","Missing school; ","")&amp;IF(C10="Review","Unmapped region; ","")&amp;IF(D10="","Missing product; ","")&amp;IF(OR(E10="",E10&lt;=0),"Invalid units; ","")&amp;IF(OR(F10="",F10&lt;=0),"Invalid amount; ","")&amp;IF(G10="","Invalid date; ","")&amp;IF(H10="Missing","Missing sales rep; ","")&amp;IF(I10="Review","Unmapped payment status; ","")&amp;IF(J10="Duplicate","Duplicate ID; ","")</x:f>
      </x:c>
      <x:c r="M10" t="str">
        <x:f>IF(K10=0,"Ready","Review")</x:f>
        <x:v>Ready</x:v>
      </x:c>
    </x:row>
    <x:row r="11">
      <x:c r="A11" t="str">
        <x:f>UPPER(TRIM('Raw Sales'!A11))</x:f>
        <x:v>SAL-26-0006</x:v>
      </x:c>
      <x:c r="B11" t="str">
        <x:f>PROPER(TRIM('Raw Sales'!B11))</x:f>
        <x:v>Mhlabeni Secondary</x:v>
      </x:c>
      <x:c r="C11" t="str">
        <x:f>IF(OR(UPPER(TRIM('Raw Sales'!C11))="BOCHUM",UPPER(TRIM('Raw Sales'!C11))="BOCHUM REGION"),"Bochum",IF(OR(UPPER(TRIM('Raw Sales'!C11))="ELDORADO",UPPER(TRIM('Raw Sales'!C11))="ELDOS"),"Eldorado","Review"))</x:f>
        <x:v>Eldorado</x:v>
      </x:c>
      <x:c r="D11" t="str">
        <x:f>PROPER(TRIM('Raw Sales'!D11))</x:f>
        <x:v>Glue Sticks</x:v>
      </x:c>
      <x:c r="E11" s="8" t="n">
        <x:f>IFERROR(VALUE('Raw Sales'!E11),"")</x:f>
        <x:v>7</x:v>
      </x:c>
      <x:c r="F11" s="9" t="n">
        <x:v>686</x:v>
      </x:c>
      <x:c r="G11" s="10" t="n">
        <x:f>IFERROR(IF(OR(MID(TRIM('Raw Sales'!G11),5,1)="-",MID(TRIM('Raw Sales'!G11),5,1)="/"),DATE(VALUE(LEFT(TRIM('Raw Sales'!G11),4)),VALUE(MID(TRIM('Raw Sales'!G11),6,2)),VALUE(RIGHT(TRIM('Raw Sales'!G11),2))),IF(LEN(TRIM('Raw Sales'!G11))=10,DATE(VALUE(RIGHT(TRIM('Raw Sales'!G11),4)),VALUE(MID(TRIM('Raw Sales'!G11),4,2)),VALUE(LEFT(TRIM('Raw Sales'!G11),2))),IF(LEN(TRIM('Raw Sales'!G11))=8,DATE(2000+VALUE(RIGHT(TRIM('Raw Sales'!G11),2)),VALUE(MID(TRIM('Raw Sales'!G11),4,2)),VALUE(LEFT(TRIM('Raw Sales'!G11),2))),""))),"")</x:f>
        <x:v>46211</x:v>
      </x:c>
      <x:c r="H11" t="str">
        <x:f>IF(TRIM('Raw Sales'!H11)="","Missing",PROPER(TRIM('Raw Sales'!H11)))</x:f>
        <x:v>Lebo Nkosi</x:v>
      </x:c>
      <x:c r="I11" t="str">
        <x:f>IF(OR(UPPER(TRIM('Raw Sales'!I11))="PAID",UPPER(TRIM('Raw Sales'!I11))="SETTLED",UPPER(TRIM('Raw Sales'!I11))="COMPLETE"),"Paid",IF(UPPER(TRIM('Raw Sales'!I11))="PENDING","Pending","Review"))</x:f>
        <x:v>Paid</x:v>
      </x:c>
      <x:c r="J11" t="str">
        <x:f>IF(A11="","Missing",IF(COUNTIF($A$6:A11,A11)&gt;1,"Duplicate","Unique"))</x:f>
        <x:v>Unique</x:v>
      </x:c>
      <x:c r="K11" s="11" t="n">
        <x:f>IF(A11="",1,0)+IF(B11="",1,0)+IF(C11="Review",1,0)+IF(D11="",1,0)+IF(OR(E11="",E11&lt;=0),1,0)+IF(OR(F11="",F11&lt;=0),1,0)+IF(G11="",1,0)+IF(H11="Missing",1,0)+IF(I11="Review",1,0)+IF(J11="Duplicate",1,0)</x:f>
        <x:v>0</x:v>
      </x:c>
      <x:c r="L11" s="12" t="str">
        <x:f>IF(A11="","Missing order ID; ","")&amp;IF(B11="","Missing school; ","")&amp;IF(C11="Review","Unmapped region; ","")&amp;IF(D11="","Missing product; ","")&amp;IF(OR(E11="",E11&lt;=0),"Invalid units; ","")&amp;IF(OR(F11="",F11&lt;=0),"Invalid amount; ","")&amp;IF(G11="","Invalid date; ","")&amp;IF(H11="Missing","Missing sales rep; ","")&amp;IF(I11="Review","Unmapped payment status; ","")&amp;IF(J11="Duplicate","Duplicate ID; ","")</x:f>
      </x:c>
      <x:c r="M11" t="str">
        <x:f>IF(K11=0,"Ready","Review")</x:f>
        <x:v>Ready</x:v>
      </x:c>
    </x:row>
    <x:row r="12">
      <x:c r="A12" t="str">
        <x:f>UPPER(TRIM('Raw Sales'!A12))</x:f>
        <x:v>SAL-26-0007</x:v>
      </x:c>
      <x:c r="B12" t="str">
        <x:f>PROPER(TRIM('Raw Sales'!B12))</x:f>
        <x:v>Meadowlands School</x:v>
      </x:c>
      <x:c r="C12" t="str">
        <x:f>IF(OR(UPPER(TRIM('Raw Sales'!C12))="BOCHUM",UPPER(TRIM('Raw Sales'!C12))="BOCHUM REGION"),"Bochum",IF(OR(UPPER(TRIM('Raw Sales'!C12))="ELDORADO",UPPER(TRIM('Raw Sales'!C12))="ELDOS"),"Eldorado","Review"))</x:f>
        <x:v>Bochum</x:v>
      </x:c>
      <x:c r="D12" t="str">
        <x:f>PROPER(TRIM('Raw Sales'!D12))</x:f>
        <x:v>Markers</x:v>
      </x:c>
      <x:c r="E12" s="8" t="n">
        <x:f>IFERROR(VALUE('Raw Sales'!E12),"")</x:f>
        <x:v>14</x:v>
      </x:c>
      <x:c r="F12" s="9" t="n">
        <x:v>1554</x:v>
      </x:c>
      <x:c r="G12" s="10" t="n">
        <x:f>IFERROR(IF(OR(MID(TRIM('Raw Sales'!G12),5,1)="-",MID(TRIM('Raw Sales'!G12),5,1)="/"),DATE(VALUE(LEFT(TRIM('Raw Sales'!G12),4)),VALUE(MID(TRIM('Raw Sales'!G12),6,2)),VALUE(RIGHT(TRIM('Raw Sales'!G12),2))),IF(LEN(TRIM('Raw Sales'!G12))=10,DATE(VALUE(RIGHT(TRIM('Raw Sales'!G12),4)),VALUE(MID(TRIM('Raw Sales'!G12),4,2)),VALUE(LEFT(TRIM('Raw Sales'!G12),2))),IF(LEN(TRIM('Raw Sales'!G12))=8,DATE(2000+VALUE(RIGHT(TRIM('Raw Sales'!G12),2)),VALUE(MID(TRIM('Raw Sales'!G12),4,2)),VALUE(LEFT(TRIM('Raw Sales'!G12),2))),""))),"")</x:f>
        <x:v>46243</x:v>
      </x:c>
      <x:c r="H12" t="str">
        <x:f>IF(TRIM('Raw Sales'!H12)="","Missing",PROPER(TRIM('Raw Sales'!H12)))</x:f>
        <x:v>Thabo Ndlovu</x:v>
      </x:c>
      <x:c r="I12" t="str">
        <x:f>IF(OR(UPPER(TRIM('Raw Sales'!I12))="PAID",UPPER(TRIM('Raw Sales'!I12))="SETTLED",UPPER(TRIM('Raw Sales'!I12))="COMPLETE"),"Paid",IF(UPPER(TRIM('Raw Sales'!I12))="PENDING","Pending","Review"))</x:f>
        <x:v>Pending</x:v>
      </x:c>
      <x:c r="J12" t="str">
        <x:f>IF(A12="","Missing",IF(COUNTIF($A$6:A12,A12)&gt;1,"Duplicate","Unique"))</x:f>
        <x:v>Unique</x:v>
      </x:c>
      <x:c r="K12" s="11" t="n">
        <x:f>IF(A12="",1,0)+IF(B12="",1,0)+IF(C12="Review",1,0)+IF(D12="",1,0)+IF(OR(E12="",E12&lt;=0),1,0)+IF(OR(F12="",F12&lt;=0),1,0)+IF(G12="",1,0)+IF(H12="Missing",1,0)+IF(I12="Review",1,0)+IF(J12="Duplicate",1,0)</x:f>
        <x:v>0</x:v>
      </x:c>
      <x:c r="L12" s="12" t="str">
        <x:f>IF(A12="","Missing order ID; ","")&amp;IF(B12="","Missing school; ","")&amp;IF(C12="Review","Unmapped region; ","")&amp;IF(D12="","Missing product; ","")&amp;IF(OR(E12="",E12&lt;=0),"Invalid units; ","")&amp;IF(OR(F12="",F12&lt;=0),"Invalid amount; ","")&amp;IF(G12="","Invalid date; ","")&amp;IF(H12="Missing","Missing sales rep; ","")&amp;IF(I12="Review","Unmapped payment status; ","")&amp;IF(J12="Duplicate","Duplicate ID; ","")</x:f>
      </x:c>
      <x:c r="M12" t="str">
        <x:f>IF(K12=0,"Ready","Review")</x:f>
        <x:v>Ready</x:v>
      </x:c>
    </x:row>
    <x:row r="13">
      <x:c r="A13" t="str">
        <x:f>UPPER(TRIM('Raw Sales'!A13))</x:f>
        <x:v>SAL-26-0008</x:v>
      </x:c>
      <x:c r="B13" t="str">
        <x:f>PROPER(TRIM('Raw Sales'!B13))</x:f>
        <x:v>Gardenview School</x:v>
      </x:c>
      <x:c r="C13" t="str">
        <x:f>IF(OR(UPPER(TRIM('Raw Sales'!C13))="BOCHUM",UPPER(TRIM('Raw Sales'!C13))="BOCHUM REGION"),"Bochum",IF(OR(UPPER(TRIM('Raw Sales'!C13))="ELDORADO",UPPER(TRIM('Raw Sales'!C13))="ELDOS"),"Eldorado","Review"))</x:f>
        <x:v>Eldorado</x:v>
      </x:c>
      <x:c r="D13" t="str">
        <x:f>PROPER(TRIM('Raw Sales'!D13))</x:f>
        <x:v>Notebooks</x:v>
      </x:c>
      <x:c r="E13" s="8" t="n">
        <x:f>IFERROR(VALUE('Raw Sales'!E13),"")</x:f>
        <x:v>21</x:v>
      </x:c>
      <x:c r="F13" s="9" t="n">
        <x:v>2604</x:v>
      </x:c>
      <x:c r="G13" s="10" t="n">
        <x:f>IFERROR(IF(OR(MID(TRIM('Raw Sales'!G13),5,1)="-",MID(TRIM('Raw Sales'!G13),5,1)="/"),DATE(VALUE(LEFT(TRIM('Raw Sales'!G13),4)),VALUE(MID(TRIM('Raw Sales'!G13),6,2)),VALUE(RIGHT(TRIM('Raw Sales'!G13),2))),IF(LEN(TRIM('Raw Sales'!G13))=10,DATE(VALUE(RIGHT(TRIM('Raw Sales'!G13),4)),VALUE(MID(TRIM('Raw Sales'!G13),4,2)),VALUE(LEFT(TRIM('Raw Sales'!G13),2))),IF(LEN(TRIM('Raw Sales'!G13))=8,DATE(2000+VALUE(RIGHT(TRIM('Raw Sales'!G13),2)),VALUE(MID(TRIM('Raw Sales'!G13),4,2)),VALUE(LEFT(TRIM('Raw Sales'!G13),2))),""))),"")</x:f>
        <x:v>46032</x:v>
      </x:c>
      <x:c r="H13" t="str">
        <x:f>IF(TRIM('Raw Sales'!H13)="","Missing",PROPER(TRIM('Raw Sales'!H13)))</x:f>
        <x:v>Lebo Nkosi</x:v>
      </x:c>
      <x:c r="I13" t="str">
        <x:f>IF(OR(UPPER(TRIM('Raw Sales'!I13))="PAID",UPPER(TRIM('Raw Sales'!I13))="SETTLED",UPPER(TRIM('Raw Sales'!I13))="COMPLETE"),"Paid",IF(UPPER(TRIM('Raw Sales'!I13))="PENDING","Pending","Review"))</x:f>
        <x:v>Paid</x:v>
      </x:c>
      <x:c r="J13" t="str">
        <x:f>IF(A13="","Missing",IF(COUNTIF($A$6:A13,A13)&gt;1,"Duplicate","Unique"))</x:f>
        <x:v>Unique</x:v>
      </x:c>
      <x:c r="K13" s="11" t="n">
        <x:f>IF(A13="",1,0)+IF(B13="",1,0)+IF(C13="Review",1,0)+IF(D13="",1,0)+IF(OR(E13="",E13&lt;=0),1,0)+IF(OR(F13="",F13&lt;=0),1,0)+IF(G13="",1,0)+IF(H13="Missing",1,0)+IF(I13="Review",1,0)+IF(J13="Duplicate",1,0)</x:f>
        <x:v>0</x:v>
      </x:c>
      <x:c r="L13" s="12" t="str">
        <x:f>IF(A13="","Missing order ID; ","")&amp;IF(B13="","Missing school; ","")&amp;IF(C13="Review","Unmapped region; ","")&amp;IF(D13="","Missing product; ","")&amp;IF(OR(E13="",E13&lt;=0),"Invalid units; ","")&amp;IF(OR(F13="",F13&lt;=0),"Invalid amount; ","")&amp;IF(G13="","Invalid date; ","")&amp;IF(H13="Missing","Missing sales rep; ","")&amp;IF(I13="Review","Unmapped payment status; ","")&amp;IF(J13="Duplicate","Duplicate ID; ","")</x:f>
      </x:c>
      <x:c r="M13" t="str">
        <x:f>IF(K13=0,"Ready","Review")</x:f>
        <x:v>Ready</x:v>
      </x:c>
    </x:row>
    <x:row r="14">
      <x:c r="A14" t="str">
        <x:f>UPPER(TRIM('Raw Sales'!A14))</x:f>
        <x:v>SAL-26-0009</x:v>
      </x:c>
      <x:c r="B14" t="str">
        <x:f>PROPER(TRIM('Raw Sales'!B14))</x:f>
        <x:v>Riverside Academy</x:v>
      </x:c>
      <x:c r="C14" t="str">
        <x:f>IF(OR(UPPER(TRIM('Raw Sales'!C14))="BOCHUM",UPPER(TRIM('Raw Sales'!C14))="BOCHUM REGION"),"Bochum",IF(OR(UPPER(TRIM('Raw Sales'!C14))="ELDORADO",UPPER(TRIM('Raw Sales'!C14))="ELDOS"),"Eldorado","Review"))</x:f>
        <x:v>Bochum</x:v>
      </x:c>
      <x:c r="D14" t="str">
        <x:f>PROPER(TRIM('Raw Sales'!D14))</x:f>
        <x:v>Rulers</x:v>
      </x:c>
      <x:c r="E14" s="8" t="n">
        <x:f>IFERROR(VALUE('Raw Sales'!E14),"")</x:f>
        <x:v>28</x:v>
      </x:c>
      <x:c r="F14" s="9" t="n">
        <x:v>3836</x:v>
      </x:c>
      <x:c r="G14" s="10" t="n">
        <x:f>IFERROR(IF(OR(MID(TRIM('Raw Sales'!G14),5,1)="-",MID(TRIM('Raw Sales'!G14),5,1)="/"),DATE(VALUE(LEFT(TRIM('Raw Sales'!G14),4)),VALUE(MID(TRIM('Raw Sales'!G14),6,2)),VALUE(RIGHT(TRIM('Raw Sales'!G14),2))),IF(LEN(TRIM('Raw Sales'!G14))=10,DATE(VALUE(RIGHT(TRIM('Raw Sales'!G14),4)),VALUE(MID(TRIM('Raw Sales'!G14),4,2)),VALUE(LEFT(TRIM('Raw Sales'!G14),2))),IF(LEN(TRIM('Raw Sales'!G14))=8,DATE(2000+VALUE(RIGHT(TRIM('Raw Sales'!G14),2)),VALUE(MID(TRIM('Raw Sales'!G14),4,2)),VALUE(LEFT(TRIM('Raw Sales'!G14),2))),""))),"")</x:f>
        <x:v>46064</x:v>
      </x:c>
      <x:c r="H14" t="str">
        <x:f>IF(TRIM('Raw Sales'!H14)="","Missing",PROPER(TRIM('Raw Sales'!H14)))</x:f>
        <x:v>Thabo Ndlovu</x:v>
      </x:c>
      <x:c r="I14" t="str">
        <x:f>IF(OR(UPPER(TRIM('Raw Sales'!I14))="PAID",UPPER(TRIM('Raw Sales'!I14))="SETTLED",UPPER(TRIM('Raw Sales'!I14))="COMPLETE"),"Paid",IF(UPPER(TRIM('Raw Sales'!I14))="PENDING","Pending","Review"))</x:f>
        <x:v>Paid</x:v>
      </x:c>
      <x:c r="J14" t="str">
        <x:f>IF(A14="","Missing",IF(COUNTIF($A$6:A14,A14)&gt;1,"Duplicate","Unique"))</x:f>
        <x:v>Unique</x:v>
      </x:c>
      <x:c r="K14" s="11" t="n">
        <x:f>IF(A14="",1,0)+IF(B14="",1,0)+IF(C14="Review",1,0)+IF(D14="",1,0)+IF(OR(E14="",E14&lt;=0),1,0)+IF(OR(F14="",F14&lt;=0),1,0)+IF(G14="",1,0)+IF(H14="Missing",1,0)+IF(I14="Review",1,0)+IF(J14="Duplicate",1,0)</x:f>
        <x:v>0</x:v>
      </x:c>
      <x:c r="L14" s="12" t="str">
        <x:f>IF(A14="","Missing order ID; ","")&amp;IF(B14="","Missing school; ","")&amp;IF(C14="Review","Unmapped region; ","")&amp;IF(D14="","Missing product; ","")&amp;IF(OR(E14="",E14&lt;=0),"Invalid units; ","")&amp;IF(OR(F14="",F14&lt;=0),"Invalid amount; ","")&amp;IF(G14="","Invalid date; ","")&amp;IF(H14="Missing","Missing sales rep; ","")&amp;IF(I14="Review","Unmapped payment status; ","")&amp;IF(J14="Duplicate","Duplicate ID; ","")</x:f>
      </x:c>
      <x:c r="M14" t="str">
        <x:f>IF(K14=0,"Ready","Review")</x:f>
        <x:v>Ready</x:v>
      </x:c>
    </x:row>
    <x:row r="15">
      <x:c r="A15" t="str">
        <x:f>UPPER(TRIM('Raw Sales'!A15))</x:f>
        <x:v>SAL-26-0010</x:v>
      </x:c>
      <x:c r="B15" t="str">
        <x:f>PROPER(TRIM('Raw Sales'!B15))</x:f>
        <x:v>Maple Secondary</x:v>
      </x:c>
      <x:c r="C15" t="str">
        <x:f>IF(OR(UPPER(TRIM('Raw Sales'!C15))="BOCHUM",UPPER(TRIM('Raw Sales'!C15))="BOCHUM REGION"),"Bochum",IF(OR(UPPER(TRIM('Raw Sales'!C15))="ELDORADO",UPPER(TRIM('Raw Sales'!C15))="ELDOS"),"Eldorado","Review"))</x:f>
        <x:v>Eldorado</x:v>
      </x:c>
      <x:c r="D15" t="str">
        <x:f>PROPER(TRIM('Raw Sales'!D15))</x:f>
        <x:v>Exercise Books</x:v>
      </x:c>
      <x:c r="E15" s="8" t="n">
        <x:f>IFERROR(VALUE('Raw Sales'!E15),"")</x:f>
        <x:v>35</x:v>
      </x:c>
      <x:c r="F15" s="9" t="n">
        <x:v>5250</x:v>
      </x:c>
      <x:c r="G15" s="10" t="n">
        <x:f>IFERROR(IF(OR(MID(TRIM('Raw Sales'!G15),5,1)="-",MID(TRIM('Raw Sales'!G15),5,1)="/"),DATE(VALUE(LEFT(TRIM('Raw Sales'!G15),4)),VALUE(MID(TRIM('Raw Sales'!G15),6,2)),VALUE(RIGHT(TRIM('Raw Sales'!G15),2))),IF(LEN(TRIM('Raw Sales'!G15))=10,DATE(VALUE(RIGHT(TRIM('Raw Sales'!G15),4)),VALUE(MID(TRIM('Raw Sales'!G15),4,2)),VALUE(LEFT(TRIM('Raw Sales'!G15),2))),IF(LEN(TRIM('Raw Sales'!G15))=8,DATE(2000+VALUE(RIGHT(TRIM('Raw Sales'!G15),2)),VALUE(MID(TRIM('Raw Sales'!G15),4,2)),VALUE(LEFT(TRIM('Raw Sales'!G15),2))),""))),"")</x:f>
        <x:v>46093</x:v>
      </x:c>
      <x:c r="H15" t="str">
        <x:f>IF(TRIM('Raw Sales'!H15)="","Missing",PROPER(TRIM('Raw Sales'!H15)))</x:f>
        <x:v>Lebo Nkosi</x:v>
      </x:c>
      <x:c r="I15" t="str">
        <x:f>IF(OR(UPPER(TRIM('Raw Sales'!I15))="PAID",UPPER(TRIM('Raw Sales'!I15))="SETTLED",UPPER(TRIM('Raw Sales'!I15))="COMPLETE"),"Paid",IF(UPPER(TRIM('Raw Sales'!I15))="PENDING","Pending","Review"))</x:f>
        <x:v>Pending</x:v>
      </x:c>
      <x:c r="J15" t="str">
        <x:f>IF(A15="","Missing",IF(COUNTIF($A$6:A15,A15)&gt;1,"Duplicate","Unique"))</x:f>
        <x:v>Unique</x:v>
      </x:c>
      <x:c r="K15" s="11" t="n">
        <x:f>IF(A15="",1,0)+IF(B15="",1,0)+IF(C15="Review",1,0)+IF(D15="",1,0)+IF(OR(E15="",E15&lt;=0),1,0)+IF(OR(F15="",F15&lt;=0),1,0)+IF(G15="",1,0)+IF(H15="Missing",1,0)+IF(I15="Review",1,0)+IF(J15="Duplicate",1,0)</x:f>
        <x:v>0</x:v>
      </x:c>
      <x:c r="L15" s="12" t="str">
        <x:f>IF(A15="","Missing order ID; ","")&amp;IF(B15="","Missing school; ","")&amp;IF(C15="Review","Unmapped region; ","")&amp;IF(D15="","Missing product; ","")&amp;IF(OR(E15="",E15&lt;=0),"Invalid units; ","")&amp;IF(OR(F15="",F15&lt;=0),"Invalid amount; ","")&amp;IF(G15="","Invalid date; ","")&amp;IF(H15="Missing","Missing sales rep; ","")&amp;IF(I15="Review","Unmapped payment status; ","")&amp;IF(J15="Duplicate","Duplicate ID; ","")</x:f>
      </x:c>
      <x:c r="M15" t="str">
        <x:f>IF(K15=0,"Ready","Review")</x:f>
        <x:v>Ready</x:v>
      </x:c>
    </x:row>
    <x:row r="16">
      <x:c r="A16" t="str">
        <x:f>UPPER(TRIM('Raw Sales'!A16))</x:f>
        <x:v>SAL-26-0011</x:v>
      </x:c>
      <x:c r="B16" t="str">
        <x:f>PROPER(TRIM('Raw Sales'!B16))</x:f>
        <x:v>Pinecrest School</x:v>
      </x:c>
      <x:c r="C16" t="str">
        <x:f>IF(OR(UPPER(TRIM('Raw Sales'!C16))="BOCHUM",UPPER(TRIM('Raw Sales'!C16))="BOCHUM REGION"),"Bochum",IF(OR(UPPER(TRIM('Raw Sales'!C16))="ELDORADO",UPPER(TRIM('Raw Sales'!C16))="ELDOS"),"Eldorado","Review"))</x:f>
        <x:v>Bochum</x:v>
      </x:c>
      <x:c r="D16" t="str">
        <x:f>PROPER(TRIM('Raw Sales'!D16))</x:f>
        <x:v>Pencils</x:v>
      </x:c>
      <x:c r="E16" s="8" t="n">
        <x:f>IFERROR(VALUE('Raw Sales'!E16),"")</x:f>
        <x:v>6</x:v>
      </x:c>
      <x:c r="F16" s="9" t="n">
        <x:v>978</x:v>
      </x:c>
      <x:c r="G16" s="10" t="n">
        <x:f>IFERROR(IF(OR(MID(TRIM('Raw Sales'!G16),5,1)="-",MID(TRIM('Raw Sales'!G16),5,1)="/"),DATE(VALUE(LEFT(TRIM('Raw Sales'!G16),4)),VALUE(MID(TRIM('Raw Sales'!G16),6,2)),VALUE(RIGHT(TRIM('Raw Sales'!G16),2))),IF(LEN(TRIM('Raw Sales'!G16))=10,DATE(VALUE(RIGHT(TRIM('Raw Sales'!G16),4)),VALUE(MID(TRIM('Raw Sales'!G16),4,2)),VALUE(LEFT(TRIM('Raw Sales'!G16),2))),IF(LEN(TRIM('Raw Sales'!G16))=8,DATE(2000+VALUE(RIGHT(TRIM('Raw Sales'!G16),2)),VALUE(MID(TRIM('Raw Sales'!G16),4,2)),VALUE(LEFT(TRIM('Raw Sales'!G16),2))),""))),"")</x:f>
        <x:v>46125</x:v>
      </x:c>
      <x:c r="H16" t="str">
        <x:f>IF(TRIM('Raw Sales'!H16)="","Missing",PROPER(TRIM('Raw Sales'!H16)))</x:f>
        <x:v>Thabo Ndlovu</x:v>
      </x:c>
      <x:c r="I16" t="str">
        <x:f>IF(OR(UPPER(TRIM('Raw Sales'!I16))="PAID",UPPER(TRIM('Raw Sales'!I16))="SETTLED",UPPER(TRIM('Raw Sales'!I16))="COMPLETE"),"Paid",IF(UPPER(TRIM('Raw Sales'!I16))="PENDING","Pending","Review"))</x:f>
        <x:v>Paid</x:v>
      </x:c>
      <x:c r="J16" t="str">
        <x:f>IF(A16="","Missing",IF(COUNTIF($A$6:A16,A16)&gt;1,"Duplicate","Unique"))</x:f>
        <x:v>Unique</x:v>
      </x:c>
      <x:c r="K16" s="11" t="n">
        <x:f>IF(A16="",1,0)+IF(B16="",1,0)+IF(C16="Review",1,0)+IF(D16="",1,0)+IF(OR(E16="",E16&lt;=0),1,0)+IF(OR(F16="",F16&lt;=0),1,0)+IF(G16="",1,0)+IF(H16="Missing",1,0)+IF(I16="Review",1,0)+IF(J16="Duplicate",1,0)</x:f>
        <x:v>0</x:v>
      </x:c>
      <x:c r="L16" s="12" t="str">
        <x:f>IF(A16="","Missing order ID; ","")&amp;IF(B16="","Missing school; ","")&amp;IF(C16="Review","Unmapped region; ","")&amp;IF(D16="","Missing product; ","")&amp;IF(OR(E16="",E16&lt;=0),"Invalid units; ","")&amp;IF(OR(F16="",F16&lt;=0),"Invalid amount; ","")&amp;IF(G16="","Invalid date; ","")&amp;IF(H16="Missing","Missing sales rep; ","")&amp;IF(I16="Review","Unmapped payment status; ","")&amp;IF(J16="Duplicate","Duplicate ID; ","")</x:f>
      </x:c>
      <x:c r="M16" t="str">
        <x:f>IF(K16=0,"Ready","Review")</x:f>
        <x:v>Ready</x:v>
      </x:c>
    </x:row>
    <x:row r="17">
      <x:c r="A17" t="str">
        <x:f>UPPER(TRIM('Raw Sales'!A17))</x:f>
        <x:v>SAL-26-0012</x:v>
      </x:c>
      <x:c r="B17" t="str">
        <x:f>PROPER(TRIM('Raw Sales'!B17))</x:f>
        <x:v>Northstar Academy</x:v>
      </x:c>
      <x:c r="C17" t="str">
        <x:f>IF(OR(UPPER(TRIM('Raw Sales'!C17))="BOCHUM",UPPER(TRIM('Raw Sales'!C17))="BOCHUM REGION"),"Bochum",IF(OR(UPPER(TRIM('Raw Sales'!C17))="ELDORADO",UPPER(TRIM('Raw Sales'!C17))="ELDOS"),"Eldorado","Review"))</x:f>
        <x:v>Bochum</x:v>
      </x:c>
      <x:c r="D17" t="str">
        <x:f>PROPER(TRIM('Raw Sales'!D17))</x:f>
        <x:v>Folders</x:v>
      </x:c>
      <x:c r="E17" s="8" t="n">
        <x:f>IFERROR(VALUE('Raw Sales'!E17),"")</x:f>
        <x:v>13</x:v>
      </x:c>
      <x:c r="F17" s="9" t="n">
        <x:v>2288</x:v>
      </x:c>
      <x:c r="G17" s="10" t="n">
        <x:f>IFERROR(IF(OR(MID(TRIM('Raw Sales'!G17),5,1)="-",MID(TRIM('Raw Sales'!G17),5,1)="/"),DATE(VALUE(LEFT(TRIM('Raw Sales'!G17),4)),VALUE(MID(TRIM('Raw Sales'!G17),6,2)),VALUE(RIGHT(TRIM('Raw Sales'!G17),2))),IF(LEN(TRIM('Raw Sales'!G17))=10,DATE(VALUE(RIGHT(TRIM('Raw Sales'!G17),4)),VALUE(MID(TRIM('Raw Sales'!G17),4,2)),VALUE(LEFT(TRIM('Raw Sales'!G17),2))),IF(LEN(TRIM('Raw Sales'!G17))=8,DATE(2000+VALUE(RIGHT(TRIM('Raw Sales'!G17),2)),VALUE(MID(TRIM('Raw Sales'!G17),4,2)),VALUE(LEFT(TRIM('Raw Sales'!G17),2))),""))),"")</x:f>
        <x:v>46156</x:v>
      </x:c>
      <x:c r="H17" t="str">
        <x:f>IF(TRIM('Raw Sales'!H17)="","Missing",PROPER(TRIM('Raw Sales'!H17)))</x:f>
        <x:v>Lebo Nkosi</x:v>
      </x:c>
      <x:c r="I17" t="str">
        <x:f>IF(OR(UPPER(TRIM('Raw Sales'!I17))="PAID",UPPER(TRIM('Raw Sales'!I17))="SETTLED",UPPER(TRIM('Raw Sales'!I17))="COMPLETE"),"Paid",IF(UPPER(TRIM('Raw Sales'!I17))="PENDING","Pending","Review"))</x:f>
        <x:v>Paid</x:v>
      </x:c>
      <x:c r="J17" t="str">
        <x:f>IF(A17="","Missing",IF(COUNTIF($A$6:A17,A17)&gt;1,"Duplicate","Unique"))</x:f>
        <x:v>Unique</x:v>
      </x:c>
      <x:c r="K17" s="11" t="n">
        <x:f>IF(A17="",1,0)+IF(B17="",1,0)+IF(C17="Review",1,0)+IF(D17="",1,0)+IF(OR(E17="",E17&lt;=0),1,0)+IF(OR(F17="",F17&lt;=0),1,0)+IF(G17="",1,0)+IF(H17="Missing",1,0)+IF(I17="Review",1,0)+IF(J17="Duplicate",1,0)</x:f>
        <x:v>0</x:v>
      </x:c>
      <x:c r="L17" s="12" t="str">
        <x:f>IF(A17="","Missing order ID; ","")&amp;IF(B17="","Missing school; ","")&amp;IF(C17="Review","Unmapped region; ","")&amp;IF(D17="","Missing product; ","")&amp;IF(OR(E17="",E17&lt;=0),"Invalid units; ","")&amp;IF(OR(F17="",F17&lt;=0),"Invalid amount; ","")&amp;IF(G17="","Invalid date; ","")&amp;IF(H17="Missing","Missing sales rep; ","")&amp;IF(I17="Review","Unmapped payment status; ","")&amp;IF(J17="Duplicate","Duplicate ID; ","")</x:f>
      </x:c>
      <x:c r="M17" t="str">
        <x:f>IF(K17=0,"Ready","Review")</x:f>
        <x:v>Ready</x:v>
      </x:c>
    </x:row>
    <x:row r="18">
      <x:c r="A18" t="str">
        <x:f>UPPER(TRIM('Raw Sales'!A18))</x:f>
        <x:v>SAL-26-0013</x:v>
      </x:c>
      <x:c r="B18" t="str">
        <x:f>PROPER(TRIM('Raw Sales'!B18))</x:f>
        <x:v>Crescent Primary</x:v>
      </x:c>
      <x:c r="C18" t="str">
        <x:f>IF(OR(UPPER(TRIM('Raw Sales'!C18))="BOCHUM",UPPER(TRIM('Raw Sales'!C18))="BOCHUM REGION"),"Bochum",IF(OR(UPPER(TRIM('Raw Sales'!C18))="ELDORADO",UPPER(TRIM('Raw Sales'!C18))="ELDOS"),"Eldorado","Review"))</x:f>
        <x:v>Eldorado</x:v>
      </x:c>
      <x:c r="D18" t="str">
        <x:f>PROPER(TRIM('Raw Sales'!D18))</x:f>
        <x:v>Pens</x:v>
      </x:c>
      <x:c r="E18" s="8" t="n">
        <x:f>IFERROR(VALUE('Raw Sales'!E18),"")</x:f>
        <x:v>20</x:v>
      </x:c>
      <x:c r="F18" s="9" t="n">
        <x:v>3780</x:v>
      </x:c>
      <x:c r="G18" s="10" t="n">
        <x:f>IFERROR(IF(OR(MID(TRIM('Raw Sales'!G18),5,1)="-",MID(TRIM('Raw Sales'!G18),5,1)="/"),DATE(VALUE(LEFT(TRIM('Raw Sales'!G18),4)),VALUE(MID(TRIM('Raw Sales'!G18),6,2)),VALUE(RIGHT(TRIM('Raw Sales'!G18),2))),IF(LEN(TRIM('Raw Sales'!G18))=10,DATE(VALUE(RIGHT(TRIM('Raw Sales'!G18),4)),VALUE(MID(TRIM('Raw Sales'!G18),4,2)),VALUE(LEFT(TRIM('Raw Sales'!G18),2))),IF(LEN(TRIM('Raw Sales'!G18))=8,DATE(2000+VALUE(RIGHT(TRIM('Raw Sales'!G18),2)),VALUE(MID(TRIM('Raw Sales'!G18),4,2)),VALUE(LEFT(TRIM('Raw Sales'!G18),2))),""))),"")</x:f>
        <x:v>46188</x:v>
      </x:c>
      <x:c r="H18" t="str">
        <x:f>IF(TRIM('Raw Sales'!H18)="","Missing",PROPER(TRIM('Raw Sales'!H18)))</x:f>
        <x:v>Thabo Ndlovu</x:v>
      </x:c>
      <x:c r="I18" t="str">
        <x:f>IF(OR(UPPER(TRIM('Raw Sales'!I18))="PAID",UPPER(TRIM('Raw Sales'!I18))="SETTLED",UPPER(TRIM('Raw Sales'!I18))="COMPLETE"),"Paid",IF(UPPER(TRIM('Raw Sales'!I18))="PENDING","Pending","Review"))</x:f>
        <x:v>Pending</x:v>
      </x:c>
      <x:c r="J18" t="str">
        <x:f>IF(A18="","Missing",IF(COUNTIF($A$6:A18,A18)&gt;1,"Duplicate","Unique"))</x:f>
        <x:v>Unique</x:v>
      </x:c>
      <x:c r="K18" s="11" t="n">
        <x:f>IF(A18="",1,0)+IF(B18="",1,0)+IF(C18="Review",1,0)+IF(D18="",1,0)+IF(OR(E18="",E18&lt;=0),1,0)+IF(OR(F18="",F18&lt;=0),1,0)+IF(G18="",1,0)+IF(H18="Missing",1,0)+IF(I18="Review",1,0)+IF(J18="Duplicate",1,0)</x:f>
        <x:v>0</x:v>
      </x:c>
      <x:c r="L18" s="12" t="str">
        <x:f>IF(A18="","Missing order ID; ","")&amp;IF(B18="","Missing school; ","")&amp;IF(C18="Review","Unmapped region; ","")&amp;IF(D18="","Missing product; ","")&amp;IF(OR(E18="",E18&lt;=0),"Invalid units; ","")&amp;IF(OR(F18="",F18&lt;=0),"Invalid amount; ","")&amp;IF(G18="","Invalid date; ","")&amp;IF(H18="Missing","Missing sales rep; ","")&amp;IF(I18="Review","Unmapped payment status; ","")&amp;IF(J18="Duplicate","Duplicate ID; ","")</x:f>
      </x:c>
      <x:c r="M18" t="str">
        <x:f>IF(K18=0,"Ready","Review")</x:f>
        <x:v>Ready</x:v>
      </x:c>
    </x:row>
    <x:row r="19">
      <x:c r="A19" t="str">
        <x:f>UPPER(TRIM('Raw Sales'!A19))</x:f>
        <x:v>SAL-26-0014</x:v>
      </x:c>
      <x:c r="B19" t="str">
        <x:f>PROPER(TRIM('Raw Sales'!B19))</x:f>
        <x:v>Hillview Primary</x:v>
      </x:c>
      <x:c r="C19" t="str">
        <x:f>IF(OR(UPPER(TRIM('Raw Sales'!C19))="BOCHUM",UPPER(TRIM('Raw Sales'!C19))="BOCHUM REGION"),"Bochum",IF(OR(UPPER(TRIM('Raw Sales'!C19))="ELDORADO",UPPER(TRIM('Raw Sales'!C19))="ELDOS"),"Eldorado","Review"))</x:f>
        <x:v>Bochum</x:v>
      </x:c>
      <x:c r="D19" t="str">
        <x:f>PROPER(TRIM('Raw Sales'!D19))</x:f>
        <x:v>Glue Sticks</x:v>
      </x:c>
      <x:c r="E19" s="8" t="n">
        <x:f>IFERROR(VALUE('Raw Sales'!E19),"")</x:f>
        <x:v>27</x:v>
      </x:c>
      <x:c r="F19" s="9" t="n">
        <x:v>567</x:v>
      </x:c>
      <x:c r="G19" s="10" t="n">
        <x:f>IFERROR(IF(OR(MID(TRIM('Raw Sales'!G19),5,1)="-",MID(TRIM('Raw Sales'!G19),5,1)="/"),DATE(VALUE(LEFT(TRIM('Raw Sales'!G19),4)),VALUE(MID(TRIM('Raw Sales'!G19),6,2)),VALUE(RIGHT(TRIM('Raw Sales'!G19),2))),IF(LEN(TRIM('Raw Sales'!G19))=10,DATE(VALUE(RIGHT(TRIM('Raw Sales'!G19),4)),VALUE(MID(TRIM('Raw Sales'!G19),4,2)),VALUE(LEFT(TRIM('Raw Sales'!G19),2))),IF(LEN(TRIM('Raw Sales'!G19))=8,DATE(2000+VALUE(RIGHT(TRIM('Raw Sales'!G19),2)),VALUE(MID(TRIM('Raw Sales'!G19),4,2)),VALUE(LEFT(TRIM('Raw Sales'!G19),2))),""))),"")</x:f>
        <x:v>46219</x:v>
      </x:c>
      <x:c r="H19" t="str">
        <x:f>IF(TRIM('Raw Sales'!H19)="","Missing",PROPER(TRIM('Raw Sales'!H19)))</x:f>
        <x:v>Lebo Nkosi</x:v>
      </x:c>
      <x:c r="I19" t="str">
        <x:f>IF(OR(UPPER(TRIM('Raw Sales'!I19))="PAID",UPPER(TRIM('Raw Sales'!I19))="SETTLED",UPPER(TRIM('Raw Sales'!I19))="COMPLETE"),"Paid",IF(UPPER(TRIM('Raw Sales'!I19))="PENDING","Pending","Review"))</x:f>
        <x:v>Paid</x:v>
      </x:c>
      <x:c r="J19" t="str">
        <x:f>IF(A19="","Missing",IF(COUNTIF($A$6:A19,A19)&gt;1,"Duplicate","Unique"))</x:f>
        <x:v>Unique</x:v>
      </x:c>
      <x:c r="K19" s="11" t="n">
        <x:f>IF(A19="",1,0)+IF(B19="",1,0)+IF(C19="Review",1,0)+IF(D19="",1,0)+IF(OR(E19="",E19&lt;=0),1,0)+IF(OR(F19="",F19&lt;=0),1,0)+IF(G19="",1,0)+IF(H19="Missing",1,0)+IF(I19="Review",1,0)+IF(J19="Duplicate",1,0)</x:f>
        <x:v>0</x:v>
      </x:c>
      <x:c r="L19" s="12" t="str">
        <x:f>IF(A19="","Missing order ID; ","")&amp;IF(B19="","Missing school; ","")&amp;IF(C19="Review","Unmapped region; ","")&amp;IF(D19="","Missing product; ","")&amp;IF(OR(E19="",E19&lt;=0),"Invalid units; ","")&amp;IF(OR(F19="",F19&lt;=0),"Invalid amount; ","")&amp;IF(G19="","Invalid date; ","")&amp;IF(H19="Missing","Missing sales rep; ","")&amp;IF(I19="Review","Unmapped payment status; ","")&amp;IF(J19="Duplicate","Duplicate ID; ","")</x:f>
      </x:c>
      <x:c r="M19" t="str">
        <x:f>IF(K19=0,"Ready","Review")</x:f>
        <x:v>Ready</x:v>
      </x:c>
    </x:row>
    <x:row r="20">
      <x:c r="A20" t="str">
        <x:f>UPPER(TRIM('Raw Sales'!A20))</x:f>
        <x:v>SAL-26-0015</x:v>
      </x:c>
      <x:c r="B20" t="str">
        <x:f>PROPER(TRIM('Raw Sales'!B20))</x:f>
        <x:v>Eastwood Academy</x:v>
      </x:c>
      <x:c r="C20" t="str">
        <x:f>IF(OR(UPPER(TRIM('Raw Sales'!C20))="BOCHUM",UPPER(TRIM('Raw Sales'!C20))="BOCHUM REGION"),"Bochum",IF(OR(UPPER(TRIM('Raw Sales'!C20))="ELDORADO",UPPER(TRIM('Raw Sales'!C20))="ELDOS"),"Eldorado","Review"))</x:f>
        <x:v>Eldorado</x:v>
      </x:c>
      <x:c r="D20" t="str">
        <x:f>PROPER(TRIM('Raw Sales'!D20))</x:f>
        <x:v>Markers</x:v>
      </x:c>
      <x:c r="E20" s="8" t="n">
        <x:f>IFERROR(VALUE('Raw Sales'!E20),"")</x:f>
        <x:v>34</x:v>
      </x:c>
      <x:c r="F20" s="9" t="n">
        <x:v>1156</x:v>
      </x:c>
      <x:c r="G20" s="10" t="n">
        <x:f>IFERROR(IF(OR(MID(TRIM('Raw Sales'!G20),5,1)="-",MID(TRIM('Raw Sales'!G20),5,1)="/"),DATE(VALUE(LEFT(TRIM('Raw Sales'!G20),4)),VALUE(MID(TRIM('Raw Sales'!G20),6,2)),VALUE(RIGHT(TRIM('Raw Sales'!G20),2))),IF(LEN(TRIM('Raw Sales'!G20))=10,DATE(VALUE(RIGHT(TRIM('Raw Sales'!G20),4)),VALUE(MID(TRIM('Raw Sales'!G20),4,2)),VALUE(LEFT(TRIM('Raw Sales'!G20),2))),IF(LEN(TRIM('Raw Sales'!G20))=8,DATE(2000+VALUE(RIGHT(TRIM('Raw Sales'!G20),2)),VALUE(MID(TRIM('Raw Sales'!G20),4,2)),VALUE(LEFT(TRIM('Raw Sales'!G20),2))),""))),"")</x:f>
        <x:v>46251</x:v>
      </x:c>
      <x:c r="H20" t="str">
        <x:f>IF(TRIM('Raw Sales'!H20)="","Missing",PROPER(TRIM('Raw Sales'!H20)))</x:f>
        <x:v>Thabo Ndlovu</x:v>
      </x:c>
      <x:c r="I20" t="str">
        <x:f>IF(OR(UPPER(TRIM('Raw Sales'!I20))="PAID",UPPER(TRIM('Raw Sales'!I20))="SETTLED",UPPER(TRIM('Raw Sales'!I20))="COMPLETE"),"Paid",IF(UPPER(TRIM('Raw Sales'!I20))="PENDING","Pending","Review"))</x:f>
        <x:v>Paid</x:v>
      </x:c>
      <x:c r="J20" t="str">
        <x:f>IF(A20="","Missing",IF(COUNTIF($A$6:A20,A20)&gt;1,"Duplicate","Unique"))</x:f>
        <x:v>Unique</x:v>
      </x:c>
      <x:c r="K20" s="11" t="n">
        <x:f>IF(A20="",1,0)+IF(B20="",1,0)+IF(C20="Review",1,0)+IF(D20="",1,0)+IF(OR(E20="",E20&lt;=0),1,0)+IF(OR(F20="",F20&lt;=0),1,0)+IF(G20="",1,0)+IF(H20="Missing",1,0)+IF(I20="Review",1,0)+IF(J20="Duplicate",1,0)</x:f>
        <x:v>0</x:v>
      </x:c>
      <x:c r="L20" s="12" t="str">
        <x:f>IF(A20="","Missing order ID; ","")&amp;IF(B20="","Missing school; ","")&amp;IF(C20="Review","Unmapped region; ","")&amp;IF(D20="","Missing product; ","")&amp;IF(OR(E20="",E20&lt;=0),"Invalid units; ","")&amp;IF(OR(F20="",F20&lt;=0),"Invalid amount; ","")&amp;IF(G20="","Invalid date; ","")&amp;IF(H20="Missing","Missing sales rep; ","")&amp;IF(I20="Review","Unmapped payment status; ","")&amp;IF(J20="Duplicate","Duplicate ID; ","")</x:f>
      </x:c>
      <x:c r="M20" t="str">
        <x:f>IF(K20=0,"Ready","Review")</x:f>
        <x:v>Ready</x:v>
      </x:c>
    </x:row>
    <x:row r="21">
      <x:c r="A21" t="str">
        <x:f>UPPER(TRIM('Raw Sales'!A21))</x:f>
        <x:v>SAL-26-0016</x:v>
      </x:c>
      <x:c r="B21" t="str">
        <x:f>PROPER(TRIM('Raw Sales'!B21))</x:f>
        <x:v>Lakeside School</x:v>
      </x:c>
      <x:c r="C21" t="str">
        <x:f>IF(OR(UPPER(TRIM('Raw Sales'!C21))="BOCHUM",UPPER(TRIM('Raw Sales'!C21))="BOCHUM REGION"),"Bochum",IF(OR(UPPER(TRIM('Raw Sales'!C21))="ELDORADO",UPPER(TRIM('Raw Sales'!C21))="ELDOS"),"Eldorado","Review"))</x:f>
        <x:v>Bochum</x:v>
      </x:c>
      <x:c r="D21" t="str">
        <x:f>PROPER(TRIM('Raw Sales'!D21))</x:f>
        <x:v>Notebooks</x:v>
      </x:c>
      <x:c r="E21" s="8" t="n">
        <x:f>IFERROR(VALUE('Raw Sales'!E21),"")</x:f>
        <x:v>5</x:v>
      </x:c>
      <x:c r="F21" s="9" t="n">
        <x:v>235</x:v>
      </x:c>
      <x:c r="G21" s="10" t="n">
        <x:f>IFERROR(IF(OR(MID(TRIM('Raw Sales'!G21),5,1)="-",MID(TRIM('Raw Sales'!G21),5,1)="/"),DATE(VALUE(LEFT(TRIM('Raw Sales'!G21),4)),VALUE(MID(TRIM('Raw Sales'!G21),6,2)),VALUE(RIGHT(TRIM('Raw Sales'!G21),2))),IF(LEN(TRIM('Raw Sales'!G21))=10,DATE(VALUE(RIGHT(TRIM('Raw Sales'!G21),4)),VALUE(MID(TRIM('Raw Sales'!G21),4,2)),VALUE(LEFT(TRIM('Raw Sales'!G21),2))),IF(LEN(TRIM('Raw Sales'!G21))=8,DATE(2000+VALUE(RIGHT(TRIM('Raw Sales'!G21),2)),VALUE(MID(TRIM('Raw Sales'!G21),4,2)),VALUE(LEFT(TRIM('Raw Sales'!G21),2))),""))),"")</x:f>
        <x:v>46040</x:v>
      </x:c>
      <x:c r="H21" t="str">
        <x:f>IF(TRIM('Raw Sales'!H21)="","Missing",PROPER(TRIM('Raw Sales'!H21)))</x:f>
        <x:v>Lebo Nkosi</x:v>
      </x:c>
      <x:c r="I21" t="str">
        <x:f>IF(OR(UPPER(TRIM('Raw Sales'!I21))="PAID",UPPER(TRIM('Raw Sales'!I21))="SETTLED",UPPER(TRIM('Raw Sales'!I21))="COMPLETE"),"Paid",IF(UPPER(TRIM('Raw Sales'!I21))="PENDING","Pending","Review"))</x:f>
        <x:v>Pending</x:v>
      </x:c>
      <x:c r="J21" t="str">
        <x:f>IF(A21="","Missing",IF(COUNTIF($A$6:A21,A21)&gt;1,"Duplicate","Unique"))</x:f>
        <x:v>Unique</x:v>
      </x:c>
      <x:c r="K21" s="11" t="n">
        <x:f>IF(A21="",1,0)+IF(B21="",1,0)+IF(C21="Review",1,0)+IF(D21="",1,0)+IF(OR(E21="",E21&lt;=0),1,0)+IF(OR(F21="",F21&lt;=0),1,0)+IF(G21="",1,0)+IF(H21="Missing",1,0)+IF(I21="Review",1,0)+IF(J21="Duplicate",1,0)</x:f>
        <x:v>0</x:v>
      </x:c>
      <x:c r="L21" s="12" t="str">
        <x:f>IF(A21="","Missing order ID; ","")&amp;IF(B21="","Missing school; ","")&amp;IF(C21="Review","Unmapped region; ","")&amp;IF(D21="","Missing product; ","")&amp;IF(OR(E21="",E21&lt;=0),"Invalid units; ","")&amp;IF(OR(F21="",F21&lt;=0),"Invalid amount; ","")&amp;IF(G21="","Invalid date; ","")&amp;IF(H21="Missing","Missing sales rep; ","")&amp;IF(I21="Review","Unmapped payment status; ","")&amp;IF(J21="Duplicate","Duplicate ID; ","")</x:f>
      </x:c>
      <x:c r="M21" t="str">
        <x:f>IF(K21=0,"Ready","Review")</x:f>
        <x:v>Ready</x:v>
      </x:c>
    </x:row>
    <x:row r="22">
      <x:c r="A22" t="str">
        <x:f>UPPER(TRIM('Raw Sales'!A22))</x:f>
        <x:v>SAL-26-0017</x:v>
      </x:c>
      <x:c r="B22" t="str">
        <x:f>PROPER(TRIM('Raw Sales'!B22))</x:f>
        <x:v>Valley Primary</x:v>
      </x:c>
      <x:c r="C22" t="str">
        <x:f>IF(OR(UPPER(TRIM('Raw Sales'!C22))="BOCHUM",UPPER(TRIM('Raw Sales'!C22))="BOCHUM REGION"),"Bochum",IF(OR(UPPER(TRIM('Raw Sales'!C22))="ELDORADO",UPPER(TRIM('Raw Sales'!C22))="ELDOS"),"Eldorado","Review"))</x:f>
        <x:v>Eldorado</x:v>
      </x:c>
      <x:c r="D22" t="str">
        <x:f>PROPER(TRIM('Raw Sales'!D22))</x:f>
        <x:v>Rulers</x:v>
      </x:c>
      <x:c r="E22" s="8" t="n">
        <x:f>IFERROR(VALUE('Raw Sales'!E22),"")</x:f>
        <x:v>12</x:v>
      </x:c>
      <x:c r="F22" s="9"/>
      <x:c r="G22" s="10" t="n">
        <x:f>IFERROR(IF(OR(MID(TRIM('Raw Sales'!G22),5,1)="-",MID(TRIM('Raw Sales'!G22),5,1)="/"),DATE(VALUE(LEFT(TRIM('Raw Sales'!G22),4)),VALUE(MID(TRIM('Raw Sales'!G22),6,2)),VALUE(RIGHT(TRIM('Raw Sales'!G22),2))),IF(LEN(TRIM('Raw Sales'!G22))=10,DATE(VALUE(RIGHT(TRIM('Raw Sales'!G22),4)),VALUE(MID(TRIM('Raw Sales'!G22),4,2)),VALUE(LEFT(TRIM('Raw Sales'!G22),2))),IF(LEN(TRIM('Raw Sales'!G22))=8,DATE(2000+VALUE(RIGHT(TRIM('Raw Sales'!G22),2)),VALUE(MID(TRIM('Raw Sales'!G22),4,2)),VALUE(LEFT(TRIM('Raw Sales'!G22),2))),""))),"")</x:f>
        <x:v>46072</x:v>
      </x:c>
      <x:c r="H22" t="str">
        <x:f>IF(TRIM('Raw Sales'!H22)="","Missing",PROPER(TRIM('Raw Sales'!H22)))</x:f>
        <x:v>Thabo Ndlovu</x:v>
      </x:c>
      <x:c r="I22" t="str">
        <x:f>IF(OR(UPPER(TRIM('Raw Sales'!I22))="PAID",UPPER(TRIM('Raw Sales'!I22))="SETTLED",UPPER(TRIM('Raw Sales'!I22))="COMPLETE"),"Paid",IF(UPPER(TRIM('Raw Sales'!I22))="PENDING","Pending","Review"))</x:f>
        <x:v>Paid</x:v>
      </x:c>
      <x:c r="J22" t="str">
        <x:f>IF(A22="","Missing",IF(COUNTIF($A$6:A22,A22)&gt;1,"Duplicate","Unique"))</x:f>
        <x:v>Unique</x:v>
      </x:c>
      <x:c r="K22" s="11" t="n">
        <x:f>IF(A22="",1,0)+IF(B22="",1,0)+IF(C22="Review",1,0)+IF(D22="",1,0)+IF(OR(E22="",E22&lt;=0),1,0)+IF(OR(F22="",F22&lt;=0),1,0)+IF(G22="",1,0)+IF(H22="Missing",1,0)+IF(I22="Review",1,0)+IF(J22="Duplicate",1,0)</x:f>
        <x:v>1</x:v>
      </x:c>
      <x:c r="L22" s="12" t="str">
        <x:f>IF(A22="","Missing order ID; ","")&amp;IF(B22="","Missing school; ","")&amp;IF(C22="Review","Unmapped region; ","")&amp;IF(D22="","Missing product; ","")&amp;IF(OR(E22="",E22&lt;=0),"Invalid units; ","")&amp;IF(OR(F22="",F22&lt;=0),"Invalid amount; ","")&amp;IF(G22="","Invalid date; ","")&amp;IF(H22="Missing","Missing sales rep; ","")&amp;IF(I22="Review","Unmapped payment status; ","")&amp;IF(J22="Duplicate","Duplicate ID; ","")</x:f>
        <x:v>Invalid amount; </x:v>
      </x:c>
      <x:c r="M22" t="str">
        <x:f>IF(K22=0,"Ready","Review")</x:f>
        <x:v>Review</x:v>
      </x:c>
    </x:row>
    <x:row r="23">
      <x:c r="A23" t="str">
        <x:f>UPPER(TRIM('Raw Sales'!A23))</x:f>
        <x:v>SAL-26-0018</x:v>
      </x:c>
      <x:c r="B23" t="str">
        <x:f>PROPER(TRIM('Raw Sales'!B23))</x:f>
        <x:v>Mhlabeni Secondary</x:v>
      </x:c>
      <x:c r="C23" t="str">
        <x:f>IF(OR(UPPER(TRIM('Raw Sales'!C23))="BOCHUM",UPPER(TRIM('Raw Sales'!C23))="BOCHUM REGION"),"Bochum",IF(OR(UPPER(TRIM('Raw Sales'!C23))="ELDORADO",UPPER(TRIM('Raw Sales'!C23))="ELDOS"),"Eldorado","Review"))</x:f>
        <x:v>Eldorado</x:v>
      </x:c>
      <x:c r="D23" t="str">
        <x:f>PROPER(TRIM('Raw Sales'!D23))</x:f>
        <x:v>Exercise Books</x:v>
      </x:c>
      <x:c r="E23" s="8" t="n">
        <x:f>IFERROR(VALUE('Raw Sales'!E23),"")</x:f>
        <x:v>19</x:v>
      </x:c>
      <x:c r="F23" s="9" t="n">
        <x:v>1387</x:v>
      </x:c>
      <x:c r="G23" s="10" t="n">
        <x:f>IFERROR(IF(OR(MID(TRIM('Raw Sales'!G23),5,1)="-",MID(TRIM('Raw Sales'!G23),5,1)="/"),DATE(VALUE(LEFT(TRIM('Raw Sales'!G23),4)),VALUE(MID(TRIM('Raw Sales'!G23),6,2)),VALUE(RIGHT(TRIM('Raw Sales'!G23),2))),IF(LEN(TRIM('Raw Sales'!G23))=10,DATE(VALUE(RIGHT(TRIM('Raw Sales'!G23),4)),VALUE(MID(TRIM('Raw Sales'!G23),4,2)),VALUE(LEFT(TRIM('Raw Sales'!G23),2))),IF(LEN(TRIM('Raw Sales'!G23))=8,DATE(2000+VALUE(RIGHT(TRIM('Raw Sales'!G23),2)),VALUE(MID(TRIM('Raw Sales'!G23),4,2)),VALUE(LEFT(TRIM('Raw Sales'!G23),2))),""))),"")</x:f>
        <x:v>46101</x:v>
      </x:c>
      <x:c r="H23" t="str">
        <x:f>IF(TRIM('Raw Sales'!H23)="","Missing",PROPER(TRIM('Raw Sales'!H23)))</x:f>
        <x:v>Lebo Nkosi</x:v>
      </x:c>
      <x:c r="I23" t="str">
        <x:f>IF(OR(UPPER(TRIM('Raw Sales'!I23))="PAID",UPPER(TRIM('Raw Sales'!I23))="SETTLED",UPPER(TRIM('Raw Sales'!I23))="COMPLETE"),"Paid",IF(UPPER(TRIM('Raw Sales'!I23))="PENDING","Pending","Review"))</x:f>
        <x:v>Paid</x:v>
      </x:c>
      <x:c r="J23" t="str">
        <x:f>IF(A23="","Missing",IF(COUNTIF($A$6:A23,A23)&gt;1,"Duplicate","Unique"))</x:f>
        <x:v>Unique</x:v>
      </x:c>
      <x:c r="K23" s="11" t="n">
        <x:f>IF(A23="",1,0)+IF(B23="",1,0)+IF(C23="Review",1,0)+IF(D23="",1,0)+IF(OR(E23="",E23&lt;=0),1,0)+IF(OR(F23="",F23&lt;=0),1,0)+IF(G23="",1,0)+IF(H23="Missing",1,0)+IF(I23="Review",1,0)+IF(J23="Duplicate",1,0)</x:f>
        <x:v>0</x:v>
      </x:c>
      <x:c r="L23" s="12" t="str">
        <x:f>IF(A23="","Missing order ID; ","")&amp;IF(B23="","Missing school; ","")&amp;IF(C23="Review","Unmapped region; ","")&amp;IF(D23="","Missing product; ","")&amp;IF(OR(E23="",E23&lt;=0),"Invalid units; ","")&amp;IF(OR(F23="",F23&lt;=0),"Invalid amount; ","")&amp;IF(G23="","Invalid date; ","")&amp;IF(H23="Missing","Missing sales rep; ","")&amp;IF(I23="Review","Unmapped payment status; ","")&amp;IF(J23="Duplicate","Duplicate ID; ","")</x:f>
      </x:c>
      <x:c r="M23" t="str">
        <x:f>IF(K23=0,"Ready","Review")</x:f>
        <x:v>Ready</x:v>
      </x:c>
    </x:row>
    <x:row r="24">
      <x:c r="A24" t="str">
        <x:f>UPPER(TRIM('Raw Sales'!A24))</x:f>
        <x:v>SAL-26-0019</x:v>
      </x:c>
      <x:c r="B24" t="str">
        <x:f>PROPER(TRIM('Raw Sales'!B24))</x:f>
        <x:v>Meadowlands School</x:v>
      </x:c>
      <x:c r="C24" t="str">
        <x:f>IF(OR(UPPER(TRIM('Raw Sales'!C24))="BOCHUM",UPPER(TRIM('Raw Sales'!C24))="BOCHUM REGION"),"Bochum",IF(OR(UPPER(TRIM('Raw Sales'!C24))="ELDORADO",UPPER(TRIM('Raw Sales'!C24))="ELDOS"),"Eldorado","Review"))</x:f>
        <x:v>Bochum</x:v>
      </x:c>
      <x:c r="D24" t="str">
        <x:f>PROPER(TRIM('Raw Sales'!D24))</x:f>
        <x:v>Pencils</x:v>
      </x:c>
      <x:c r="E24" s="8" t="n">
        <x:f>IFERROR(VALUE('Raw Sales'!E24),"")</x:f>
        <x:v>26</x:v>
      </x:c>
      <x:c r="F24" s="9" t="n">
        <x:v>2236</x:v>
      </x:c>
      <x:c r="G24" s="10" t="n">
        <x:f>IFERROR(IF(OR(MID(TRIM('Raw Sales'!G24),5,1)="-",MID(TRIM('Raw Sales'!G24),5,1)="/"),DATE(VALUE(LEFT(TRIM('Raw Sales'!G24),4)),VALUE(MID(TRIM('Raw Sales'!G24),6,2)),VALUE(RIGHT(TRIM('Raw Sales'!G24),2))),IF(LEN(TRIM('Raw Sales'!G24))=10,DATE(VALUE(RIGHT(TRIM('Raw Sales'!G24),4)),VALUE(MID(TRIM('Raw Sales'!G24),4,2)),VALUE(LEFT(TRIM('Raw Sales'!G24),2))),IF(LEN(TRIM('Raw Sales'!G24))=8,DATE(2000+VALUE(RIGHT(TRIM('Raw Sales'!G24),2)),VALUE(MID(TRIM('Raw Sales'!G24),4,2)),VALUE(LEFT(TRIM('Raw Sales'!G24),2))),""))),"")</x:f>
        <x:v>46133</x:v>
      </x:c>
      <x:c r="H24" t="str">
        <x:f>IF(TRIM('Raw Sales'!H24)="","Missing",PROPER(TRIM('Raw Sales'!H24)))</x:f>
        <x:v>Thabo Ndlovu</x:v>
      </x:c>
      <x:c r="I24" t="str">
        <x:f>IF(OR(UPPER(TRIM('Raw Sales'!I24))="PAID",UPPER(TRIM('Raw Sales'!I24))="SETTLED",UPPER(TRIM('Raw Sales'!I24))="COMPLETE"),"Paid",IF(UPPER(TRIM('Raw Sales'!I24))="PENDING","Pending","Review"))</x:f>
        <x:v>Paid</x:v>
      </x:c>
      <x:c r="J24" t="str">
        <x:f>IF(A24="","Missing",IF(COUNTIF($A$6:A24,A24)&gt;1,"Duplicate","Unique"))</x:f>
        <x:v>Unique</x:v>
      </x:c>
      <x:c r="K24" s="11" t="n">
        <x:f>IF(A24="",1,0)+IF(B24="",1,0)+IF(C24="Review",1,0)+IF(D24="",1,0)+IF(OR(E24="",E24&lt;=0),1,0)+IF(OR(F24="",F24&lt;=0),1,0)+IF(G24="",1,0)+IF(H24="Missing",1,0)+IF(I24="Review",1,0)+IF(J24="Duplicate",1,0)</x:f>
        <x:v>0</x:v>
      </x:c>
      <x:c r="L24" s="12" t="str">
        <x:f>IF(A24="","Missing order ID; ","")&amp;IF(B24="","Missing school; ","")&amp;IF(C24="Review","Unmapped region; ","")&amp;IF(D24="","Missing product; ","")&amp;IF(OR(E24="",E24&lt;=0),"Invalid units; ","")&amp;IF(OR(F24="",F24&lt;=0),"Invalid amount; ","")&amp;IF(G24="","Invalid date; ","")&amp;IF(H24="Missing","Missing sales rep; ","")&amp;IF(I24="Review","Unmapped payment status; ","")&amp;IF(J24="Duplicate","Duplicate ID; ","")</x:f>
      </x:c>
      <x:c r="M24" t="str">
        <x:f>IF(K24=0,"Ready","Review")</x:f>
        <x:v>Ready</x:v>
      </x:c>
    </x:row>
    <x:row r="25">
      <x:c r="A25" t="str">
        <x:f>UPPER(TRIM('Raw Sales'!A25))</x:f>
        <x:v>SAL-26-0020</x:v>
      </x:c>
      <x:c r="B25" t="str">
        <x:f>PROPER(TRIM('Raw Sales'!B25))</x:f>
        <x:v>Gardenview School</x:v>
      </x:c>
      <x:c r="C25" t="str">
        <x:f>IF(OR(UPPER(TRIM('Raw Sales'!C25))="BOCHUM",UPPER(TRIM('Raw Sales'!C25))="BOCHUM REGION"),"Bochum",IF(OR(UPPER(TRIM('Raw Sales'!C25))="ELDORADO",UPPER(TRIM('Raw Sales'!C25))="ELDOS"),"Eldorado","Review"))</x:f>
        <x:v>Eldorado</x:v>
      </x:c>
      <x:c r="D25" t="str">
        <x:f>PROPER(TRIM('Raw Sales'!D25))</x:f>
        <x:v>Folders</x:v>
      </x:c>
      <x:c r="E25" s="8" t="n">
        <x:f>IFERROR(VALUE('Raw Sales'!E25),"")</x:f>
        <x:v>33</x:v>
      </x:c>
      <x:c r="F25" s="9" t="n">
        <x:v>3267</x:v>
      </x:c>
      <x:c r="G25" s="10" t="n">
        <x:f>IFERROR(IF(OR(MID(TRIM('Raw Sales'!G25),5,1)="-",MID(TRIM('Raw Sales'!G25),5,1)="/"),DATE(VALUE(LEFT(TRIM('Raw Sales'!G25),4)),VALUE(MID(TRIM('Raw Sales'!G25),6,2)),VALUE(RIGHT(TRIM('Raw Sales'!G25),2))),IF(LEN(TRIM('Raw Sales'!G25))=10,DATE(VALUE(RIGHT(TRIM('Raw Sales'!G25),4)),VALUE(MID(TRIM('Raw Sales'!G25),4,2)),VALUE(LEFT(TRIM('Raw Sales'!G25),2))),IF(LEN(TRIM('Raw Sales'!G25))=8,DATE(2000+VALUE(RIGHT(TRIM('Raw Sales'!G25),2)),VALUE(MID(TRIM('Raw Sales'!G25),4,2)),VALUE(LEFT(TRIM('Raw Sales'!G25),2))),""))),"")</x:f>
        <x:v>46164</x:v>
      </x:c>
      <x:c r="H25" t="str">
        <x:f>IF(TRIM('Raw Sales'!H25)="","Missing",PROPER(TRIM('Raw Sales'!H25)))</x:f>
        <x:v>Lebo Nkosi</x:v>
      </x:c>
      <x:c r="I25" t="str">
        <x:f>IF(OR(UPPER(TRIM('Raw Sales'!I25))="PAID",UPPER(TRIM('Raw Sales'!I25))="SETTLED",UPPER(TRIM('Raw Sales'!I25))="COMPLETE"),"Paid",IF(UPPER(TRIM('Raw Sales'!I25))="PENDING","Pending","Review"))</x:f>
        <x:v>Paid</x:v>
      </x:c>
      <x:c r="J25" t="str">
        <x:f>IF(A25="","Missing",IF(COUNTIF($A$6:A25,A25)&gt;1,"Duplicate","Unique"))</x:f>
        <x:v>Unique</x:v>
      </x:c>
      <x:c r="K25" s="11" t="n">
        <x:f>IF(A25="",1,0)+IF(B25="",1,0)+IF(C25="Review",1,0)+IF(D25="",1,0)+IF(OR(E25="",E25&lt;=0),1,0)+IF(OR(F25="",F25&lt;=0),1,0)+IF(G25="",1,0)+IF(H25="Missing",1,0)+IF(I25="Review",1,0)+IF(J25="Duplicate",1,0)</x:f>
        <x:v>0</x:v>
      </x:c>
      <x:c r="L25" s="12" t="str">
        <x:f>IF(A25="","Missing order ID; ","")&amp;IF(B25="","Missing school; ","")&amp;IF(C25="Review","Unmapped region; ","")&amp;IF(D25="","Missing product; ","")&amp;IF(OR(E25="",E25&lt;=0),"Invalid units; ","")&amp;IF(OR(F25="",F25&lt;=0),"Invalid amount; ","")&amp;IF(G25="","Invalid date; ","")&amp;IF(H25="Missing","Missing sales rep; ","")&amp;IF(I25="Review","Unmapped payment status; ","")&amp;IF(J25="Duplicate","Duplicate ID; ","")</x:f>
      </x:c>
      <x:c r="M25" t="str">
        <x:f>IF(K25=0,"Ready","Review")</x:f>
        <x:v>Ready</x:v>
      </x:c>
    </x:row>
    <x:row r="26">
      <x:c r="A26" t="str">
        <x:f>UPPER(TRIM('Raw Sales'!A26))</x:f>
        <x:v>SAL-26-0021</x:v>
      </x:c>
      <x:c r="B26" t="str">
        <x:f>PROPER(TRIM('Raw Sales'!B26))</x:f>
        <x:v>Riverside Academy</x:v>
      </x:c>
      <x:c r="C26" t="str">
        <x:f>IF(OR(UPPER(TRIM('Raw Sales'!C26))="BOCHUM",UPPER(TRIM('Raw Sales'!C26))="BOCHUM REGION"),"Bochum",IF(OR(UPPER(TRIM('Raw Sales'!C26))="ELDORADO",UPPER(TRIM('Raw Sales'!C26))="ELDOS"),"Eldorado","Review"))</x:f>
        <x:v>Bochum</x:v>
      </x:c>
      <x:c r="D26" t="str">
        <x:f>PROPER(TRIM('Raw Sales'!D26))</x:f>
        <x:v>Pens</x:v>
      </x:c>
      <x:c r="E26" s="8" t="n">
        <x:f>IFERROR(VALUE('Raw Sales'!E26),"")</x:f>
        <x:v>4</x:v>
      </x:c>
      <x:c r="F26" s="9" t="n">
        <x:v>448</x:v>
      </x:c>
      <x:c r="G26" s="10" t="n">
        <x:f>IFERROR(IF(OR(MID(TRIM('Raw Sales'!G26),5,1)="-",MID(TRIM('Raw Sales'!G26),5,1)="/"),DATE(VALUE(LEFT(TRIM('Raw Sales'!G26),4)),VALUE(MID(TRIM('Raw Sales'!G26),6,2)),VALUE(RIGHT(TRIM('Raw Sales'!G26),2))),IF(LEN(TRIM('Raw Sales'!G26))=10,DATE(VALUE(RIGHT(TRIM('Raw Sales'!G26),4)),VALUE(MID(TRIM('Raw Sales'!G26),4,2)),VALUE(LEFT(TRIM('Raw Sales'!G26),2))),IF(LEN(TRIM('Raw Sales'!G26))=8,DATE(2000+VALUE(RIGHT(TRIM('Raw Sales'!G26),2)),VALUE(MID(TRIM('Raw Sales'!G26),4,2)),VALUE(LEFT(TRIM('Raw Sales'!G26),2))),""))),"")</x:f>
        <x:v>46196</x:v>
      </x:c>
      <x:c r="H26" t="str">
        <x:f>IF(TRIM('Raw Sales'!H26)="","Missing",PROPER(TRIM('Raw Sales'!H26)))</x:f>
        <x:v>Thabo Ndlovu</x:v>
      </x:c>
      <x:c r="I26" t="str">
        <x:f>IF(OR(UPPER(TRIM('Raw Sales'!I26))="PAID",UPPER(TRIM('Raw Sales'!I26))="SETTLED",UPPER(TRIM('Raw Sales'!I26))="COMPLETE"),"Paid",IF(UPPER(TRIM('Raw Sales'!I26))="PENDING","Pending","Review"))</x:f>
        <x:v>Paid</x:v>
      </x:c>
      <x:c r="J26" t="str">
        <x:f>IF(A26="","Missing",IF(COUNTIF($A$6:A26,A26)&gt;1,"Duplicate","Unique"))</x:f>
        <x:v>Unique</x:v>
      </x:c>
      <x:c r="K26" s="11" t="n">
        <x:f>IF(A26="",1,0)+IF(B26="",1,0)+IF(C26="Review",1,0)+IF(D26="",1,0)+IF(OR(E26="",E26&lt;=0),1,0)+IF(OR(F26="",F26&lt;=0),1,0)+IF(G26="",1,0)+IF(H26="Missing",1,0)+IF(I26="Review",1,0)+IF(J26="Duplicate",1,0)</x:f>
        <x:v>0</x:v>
      </x:c>
      <x:c r="L26" s="12" t="str">
        <x:f>IF(A26="","Missing order ID; ","")&amp;IF(B26="","Missing school; ","")&amp;IF(C26="Review","Unmapped region; ","")&amp;IF(D26="","Missing product; ","")&amp;IF(OR(E26="",E26&lt;=0),"Invalid units; ","")&amp;IF(OR(F26="",F26&lt;=0),"Invalid amount; ","")&amp;IF(G26="","Invalid date; ","")&amp;IF(H26="Missing","Missing sales rep; ","")&amp;IF(I26="Review","Unmapped payment status; ","")&amp;IF(J26="Duplicate","Duplicate ID; ","")</x:f>
      </x:c>
      <x:c r="M26" t="str">
        <x:f>IF(K26=0,"Ready","Review")</x:f>
        <x:v>Ready</x:v>
      </x:c>
    </x:row>
    <x:row r="27">
      <x:c r="A27" t="str">
        <x:f>UPPER(TRIM('Raw Sales'!A27))</x:f>
        <x:v>SAL-26-0022</x:v>
      </x:c>
      <x:c r="B27" t="str">
        <x:f>PROPER(TRIM('Raw Sales'!B27))</x:f>
        <x:v>Maple Secondary</x:v>
      </x:c>
      <x:c r="C27" t="str">
        <x:f>IF(OR(UPPER(TRIM('Raw Sales'!C27))="BOCHUM",UPPER(TRIM('Raw Sales'!C27))="BOCHUM REGION"),"Bochum",IF(OR(UPPER(TRIM('Raw Sales'!C27))="ELDORADO",UPPER(TRIM('Raw Sales'!C27))="ELDOS"),"Eldorado","Review"))</x:f>
        <x:v>Eldorado</x:v>
      </x:c>
      <x:c r="D27" t="str">
        <x:f>PROPER(TRIM('Raw Sales'!D27))</x:f>
        <x:v>Glue Sticks</x:v>
      </x:c>
      <x:c r="E27" s="8" t="n">
        <x:f>IFERROR(VALUE('Raw Sales'!E27),"")</x:f>
        <x:v>11</x:v>
      </x:c>
      <x:c r="F27" s="9" t="n">
        <x:v>1375</x:v>
      </x:c>
      <x:c r="G27" s="10" t="n">
        <x:f>IFERROR(IF(OR(MID(TRIM('Raw Sales'!G27),5,1)="-",MID(TRIM('Raw Sales'!G27),5,1)="/"),DATE(VALUE(LEFT(TRIM('Raw Sales'!G27),4)),VALUE(MID(TRIM('Raw Sales'!G27),6,2)),VALUE(RIGHT(TRIM('Raw Sales'!G27),2))),IF(LEN(TRIM('Raw Sales'!G27))=10,DATE(VALUE(RIGHT(TRIM('Raw Sales'!G27),4)),VALUE(MID(TRIM('Raw Sales'!G27),4,2)),VALUE(LEFT(TRIM('Raw Sales'!G27),2))),IF(LEN(TRIM('Raw Sales'!G27))=8,DATE(2000+VALUE(RIGHT(TRIM('Raw Sales'!G27),2)),VALUE(MID(TRIM('Raw Sales'!G27),4,2)),VALUE(LEFT(TRIM('Raw Sales'!G27),2))),""))),"")</x:f>
        <x:v>46227</x:v>
      </x:c>
      <x:c r="H27" t="str">
        <x:f>IF(TRIM('Raw Sales'!H27)="","Missing",PROPER(TRIM('Raw Sales'!H27)))</x:f>
        <x:v>Lebo Nkosi</x:v>
      </x:c>
      <x:c r="I27" t="str">
        <x:f>IF(OR(UPPER(TRIM('Raw Sales'!I27))="PAID",UPPER(TRIM('Raw Sales'!I27))="SETTLED",UPPER(TRIM('Raw Sales'!I27))="COMPLETE"),"Paid",IF(UPPER(TRIM('Raw Sales'!I27))="PENDING","Pending","Review"))</x:f>
        <x:v>Pending</x:v>
      </x:c>
      <x:c r="J27" t="str">
        <x:f>IF(A27="","Missing",IF(COUNTIF($A$6:A27,A27)&gt;1,"Duplicate","Unique"))</x:f>
        <x:v>Unique</x:v>
      </x:c>
      <x:c r="K27" s="11" t="n">
        <x:f>IF(A27="",1,0)+IF(B27="",1,0)+IF(C27="Review",1,0)+IF(D27="",1,0)+IF(OR(E27="",E27&lt;=0),1,0)+IF(OR(F27="",F27&lt;=0),1,0)+IF(G27="",1,0)+IF(H27="Missing",1,0)+IF(I27="Review",1,0)+IF(J27="Duplicate",1,0)</x:f>
        <x:v>0</x:v>
      </x:c>
      <x:c r="L27" s="12" t="str">
        <x:f>IF(A27="","Missing order ID; ","")&amp;IF(B27="","Missing school; ","")&amp;IF(C27="Review","Unmapped region; ","")&amp;IF(D27="","Missing product; ","")&amp;IF(OR(E27="",E27&lt;=0),"Invalid units; ","")&amp;IF(OR(F27="",F27&lt;=0),"Invalid amount; ","")&amp;IF(G27="","Invalid date; ","")&amp;IF(H27="Missing","Missing sales rep; ","")&amp;IF(I27="Review","Unmapped payment status; ","")&amp;IF(J27="Duplicate","Duplicate ID; ","")</x:f>
      </x:c>
      <x:c r="M27" t="str">
        <x:f>IF(K27=0,"Ready","Review")</x:f>
        <x:v>Ready</x:v>
      </x:c>
    </x:row>
    <x:row r="28">
      <x:c r="A28" t="str">
        <x:f>UPPER(TRIM('Raw Sales'!A28))</x:f>
        <x:v>SAL-26-0023</x:v>
      </x:c>
      <x:c r="B28" t="str">
        <x:f>PROPER(TRIM('Raw Sales'!B28))</x:f>
        <x:v>Pinecrest School</x:v>
      </x:c>
      <x:c r="C28" t="str">
        <x:f>IF(OR(UPPER(TRIM('Raw Sales'!C28))="BOCHUM",UPPER(TRIM('Raw Sales'!C28))="BOCHUM REGION"),"Bochum",IF(OR(UPPER(TRIM('Raw Sales'!C28))="ELDORADO",UPPER(TRIM('Raw Sales'!C28))="ELDOS"),"Eldorado","Review"))</x:f>
        <x:v>Bochum</x:v>
      </x:c>
      <x:c r="D28" t="str">
        <x:f>PROPER(TRIM('Raw Sales'!D28))</x:f>
        <x:v>Markers</x:v>
      </x:c>
      <x:c r="E28" s="8" t="n">
        <x:f>IFERROR(VALUE('Raw Sales'!E28),"")</x:f>
        <x:v>18</x:v>
      </x:c>
      <x:c r="F28" s="9" t="n">
        <x:v>2484</x:v>
      </x:c>
      <x:c r="G28" s="10" t="n">
        <x:f>IFERROR(IF(OR(MID(TRIM('Raw Sales'!G28),5,1)="-",MID(TRIM('Raw Sales'!G28),5,1)="/"),DATE(VALUE(LEFT(TRIM('Raw Sales'!G28),4)),VALUE(MID(TRIM('Raw Sales'!G28),6,2)),VALUE(RIGHT(TRIM('Raw Sales'!G28),2))),IF(LEN(TRIM('Raw Sales'!G28))=10,DATE(VALUE(RIGHT(TRIM('Raw Sales'!G28),4)),VALUE(MID(TRIM('Raw Sales'!G28),4,2)),VALUE(LEFT(TRIM('Raw Sales'!G28),2))),IF(LEN(TRIM('Raw Sales'!G28))=8,DATE(2000+VALUE(RIGHT(TRIM('Raw Sales'!G28),2)),VALUE(MID(TRIM('Raw Sales'!G28),4,2)),VALUE(LEFT(TRIM('Raw Sales'!G28),2))),""))),"")</x:f>
        <x:v>46259</x:v>
      </x:c>
      <x:c r="H28" t="str">
        <x:f>IF(TRIM('Raw Sales'!H28)="","Missing",PROPER(TRIM('Raw Sales'!H28)))</x:f>
        <x:v>Missing</x:v>
      </x:c>
      <x:c r="I28" t="str">
        <x:f>IF(OR(UPPER(TRIM('Raw Sales'!I28))="PAID",UPPER(TRIM('Raw Sales'!I28))="SETTLED",UPPER(TRIM('Raw Sales'!I28))="COMPLETE"),"Paid",IF(UPPER(TRIM('Raw Sales'!I28))="PENDING","Pending","Review"))</x:f>
        <x:v>Paid</x:v>
      </x:c>
      <x:c r="J28" t="str">
        <x:f>IF(A28="","Missing",IF(COUNTIF($A$6:A28,A28)&gt;1,"Duplicate","Unique"))</x:f>
        <x:v>Unique</x:v>
      </x:c>
      <x:c r="K28" s="11" t="n">
        <x:f>IF(A28="",1,0)+IF(B28="",1,0)+IF(C28="Review",1,0)+IF(D28="",1,0)+IF(OR(E28="",E28&lt;=0),1,0)+IF(OR(F28="",F28&lt;=0),1,0)+IF(G28="",1,0)+IF(H28="Missing",1,0)+IF(I28="Review",1,0)+IF(J28="Duplicate",1,0)</x:f>
        <x:v>1</x:v>
      </x:c>
      <x:c r="L28" s="12" t="str">
        <x:f>IF(A28="","Missing order ID; ","")&amp;IF(B28="","Missing school; ","")&amp;IF(C28="Review","Unmapped region; ","")&amp;IF(D28="","Missing product; ","")&amp;IF(OR(E28="",E28&lt;=0),"Invalid units; ","")&amp;IF(OR(F28="",F28&lt;=0),"Invalid amount; ","")&amp;IF(G28="","Invalid date; ","")&amp;IF(H28="Missing","Missing sales rep; ","")&amp;IF(I28="Review","Unmapped payment status; ","")&amp;IF(J28="Duplicate","Duplicate ID; ","")</x:f>
        <x:v>Missing sales rep; </x:v>
      </x:c>
      <x:c r="M28" t="str">
        <x:f>IF(K28=0,"Ready","Review")</x:f>
        <x:v>Review</x:v>
      </x:c>
    </x:row>
    <x:row r="29">
      <x:c r="A29" t="str">
        <x:f>UPPER(TRIM('Raw Sales'!A29))</x:f>
        <x:v>SAL-26-0024</x:v>
      </x:c>
      <x:c r="B29" t="str">
        <x:f>PROPER(TRIM('Raw Sales'!B29))</x:f>
        <x:v>Northstar Academy</x:v>
      </x:c>
      <x:c r="C29" t="str">
        <x:f>IF(OR(UPPER(TRIM('Raw Sales'!C29))="BOCHUM",UPPER(TRIM('Raw Sales'!C29))="BOCHUM REGION"),"Bochum",IF(OR(UPPER(TRIM('Raw Sales'!C29))="ELDORADO",UPPER(TRIM('Raw Sales'!C29))="ELDOS"),"Eldorado","Review"))</x:f>
        <x:v>Bochum</x:v>
      </x:c>
      <x:c r="D29" t="str">
        <x:f>PROPER(TRIM('Raw Sales'!D29))</x:f>
        <x:v>Notebooks</x:v>
      </x:c>
      <x:c r="E29" s="8" t="n">
        <x:f>IFERROR(VALUE('Raw Sales'!E29),"")</x:f>
        <x:v>25</x:v>
      </x:c>
      <x:c r="F29" s="9" t="n">
        <x:v>3775</x:v>
      </x:c>
      <x:c r="G29" s="10" t="n">
        <x:f>IFERROR(IF(OR(MID(TRIM('Raw Sales'!G29),5,1)="-",MID(TRIM('Raw Sales'!G29),5,1)="/"),DATE(VALUE(LEFT(TRIM('Raw Sales'!G29),4)),VALUE(MID(TRIM('Raw Sales'!G29),6,2)),VALUE(RIGHT(TRIM('Raw Sales'!G29),2))),IF(LEN(TRIM('Raw Sales'!G29))=10,DATE(VALUE(RIGHT(TRIM('Raw Sales'!G29),4)),VALUE(MID(TRIM('Raw Sales'!G29),4,2)),VALUE(LEFT(TRIM('Raw Sales'!G29),2))),IF(LEN(TRIM('Raw Sales'!G29))=8,DATE(2000+VALUE(RIGHT(TRIM('Raw Sales'!G29),2)),VALUE(MID(TRIM('Raw Sales'!G29),4,2)),VALUE(LEFT(TRIM('Raw Sales'!G29),2))),""))),"")</x:f>
        <x:v>46048</x:v>
      </x:c>
      <x:c r="H29" t="str">
        <x:f>IF(TRIM('Raw Sales'!H29)="","Missing",PROPER(TRIM('Raw Sales'!H29)))</x:f>
        <x:v>Lebo Nkosi</x:v>
      </x:c>
      <x:c r="I29" t="str">
        <x:f>IF(OR(UPPER(TRIM('Raw Sales'!I29))="PAID",UPPER(TRIM('Raw Sales'!I29))="SETTLED",UPPER(TRIM('Raw Sales'!I29))="COMPLETE"),"Paid",IF(UPPER(TRIM('Raw Sales'!I29))="PENDING","Pending","Review"))</x:f>
        <x:v>Paid</x:v>
      </x:c>
      <x:c r="J29" t="str">
        <x:f>IF(A29="","Missing",IF(COUNTIF($A$6:A29,A29)&gt;1,"Duplicate","Unique"))</x:f>
        <x:v>Unique</x:v>
      </x:c>
      <x:c r="K29" s="11" t="n">
        <x:f>IF(A29="",1,0)+IF(B29="",1,0)+IF(C29="Review",1,0)+IF(D29="",1,0)+IF(OR(E29="",E29&lt;=0),1,0)+IF(OR(F29="",F29&lt;=0),1,0)+IF(G29="",1,0)+IF(H29="Missing",1,0)+IF(I29="Review",1,0)+IF(J29="Duplicate",1,0)</x:f>
        <x:v>0</x:v>
      </x:c>
      <x:c r="L29" s="12" t="str">
        <x:f>IF(A29="","Missing order ID; ","")&amp;IF(B29="","Missing school; ","")&amp;IF(C29="Review","Unmapped region; ","")&amp;IF(D29="","Missing product; ","")&amp;IF(OR(E29="",E29&lt;=0),"Invalid units; ","")&amp;IF(OR(F29="",F29&lt;=0),"Invalid amount; ","")&amp;IF(G29="","Invalid date; ","")&amp;IF(H29="Missing","Missing sales rep; ","")&amp;IF(I29="Review","Unmapped payment status; ","")&amp;IF(J29="Duplicate","Duplicate ID; ","")</x:f>
      </x:c>
      <x:c r="M29" t="str">
        <x:f>IF(K29=0,"Ready","Review")</x:f>
        <x:v>Ready</x:v>
      </x:c>
    </x:row>
    <x:row r="30">
      <x:c r="A30" t="str">
        <x:f>UPPER(TRIM('Raw Sales'!A30))</x:f>
        <x:v>SAL-26-0025</x:v>
      </x:c>
      <x:c r="B30" t="str">
        <x:f>PROPER(TRIM('Raw Sales'!B30))</x:f>
        <x:v>Crescent Primary</x:v>
      </x:c>
      <x:c r="C30" t="str">
        <x:f>IF(OR(UPPER(TRIM('Raw Sales'!C30))="BOCHUM",UPPER(TRIM('Raw Sales'!C30))="BOCHUM REGION"),"Bochum",IF(OR(UPPER(TRIM('Raw Sales'!C30))="ELDORADO",UPPER(TRIM('Raw Sales'!C30))="ELDOS"),"Eldorado","Review"))</x:f>
        <x:v>Eldorado</x:v>
      </x:c>
      <x:c r="D30" t="str">
        <x:f>PROPER(TRIM('Raw Sales'!D30))</x:f>
        <x:v>Rulers</x:v>
      </x:c>
      <x:c r="E30" s="8" t="n">
        <x:f>IFERROR(VALUE('Raw Sales'!E30),"")</x:f>
        <x:v>32</x:v>
      </x:c>
      <x:c r="F30" s="9" t="n">
        <x:v>5248</x:v>
      </x:c>
      <x:c r="G30" s="10" t="n">
        <x:f>IFERROR(IF(OR(MID(TRIM('Raw Sales'!G30),5,1)="-",MID(TRIM('Raw Sales'!G30),5,1)="/"),DATE(VALUE(LEFT(TRIM('Raw Sales'!G30),4)),VALUE(MID(TRIM('Raw Sales'!G30),6,2)),VALUE(RIGHT(TRIM('Raw Sales'!G30),2))),IF(LEN(TRIM('Raw Sales'!G30))=10,DATE(VALUE(RIGHT(TRIM('Raw Sales'!G30),4)),VALUE(MID(TRIM('Raw Sales'!G30),4,2)),VALUE(LEFT(TRIM('Raw Sales'!G30),2))),IF(LEN(TRIM('Raw Sales'!G30))=8,DATE(2000+VALUE(RIGHT(TRIM('Raw Sales'!G30),2)),VALUE(MID(TRIM('Raw Sales'!G30),4,2)),VALUE(LEFT(TRIM('Raw Sales'!G30),2))),""))),"")</x:f>
        <x:v>46055</x:v>
      </x:c>
      <x:c r="H30" t="str">
        <x:f>IF(TRIM('Raw Sales'!H30)="","Missing",PROPER(TRIM('Raw Sales'!H30)))</x:f>
        <x:v>Thabo Ndlovu</x:v>
      </x:c>
      <x:c r="I30" t="str">
        <x:f>IF(OR(UPPER(TRIM('Raw Sales'!I30))="PAID",UPPER(TRIM('Raw Sales'!I30))="SETTLED",UPPER(TRIM('Raw Sales'!I30))="COMPLETE"),"Paid",IF(UPPER(TRIM('Raw Sales'!I30))="PENDING","Pending","Review"))</x:f>
        <x:v>Pending</x:v>
      </x:c>
      <x:c r="J30" t="str">
        <x:f>IF(A30="","Missing",IF(COUNTIF($A$6:A30,A30)&gt;1,"Duplicate","Unique"))</x:f>
        <x:v>Unique</x:v>
      </x:c>
      <x:c r="K30" s="11" t="n">
        <x:f>IF(A30="",1,0)+IF(B30="",1,0)+IF(C30="Review",1,0)+IF(D30="",1,0)+IF(OR(E30="",E30&lt;=0),1,0)+IF(OR(F30="",F30&lt;=0),1,0)+IF(G30="",1,0)+IF(H30="Missing",1,0)+IF(I30="Review",1,0)+IF(J30="Duplicate",1,0)</x:f>
        <x:v>0</x:v>
      </x:c>
      <x:c r="L30" s="12" t="str">
        <x:f>IF(A30="","Missing order ID; ","")&amp;IF(B30="","Missing school; ","")&amp;IF(C30="Review","Unmapped region; ","")&amp;IF(D30="","Missing product; ","")&amp;IF(OR(E30="",E30&lt;=0),"Invalid units; ","")&amp;IF(OR(F30="",F30&lt;=0),"Invalid amount; ","")&amp;IF(G30="","Invalid date; ","")&amp;IF(H30="Missing","Missing sales rep; ","")&amp;IF(I30="Review","Unmapped payment status; ","")&amp;IF(J30="Duplicate","Duplicate ID; ","")</x:f>
      </x:c>
      <x:c r="M30" t="str">
        <x:f>IF(K30=0,"Ready","Review")</x:f>
        <x:v>Ready</x:v>
      </x:c>
    </x:row>
    <x:row r="31">
      <x:c r="A31" t="str">
        <x:f>UPPER(TRIM('Raw Sales'!A31))</x:f>
        <x:v>SAL-26-0026</x:v>
      </x:c>
      <x:c r="B31" t="str">
        <x:f>PROPER(TRIM('Raw Sales'!B31))</x:f>
        <x:v>Hillview Primary</x:v>
      </x:c>
      <x:c r="C31" t="str">
        <x:f>IF(OR(UPPER(TRIM('Raw Sales'!C31))="BOCHUM",UPPER(TRIM('Raw Sales'!C31))="BOCHUM REGION"),"Bochum",IF(OR(UPPER(TRIM('Raw Sales'!C31))="ELDORADO",UPPER(TRIM('Raw Sales'!C31))="ELDOS"),"Eldorado","Review"))</x:f>
        <x:v>Bochum</x:v>
      </x:c>
      <x:c r="D31" t="str">
        <x:f>PROPER(TRIM('Raw Sales'!D31))</x:f>
        <x:v>Exercise Books</x:v>
      </x:c>
      <x:c r="E31" s="8" t="n">
        <x:f>IFERROR(VALUE('Raw Sales'!E31),"")</x:f>
        <x:v>3</x:v>
      </x:c>
      <x:c r="F31" s="9" t="n">
        <x:v>531</x:v>
      </x:c>
      <x:c r="G31" s="10" t="n">
        <x:f>IFERROR(IF(OR(MID(TRIM('Raw Sales'!G31),5,1)="-",MID(TRIM('Raw Sales'!G31),5,1)="/"),DATE(VALUE(LEFT(TRIM('Raw Sales'!G31),4)),VALUE(MID(TRIM('Raw Sales'!G31),6,2)),VALUE(RIGHT(TRIM('Raw Sales'!G31),2))),IF(LEN(TRIM('Raw Sales'!G31))=10,DATE(VALUE(RIGHT(TRIM('Raw Sales'!G31),4)),VALUE(MID(TRIM('Raw Sales'!G31),4,2)),VALUE(LEFT(TRIM('Raw Sales'!G31),2))),IF(LEN(TRIM('Raw Sales'!G31))=8,DATE(2000+VALUE(RIGHT(TRIM('Raw Sales'!G31),2)),VALUE(MID(TRIM('Raw Sales'!G31),4,2)),VALUE(LEFT(TRIM('Raw Sales'!G31),2))),""))),"")</x:f>
        <x:v>46084</x:v>
      </x:c>
      <x:c r="H31" t="str">
        <x:f>IF(TRIM('Raw Sales'!H31)="","Missing",PROPER(TRIM('Raw Sales'!H31)))</x:f>
        <x:v>Lebo Nkosi</x:v>
      </x:c>
      <x:c r="I31" t="str">
        <x:f>IF(OR(UPPER(TRIM('Raw Sales'!I31))="PAID",UPPER(TRIM('Raw Sales'!I31))="SETTLED",UPPER(TRIM('Raw Sales'!I31))="COMPLETE"),"Paid",IF(UPPER(TRIM('Raw Sales'!I31))="PENDING","Pending","Review"))</x:f>
        <x:v>Paid</x:v>
      </x:c>
      <x:c r="J31" t="str">
        <x:f>IF(A31="","Missing",IF(COUNTIF($A$6:A31,A31)&gt;1,"Duplicate","Unique"))</x:f>
        <x:v>Unique</x:v>
      </x:c>
      <x:c r="K31" s="11" t="n">
        <x:f>IF(A31="",1,0)+IF(B31="",1,0)+IF(C31="Review",1,0)+IF(D31="",1,0)+IF(OR(E31="",E31&lt;=0),1,0)+IF(OR(F31="",F31&lt;=0),1,0)+IF(G31="",1,0)+IF(H31="Missing",1,0)+IF(I31="Review",1,0)+IF(J31="Duplicate",1,0)</x:f>
        <x:v>0</x:v>
      </x:c>
      <x:c r="L31" s="12" t="str">
        <x:f>IF(A31="","Missing order ID; ","")&amp;IF(B31="","Missing school; ","")&amp;IF(C31="Review","Unmapped region; ","")&amp;IF(D31="","Missing product; ","")&amp;IF(OR(E31="",E31&lt;=0),"Invalid units; ","")&amp;IF(OR(F31="",F31&lt;=0),"Invalid amount; ","")&amp;IF(G31="","Invalid date; ","")&amp;IF(H31="Missing","Missing sales rep; ","")&amp;IF(I31="Review","Unmapped payment status; ","")&amp;IF(J31="Duplicate","Duplicate ID; ","")</x:f>
      </x:c>
      <x:c r="M31" t="str">
        <x:f>IF(K31=0,"Ready","Review")</x:f>
        <x:v>Ready</x:v>
      </x:c>
    </x:row>
    <x:row r="32">
      <x:c r="A32" t="str">
        <x:f>UPPER(TRIM('Raw Sales'!A32))</x:f>
        <x:v>SAL-26-0027</x:v>
      </x:c>
      <x:c r="B32" t="str">
        <x:f>PROPER(TRIM('Raw Sales'!B32))</x:f>
        <x:v>Eastwood Academy</x:v>
      </x:c>
      <x:c r="C32" t="str">
        <x:f>IF(OR(UPPER(TRIM('Raw Sales'!C32))="BOCHUM",UPPER(TRIM('Raw Sales'!C32))="BOCHUM REGION"),"Bochum",IF(OR(UPPER(TRIM('Raw Sales'!C32))="ELDORADO",UPPER(TRIM('Raw Sales'!C32))="ELDOS"),"Eldorado","Review"))</x:f>
        <x:v>Eldorado</x:v>
      </x:c>
      <x:c r="D32" t="str">
        <x:f>PROPER(TRIM('Raw Sales'!D32))</x:f>
        <x:v>Pencils</x:v>
      </x:c>
      <x:c r="E32" s="8" t="n">
        <x:f>IFERROR(VALUE('Raw Sales'!E32),"")</x:f>
        <x:v>10</x:v>
      </x:c>
      <x:c r="F32" s="9" t="n">
        <x:v>1900</x:v>
      </x:c>
      <x:c r="G32" s="10" t="n">
        <x:f>IFERROR(IF(OR(MID(TRIM('Raw Sales'!G32),5,1)="-",MID(TRIM('Raw Sales'!G32),5,1)="/"),DATE(VALUE(LEFT(TRIM('Raw Sales'!G32),4)),VALUE(MID(TRIM('Raw Sales'!G32),6,2)),VALUE(RIGHT(TRIM('Raw Sales'!G32),2))),IF(LEN(TRIM('Raw Sales'!G32))=10,DATE(VALUE(RIGHT(TRIM('Raw Sales'!G32),4)),VALUE(MID(TRIM('Raw Sales'!G32),4,2)),VALUE(LEFT(TRIM('Raw Sales'!G32),2))),IF(LEN(TRIM('Raw Sales'!G32))=8,DATE(2000+VALUE(RIGHT(TRIM('Raw Sales'!G32),2)),VALUE(MID(TRIM('Raw Sales'!G32),4,2)),VALUE(LEFT(TRIM('Raw Sales'!G32),2))),""))),"")</x:f>
        <x:v>46116</x:v>
      </x:c>
      <x:c r="H32" t="str">
        <x:f>IF(TRIM('Raw Sales'!H32)="","Missing",PROPER(TRIM('Raw Sales'!H32)))</x:f>
        <x:v>Thabo Ndlovu</x:v>
      </x:c>
      <x:c r="I32" t="str">
        <x:f>IF(OR(UPPER(TRIM('Raw Sales'!I32))="PAID",UPPER(TRIM('Raw Sales'!I32))="SETTLED",UPPER(TRIM('Raw Sales'!I32))="COMPLETE"),"Paid",IF(UPPER(TRIM('Raw Sales'!I32))="PENDING","Pending","Review"))</x:f>
        <x:v>Pending</x:v>
      </x:c>
      <x:c r="J32" t="str">
        <x:f>IF(A32="","Missing",IF(COUNTIF($A$6:A32,A32)&gt;1,"Duplicate","Unique"))</x:f>
        <x:v>Unique</x:v>
      </x:c>
      <x:c r="K32" s="11" t="n">
        <x:f>IF(A32="",1,0)+IF(B32="",1,0)+IF(C32="Review",1,0)+IF(D32="",1,0)+IF(OR(E32="",E32&lt;=0),1,0)+IF(OR(F32="",F32&lt;=0),1,0)+IF(G32="",1,0)+IF(H32="Missing",1,0)+IF(I32="Review",1,0)+IF(J32="Duplicate",1,0)</x:f>
        <x:v>0</x:v>
      </x:c>
      <x:c r="L32" s="12" t="str">
        <x:f>IF(A32="","Missing order ID; ","")&amp;IF(B32="","Missing school; ","")&amp;IF(C32="Review","Unmapped region; ","")&amp;IF(D32="","Missing product; ","")&amp;IF(OR(E32="",E32&lt;=0),"Invalid units; ","")&amp;IF(OR(F32="",F32&lt;=0),"Invalid amount; ","")&amp;IF(G32="","Invalid date; ","")&amp;IF(H32="Missing","Missing sales rep; ","")&amp;IF(I32="Review","Unmapped payment status; ","")&amp;IF(J32="Duplicate","Duplicate ID; ","")</x:f>
      </x:c>
      <x:c r="M32" t="str">
        <x:f>IF(K32=0,"Ready","Review")</x:f>
        <x:v>Ready</x:v>
      </x:c>
    </x:row>
    <x:row r="33">
      <x:c r="A33" t="str">
        <x:f>UPPER(TRIM('Raw Sales'!A33))</x:f>
        <x:v>SAL-26-0028</x:v>
      </x:c>
      <x:c r="B33" t="str">
        <x:f>PROPER(TRIM('Raw Sales'!B33))</x:f>
        <x:v>Lakeside School</x:v>
      </x:c>
      <x:c r="C33" t="str">
        <x:f>IF(OR(UPPER(TRIM('Raw Sales'!C33))="BOCHUM",UPPER(TRIM('Raw Sales'!C33))="BOCHUM REGION"),"Bochum",IF(OR(UPPER(TRIM('Raw Sales'!C33))="ELDORADO",UPPER(TRIM('Raw Sales'!C33))="ELDOS"),"Eldorado","Review"))</x:f>
        <x:v>Bochum</x:v>
      </x:c>
      <x:c r="D33" t="str">
        <x:f>PROPER(TRIM('Raw Sales'!D33))</x:f>
        <x:v>Folders</x:v>
      </x:c>
      <x:c r="E33" s="8" t="n">
        <x:f>IFERROR(VALUE('Raw Sales'!E33),"")</x:f>
        <x:v>17</x:v>
      </x:c>
      <x:c r="F33" s="9" t="n">
        <x:v>374</x:v>
      </x:c>
      <x:c r="G33" s="10" t="n">
        <x:f>IFERROR(IF(OR(MID(TRIM('Raw Sales'!G33),5,1)="-",MID(TRIM('Raw Sales'!G33),5,1)="/"),DATE(VALUE(LEFT(TRIM('Raw Sales'!G33),4)),VALUE(MID(TRIM('Raw Sales'!G33),6,2)),VALUE(RIGHT(TRIM('Raw Sales'!G33),2))),IF(LEN(TRIM('Raw Sales'!G33))=10,DATE(VALUE(RIGHT(TRIM('Raw Sales'!G33),4)),VALUE(MID(TRIM('Raw Sales'!G33),4,2)),VALUE(LEFT(TRIM('Raw Sales'!G33),2))),IF(LEN(TRIM('Raw Sales'!G33))=8,DATE(2000+VALUE(RIGHT(TRIM('Raw Sales'!G33),2)),VALUE(MID(TRIM('Raw Sales'!G33),4,2)),VALUE(LEFT(TRIM('Raw Sales'!G33),2))),""))),"")</x:f>
        <x:v>46147</x:v>
      </x:c>
      <x:c r="H33" t="str">
        <x:f>IF(TRIM('Raw Sales'!H33)="","Missing",PROPER(TRIM('Raw Sales'!H33)))</x:f>
        <x:v>Lebo Nkosi</x:v>
      </x:c>
      <x:c r="I33" t="str">
        <x:f>IF(OR(UPPER(TRIM('Raw Sales'!I33))="PAID",UPPER(TRIM('Raw Sales'!I33))="SETTLED",UPPER(TRIM('Raw Sales'!I33))="COMPLETE"),"Paid",IF(UPPER(TRIM('Raw Sales'!I33))="PENDING","Pending","Review"))</x:f>
        <x:v>Pending</x:v>
      </x:c>
      <x:c r="J33" t="str">
        <x:f>IF(A33="","Missing",IF(COUNTIF($A$6:A33,A33)&gt;1,"Duplicate","Unique"))</x:f>
        <x:v>Unique</x:v>
      </x:c>
      <x:c r="K33" s="11" t="n">
        <x:f>IF(A33="",1,0)+IF(B33="",1,0)+IF(C33="Review",1,0)+IF(D33="",1,0)+IF(OR(E33="",E33&lt;=0),1,0)+IF(OR(F33="",F33&lt;=0),1,0)+IF(G33="",1,0)+IF(H33="Missing",1,0)+IF(I33="Review",1,0)+IF(J33="Duplicate",1,0)</x:f>
        <x:v>0</x:v>
      </x:c>
      <x:c r="L33" s="12" t="str">
        <x:f>IF(A33="","Missing order ID; ","")&amp;IF(B33="","Missing school; ","")&amp;IF(C33="Review","Unmapped region; ","")&amp;IF(D33="","Missing product; ","")&amp;IF(OR(E33="",E33&lt;=0),"Invalid units; ","")&amp;IF(OR(F33="",F33&lt;=0),"Invalid amount; ","")&amp;IF(G33="","Invalid date; ","")&amp;IF(H33="Missing","Missing sales rep; ","")&amp;IF(I33="Review","Unmapped payment status; ","")&amp;IF(J33="Duplicate","Duplicate ID; ","")</x:f>
      </x:c>
      <x:c r="M33" t="str">
        <x:f>IF(K33=0,"Ready","Review")</x:f>
        <x:v>Ready</x:v>
      </x:c>
    </x:row>
    <x:row r="34">
      <x:c r="A34" t="str">
        <x:f>UPPER(TRIM('Raw Sales'!A34))</x:f>
        <x:v>SAL-26-0029</x:v>
      </x:c>
      <x:c r="B34" t="str">
        <x:f>PROPER(TRIM('Raw Sales'!B34))</x:f>
        <x:v>Valley Primary</x:v>
      </x:c>
      <x:c r="C34" t="str">
        <x:f>IF(OR(UPPER(TRIM('Raw Sales'!C34))="BOCHUM",UPPER(TRIM('Raw Sales'!C34))="BOCHUM REGION"),"Bochum",IF(OR(UPPER(TRIM('Raw Sales'!C34))="ELDORADO",UPPER(TRIM('Raw Sales'!C34))="ELDOS"),"Eldorado","Review"))</x:f>
        <x:v>Eldorado</x:v>
      </x:c>
      <x:c r="D34" t="str">
        <x:f>PROPER(TRIM('Raw Sales'!D34))</x:f>
        <x:v>Pens</x:v>
      </x:c>
      <x:c r="E34" s="8" t="str">
        <x:f>IFERROR(VALUE('Raw Sales'!E34),"")</x:f>
      </x:c>
      <x:c r="F34" s="9" t="n">
        <x:v>840</x:v>
      </x:c>
      <x:c r="G34" s="10" t="n">
        <x:f>IFERROR(IF(OR(MID(TRIM('Raw Sales'!G34),5,1)="-",MID(TRIM('Raw Sales'!G34),5,1)="/"),DATE(VALUE(LEFT(TRIM('Raw Sales'!G34),4)),VALUE(MID(TRIM('Raw Sales'!G34),6,2)),VALUE(RIGHT(TRIM('Raw Sales'!G34),2))),IF(LEN(TRIM('Raw Sales'!G34))=10,DATE(VALUE(RIGHT(TRIM('Raw Sales'!G34),4)),VALUE(MID(TRIM('Raw Sales'!G34),4,2)),VALUE(LEFT(TRIM('Raw Sales'!G34),2))),IF(LEN(TRIM('Raw Sales'!G34))=8,DATE(2000+VALUE(RIGHT(TRIM('Raw Sales'!G34),2)),VALUE(MID(TRIM('Raw Sales'!G34),4,2)),VALUE(LEFT(TRIM('Raw Sales'!G34),2))),""))),"")</x:f>
        <x:v>46179</x:v>
      </x:c>
      <x:c r="H34" t="str">
        <x:f>IF(TRIM('Raw Sales'!H34)="","Missing",PROPER(TRIM('Raw Sales'!H34)))</x:f>
        <x:v>Thabo Ndlovu</x:v>
      </x:c>
      <x:c r="I34" t="str">
        <x:f>IF(OR(UPPER(TRIM('Raw Sales'!I34))="PAID",UPPER(TRIM('Raw Sales'!I34))="SETTLED",UPPER(TRIM('Raw Sales'!I34))="COMPLETE"),"Paid",IF(UPPER(TRIM('Raw Sales'!I34))="PENDING","Pending","Review"))</x:f>
        <x:v>Paid</x:v>
      </x:c>
      <x:c r="J34" t="str">
        <x:f>IF(A34="","Missing",IF(COUNTIF($A$6:A34,A34)&gt;1,"Duplicate","Unique"))</x:f>
        <x:v>Unique</x:v>
      </x:c>
      <x:c r="K34" s="11" t="n">
        <x:f>IF(A34="",1,0)+IF(B34="",1,0)+IF(C34="Review",1,0)+IF(D34="",1,0)+IF(OR(E34="",E34&lt;=0),1,0)+IF(OR(F34="",F34&lt;=0),1,0)+IF(G34="",1,0)+IF(H34="Missing",1,0)+IF(I34="Review",1,0)+IF(J34="Duplicate",1,0)</x:f>
        <x:v>1</x:v>
      </x:c>
      <x:c r="L34" s="12" t="str">
        <x:f>IF(A34="","Missing order ID; ","")&amp;IF(B34="","Missing school; ","")&amp;IF(C34="Review","Unmapped region; ","")&amp;IF(D34="","Missing product; ","")&amp;IF(OR(E34="",E34&lt;=0),"Invalid units; ","")&amp;IF(OR(F34="",F34&lt;=0),"Invalid amount; ","")&amp;IF(G34="","Invalid date; ","")&amp;IF(H34="Missing","Missing sales rep; ","")&amp;IF(I34="Review","Unmapped payment status; ","")&amp;IF(J34="Duplicate","Duplicate ID; ","")</x:f>
        <x:v>Invalid units; </x:v>
      </x:c>
      <x:c r="M34" t="str">
        <x:f>IF(K34=0,"Ready","Review")</x:f>
        <x:v>Review</x:v>
      </x:c>
    </x:row>
    <x:row r="35">
      <x:c r="A35" t="str">
        <x:f>UPPER(TRIM('Raw Sales'!A35))</x:f>
        <x:v>SAL-26-0030</x:v>
      </x:c>
      <x:c r="B35" t="str">
        <x:f>PROPER(TRIM('Raw Sales'!B35))</x:f>
        <x:v>Mhlabeni Secondary</x:v>
      </x:c>
      <x:c r="C35" t="str">
        <x:f>IF(OR(UPPER(TRIM('Raw Sales'!C35))="BOCHUM",UPPER(TRIM('Raw Sales'!C35))="BOCHUM REGION"),"Bochum",IF(OR(UPPER(TRIM('Raw Sales'!C35))="ELDORADO",UPPER(TRIM('Raw Sales'!C35))="ELDOS"),"Eldorado","Review"))</x:f>
        <x:v>Eldorado</x:v>
      </x:c>
      <x:c r="D35" t="str">
        <x:f>PROPER(TRIM('Raw Sales'!D35))</x:f>
        <x:v>Glue Sticks</x:v>
      </x:c>
      <x:c r="E35" s="8" t="n">
        <x:f>IFERROR(VALUE('Raw Sales'!E35),"")</x:f>
        <x:v>31</x:v>
      </x:c>
      <x:c r="F35" s="9" t="n">
        <x:v>1488</x:v>
      </x:c>
      <x:c r="G35" s="10" t="n">
        <x:f>IFERROR(IF(OR(MID(TRIM('Raw Sales'!G35),5,1)="-",MID(TRIM('Raw Sales'!G35),5,1)="/"),DATE(VALUE(LEFT(TRIM('Raw Sales'!G35),4)),VALUE(MID(TRIM('Raw Sales'!G35),6,2)),VALUE(RIGHT(TRIM('Raw Sales'!G35),2))),IF(LEN(TRIM('Raw Sales'!G35))=10,DATE(VALUE(RIGHT(TRIM('Raw Sales'!G35),4)),VALUE(MID(TRIM('Raw Sales'!G35),4,2)),VALUE(LEFT(TRIM('Raw Sales'!G35),2))),IF(LEN(TRIM('Raw Sales'!G35))=8,DATE(2000+VALUE(RIGHT(TRIM('Raw Sales'!G35),2)),VALUE(MID(TRIM('Raw Sales'!G35),4,2)),VALUE(LEFT(TRIM('Raw Sales'!G35),2))),""))),"")</x:f>
        <x:v>46210</x:v>
      </x:c>
      <x:c r="H35" t="str">
        <x:f>IF(TRIM('Raw Sales'!H35)="","Missing",PROPER(TRIM('Raw Sales'!H35)))</x:f>
        <x:v>Lebo Nkosi</x:v>
      </x:c>
      <x:c r="I35" t="str">
        <x:f>IF(OR(UPPER(TRIM('Raw Sales'!I35))="PAID",UPPER(TRIM('Raw Sales'!I35))="SETTLED",UPPER(TRIM('Raw Sales'!I35))="COMPLETE"),"Paid",IF(UPPER(TRIM('Raw Sales'!I35))="PENDING","Pending","Review"))</x:f>
        <x:v>Paid</x:v>
      </x:c>
      <x:c r="J35" t="str">
        <x:f>IF(A35="","Missing",IF(COUNTIF($A$6:A35,A35)&gt;1,"Duplicate","Unique"))</x:f>
        <x:v>Unique</x:v>
      </x:c>
      <x:c r="K35" s="11" t="n">
        <x:f>IF(A35="",1,0)+IF(B35="",1,0)+IF(C35="Review",1,0)+IF(D35="",1,0)+IF(OR(E35="",E35&lt;=0),1,0)+IF(OR(F35="",F35&lt;=0),1,0)+IF(G35="",1,0)+IF(H35="Missing",1,0)+IF(I35="Review",1,0)+IF(J35="Duplicate",1,0)</x:f>
        <x:v>0</x:v>
      </x:c>
      <x:c r="L35" s="12" t="str">
        <x:f>IF(A35="","Missing order ID; ","")&amp;IF(B35="","Missing school; ","")&amp;IF(C35="Review","Unmapped region; ","")&amp;IF(D35="","Missing product; ","")&amp;IF(OR(E35="",E35&lt;=0),"Invalid units; ","")&amp;IF(OR(F35="",F35&lt;=0),"Invalid amount; ","")&amp;IF(G35="","Invalid date; ","")&amp;IF(H35="Missing","Missing sales rep; ","")&amp;IF(I35="Review","Unmapped payment status; ","")&amp;IF(J35="Duplicate","Duplicate ID; ","")</x:f>
      </x:c>
      <x:c r="M35" t="str">
        <x:f>IF(K35=0,"Ready","Review")</x:f>
        <x:v>Ready</x:v>
      </x:c>
    </x:row>
    <x:row r="36">
      <x:c r="A36" t="str">
        <x:f>UPPER(TRIM('Raw Sales'!A36))</x:f>
        <x:v>SAL-26-0031</x:v>
      </x:c>
      <x:c r="B36" t="str">
        <x:f>PROPER(TRIM('Raw Sales'!B36))</x:f>
        <x:v>Meadowlands School</x:v>
      </x:c>
      <x:c r="C36" t="str">
        <x:f>IF(OR(UPPER(TRIM('Raw Sales'!C36))="BOCHUM",UPPER(TRIM('Raw Sales'!C36))="BOCHUM REGION"),"Bochum",IF(OR(UPPER(TRIM('Raw Sales'!C36))="ELDORADO",UPPER(TRIM('Raw Sales'!C36))="ELDOS"),"Eldorado","Review"))</x:f>
        <x:v>Bochum</x:v>
      </x:c>
      <x:c r="D36" t="str">
        <x:f>PROPER(TRIM('Raw Sales'!D36))</x:f>
        <x:v>Markers</x:v>
      </x:c>
      <x:c r="E36" s="8" t="n">
        <x:f>IFERROR(VALUE('Raw Sales'!E36),"")</x:f>
        <x:v>0</x:v>
      </x:c>
      <x:c r="F36" s="9" t="n">
        <x:v>122</x:v>
      </x:c>
      <x:c r="G36" s="10" t="str">
        <x:f>IFERROR(IF(OR(MID(TRIM('Raw Sales'!G36),5,1)="-",MID(TRIM('Raw Sales'!G36),5,1)="/"),DATE(VALUE(LEFT(TRIM('Raw Sales'!G36),4)),VALUE(MID(TRIM('Raw Sales'!G36),6,2)),VALUE(RIGHT(TRIM('Raw Sales'!G36),2))),IF(LEN(TRIM('Raw Sales'!G36))=10,DATE(VALUE(RIGHT(TRIM('Raw Sales'!G36),4)),VALUE(MID(TRIM('Raw Sales'!G36),4,2)),VALUE(LEFT(TRIM('Raw Sales'!G36),2))),IF(LEN(TRIM('Raw Sales'!G36))=8,DATE(2000+VALUE(RIGHT(TRIM('Raw Sales'!G36),2)),VALUE(MID(TRIM('Raw Sales'!G36),4,2)),VALUE(LEFT(TRIM('Raw Sales'!G36),2))),""))),"")</x:f>
      </x:c>
      <x:c r="H36" t="str">
        <x:f>IF(TRIM('Raw Sales'!H36)="","Missing",PROPER(TRIM('Raw Sales'!H36)))</x:f>
        <x:v>Thabo Ndlovu</x:v>
      </x:c>
      <x:c r="I36" t="str">
        <x:f>IF(OR(UPPER(TRIM('Raw Sales'!I36))="PAID",UPPER(TRIM('Raw Sales'!I36))="SETTLED",UPPER(TRIM('Raw Sales'!I36))="COMPLETE"),"Paid",IF(UPPER(TRIM('Raw Sales'!I36))="PENDING","Pending","Review"))</x:f>
        <x:v>Pending</x:v>
      </x:c>
      <x:c r="J36" t="str">
        <x:f>IF(A36="","Missing",IF(COUNTIF($A$6:A36,A36)&gt;1,"Duplicate","Unique"))</x:f>
        <x:v>Unique</x:v>
      </x:c>
      <x:c r="K36" s="11" t="n">
        <x:f>IF(A36="",1,0)+IF(B36="",1,0)+IF(C36="Review",1,0)+IF(D36="",1,0)+IF(OR(E36="",E36&lt;=0),1,0)+IF(OR(F36="",F36&lt;=0),1,0)+IF(G36="",1,0)+IF(H36="Missing",1,0)+IF(I36="Review",1,0)+IF(J36="Duplicate",1,0)</x:f>
        <x:v>2</x:v>
      </x:c>
      <x:c r="L36" s="12" t="str">
        <x:f>IF(A36="","Missing order ID; ","")&amp;IF(B36="","Missing school; ","")&amp;IF(C36="Review","Unmapped region; ","")&amp;IF(D36="","Missing product; ","")&amp;IF(OR(E36="",E36&lt;=0),"Invalid units; ","")&amp;IF(OR(F36="",F36&lt;=0),"Invalid amount; ","")&amp;IF(G36="","Invalid date; ","")&amp;IF(H36="Missing","Missing sales rep; ","")&amp;IF(I36="Review","Unmapped payment status; ","")&amp;IF(J36="Duplicate","Duplicate ID; ","")</x:f>
        <x:v>Invalid units; Invalid date; </x:v>
      </x:c>
      <x:c r="M36" t="str">
        <x:f>IF(K36=0,"Ready","Review")</x:f>
        <x:v>Review</x:v>
      </x:c>
    </x:row>
    <x:row r="37">
      <x:c r="A37" t="str">
        <x:f>UPPER(TRIM('Raw Sales'!A37))</x:f>
        <x:v>SAL-26-0032</x:v>
      </x:c>
      <x:c r="B37" t="str">
        <x:f>PROPER(TRIM('Raw Sales'!B37))</x:f>
        <x:v>Gardenview School</x:v>
      </x:c>
      <x:c r="C37" t="str">
        <x:f>IF(OR(UPPER(TRIM('Raw Sales'!C37))="BOCHUM",UPPER(TRIM('Raw Sales'!C37))="BOCHUM REGION"),"Bochum",IF(OR(UPPER(TRIM('Raw Sales'!C37))="ELDORADO",UPPER(TRIM('Raw Sales'!C37))="ELDOS"),"Eldorado","Review"))</x:f>
        <x:v>Eldorado</x:v>
      </x:c>
      <x:c r="D37" t="str">
        <x:f>PROPER(TRIM('Raw Sales'!D37))</x:f>
        <x:v>Notebooks</x:v>
      </x:c>
      <x:c r="E37" s="8" t="n">
        <x:f>IFERROR(VALUE('Raw Sales'!E37),"")</x:f>
        <x:v>9</x:v>
      </x:c>
      <x:c r="F37" s="9" t="n">
        <x:v>666</x:v>
      </x:c>
      <x:c r="G37" s="10" t="n">
        <x:f>IFERROR(IF(OR(MID(TRIM('Raw Sales'!G37),5,1)="-",MID(TRIM('Raw Sales'!G37),5,1)="/"),DATE(VALUE(LEFT(TRIM('Raw Sales'!G37),4)),VALUE(MID(TRIM('Raw Sales'!G37),6,2)),VALUE(RIGHT(TRIM('Raw Sales'!G37),2))),IF(LEN(TRIM('Raw Sales'!G37))=10,DATE(VALUE(RIGHT(TRIM('Raw Sales'!G37),4)),VALUE(MID(TRIM('Raw Sales'!G37),4,2)),VALUE(LEFT(TRIM('Raw Sales'!G37),2))),IF(LEN(TRIM('Raw Sales'!G37))=8,DATE(2000+VALUE(RIGHT(TRIM('Raw Sales'!G37),2)),VALUE(MID(TRIM('Raw Sales'!G37),4,2)),VALUE(LEFT(TRIM('Raw Sales'!G37),2))),""))),"")</x:f>
        <x:v>46031</x:v>
      </x:c>
      <x:c r="H37" t="str">
        <x:f>IF(TRIM('Raw Sales'!H37)="","Missing",PROPER(TRIM('Raw Sales'!H37)))</x:f>
        <x:v>Lebo Nkosi</x:v>
      </x:c>
      <x:c r="I37" t="str">
        <x:f>IF(OR(UPPER(TRIM('Raw Sales'!I37))="PAID",UPPER(TRIM('Raw Sales'!I37))="SETTLED",UPPER(TRIM('Raw Sales'!I37))="COMPLETE"),"Paid",IF(UPPER(TRIM('Raw Sales'!I37))="PENDING","Pending","Review"))</x:f>
        <x:v>Paid</x:v>
      </x:c>
      <x:c r="J37" t="str">
        <x:f>IF(A37="","Missing",IF(COUNTIF($A$6:A37,A37)&gt;1,"Duplicate","Unique"))</x:f>
        <x:v>Unique</x:v>
      </x:c>
      <x:c r="K37" s="11" t="n">
        <x:f>IF(A37="",1,0)+IF(B37="",1,0)+IF(C37="Review",1,0)+IF(D37="",1,0)+IF(OR(E37="",E37&lt;=0),1,0)+IF(OR(F37="",F37&lt;=0),1,0)+IF(G37="",1,0)+IF(H37="Missing",1,0)+IF(I37="Review",1,0)+IF(J37="Duplicate",1,0)</x:f>
        <x:v>0</x:v>
      </x:c>
      <x:c r="L37" s="12" t="str">
        <x:f>IF(A37="","Missing order ID; ","")&amp;IF(B37="","Missing school; ","")&amp;IF(C37="Review","Unmapped region; ","")&amp;IF(D37="","Missing product; ","")&amp;IF(OR(E37="",E37&lt;=0),"Invalid units; ","")&amp;IF(OR(F37="",F37&lt;=0),"Invalid amount; ","")&amp;IF(G37="","Invalid date; ","")&amp;IF(H37="Missing","Missing sales rep; ","")&amp;IF(I37="Review","Unmapped payment status; ","")&amp;IF(J37="Duplicate","Duplicate ID; ","")</x:f>
      </x:c>
      <x:c r="M37" t="str">
        <x:f>IF(K37=0,"Ready","Review")</x:f>
        <x:v>Ready</x:v>
      </x:c>
    </x:row>
    <x:row r="38">
      <x:c r="A38" t="str">
        <x:f>UPPER(TRIM('Raw Sales'!A38))</x:f>
        <x:v>SAL-26-0033</x:v>
      </x:c>
      <x:c r="B38" t="str">
        <x:f>PROPER(TRIM('Raw Sales'!B38))</x:f>
        <x:v>Riverside Academy</x:v>
      </x:c>
      <x:c r="C38" t="str">
        <x:f>IF(OR(UPPER(TRIM('Raw Sales'!C38))="BOCHUM",UPPER(TRIM('Raw Sales'!C38))="BOCHUM REGION"),"Bochum",IF(OR(UPPER(TRIM('Raw Sales'!C38))="ELDORADO",UPPER(TRIM('Raw Sales'!C38))="ELDOS"),"Eldorado","Review"))</x:f>
        <x:v>Bochum</x:v>
      </x:c>
      <x:c r="D38" t="str">
        <x:f>PROPER(TRIM('Raw Sales'!D38))</x:f>
        <x:v>Rulers</x:v>
      </x:c>
      <x:c r="E38" s="8" t="n">
        <x:f>IFERROR(VALUE('Raw Sales'!E38),"")</x:f>
        <x:v>16</x:v>
      </x:c>
      <x:c r="F38" s="9" t="n">
        <x:v>1392</x:v>
      </x:c>
      <x:c r="G38" s="10" t="n">
        <x:f>IFERROR(IF(OR(MID(TRIM('Raw Sales'!G38),5,1)="-",MID(TRIM('Raw Sales'!G38),5,1)="/"),DATE(VALUE(LEFT(TRIM('Raw Sales'!G38),4)),VALUE(MID(TRIM('Raw Sales'!G38),6,2)),VALUE(RIGHT(TRIM('Raw Sales'!G38),2))),IF(LEN(TRIM('Raw Sales'!G38))=10,DATE(VALUE(RIGHT(TRIM('Raw Sales'!G38),4)),VALUE(MID(TRIM('Raw Sales'!G38),4,2)),VALUE(LEFT(TRIM('Raw Sales'!G38),2))),IF(LEN(TRIM('Raw Sales'!G38))=8,DATE(2000+VALUE(RIGHT(TRIM('Raw Sales'!G38),2)),VALUE(MID(TRIM('Raw Sales'!G38),4,2)),VALUE(LEFT(TRIM('Raw Sales'!G38),2))),""))),"")</x:f>
        <x:v>46063</x:v>
      </x:c>
      <x:c r="H38" t="str">
        <x:f>IF(TRIM('Raw Sales'!H38)="","Missing",PROPER(TRIM('Raw Sales'!H38)))</x:f>
        <x:v>Thabo Ndlovu</x:v>
      </x:c>
      <x:c r="I38" t="str">
        <x:f>IF(OR(UPPER(TRIM('Raw Sales'!I38))="PAID",UPPER(TRIM('Raw Sales'!I38))="SETTLED",UPPER(TRIM('Raw Sales'!I38))="COMPLETE"),"Paid",IF(UPPER(TRIM('Raw Sales'!I38))="PENDING","Pending","Review"))</x:f>
        <x:v>Paid</x:v>
      </x:c>
      <x:c r="J38" t="str">
        <x:f>IF(A38="","Missing",IF(COUNTIF($A$6:A38,A38)&gt;1,"Duplicate","Unique"))</x:f>
        <x:v>Unique</x:v>
      </x:c>
      <x:c r="K38" s="11" t="n">
        <x:f>IF(A38="",1,0)+IF(B38="",1,0)+IF(C38="Review",1,0)+IF(D38="",1,0)+IF(OR(E38="",E38&lt;=0),1,0)+IF(OR(F38="",F38&lt;=0),1,0)+IF(G38="",1,0)+IF(H38="Missing",1,0)+IF(I38="Review",1,0)+IF(J38="Duplicate",1,0)</x:f>
        <x:v>0</x:v>
      </x:c>
      <x:c r="L38" s="12" t="str">
        <x:f>IF(A38="","Missing order ID; ","")&amp;IF(B38="","Missing school; ","")&amp;IF(C38="Review","Unmapped region; ","")&amp;IF(D38="","Missing product; ","")&amp;IF(OR(E38="",E38&lt;=0),"Invalid units; ","")&amp;IF(OR(F38="",F38&lt;=0),"Invalid amount; ","")&amp;IF(G38="","Invalid date; ","")&amp;IF(H38="Missing","Missing sales rep; ","")&amp;IF(I38="Review","Unmapped payment status; ","")&amp;IF(J38="Duplicate","Duplicate ID; ","")</x:f>
      </x:c>
      <x:c r="M38" t="str">
        <x:f>IF(K38=0,"Ready","Review")</x:f>
        <x:v>Ready</x:v>
      </x:c>
    </x:row>
    <x:row r="39">
      <x:c r="A39" t="str">
        <x:f>UPPER(TRIM('Raw Sales'!A39))</x:f>
        <x:v>SAL-26-0034</x:v>
      </x:c>
      <x:c r="B39" t="str">
        <x:f>PROPER(TRIM('Raw Sales'!B39))</x:f>
        <x:v>Maple Secondary</x:v>
      </x:c>
      <x:c r="C39" t="str">
        <x:f>IF(OR(UPPER(TRIM('Raw Sales'!C39))="BOCHUM",UPPER(TRIM('Raw Sales'!C39))="BOCHUM REGION"),"Bochum",IF(OR(UPPER(TRIM('Raw Sales'!C39))="ELDORADO",UPPER(TRIM('Raw Sales'!C39))="ELDOS"),"Eldorado","Review"))</x:f>
        <x:v>Eldorado</x:v>
      </x:c>
      <x:c r="D39" t="str">
        <x:f>PROPER(TRIM('Raw Sales'!D39))</x:f>
        <x:v>Exercise Books</x:v>
      </x:c>
      <x:c r="E39" s="8" t="n">
        <x:f>IFERROR(VALUE('Raw Sales'!E39),"")</x:f>
        <x:v>23</x:v>
      </x:c>
      <x:c r="F39" s="9"/>
      <x:c r="G39" s="10" t="n">
        <x:f>IFERROR(IF(OR(MID(TRIM('Raw Sales'!G39),5,1)="-",MID(TRIM('Raw Sales'!G39),5,1)="/"),DATE(VALUE(LEFT(TRIM('Raw Sales'!G39),4)),VALUE(MID(TRIM('Raw Sales'!G39),6,2)),VALUE(RIGHT(TRIM('Raw Sales'!G39),2))),IF(LEN(TRIM('Raw Sales'!G39))=10,DATE(VALUE(RIGHT(TRIM('Raw Sales'!G39),4)),VALUE(MID(TRIM('Raw Sales'!G39),4,2)),VALUE(LEFT(TRIM('Raw Sales'!G39),2))),IF(LEN(TRIM('Raw Sales'!G39))=8,DATE(2000+VALUE(RIGHT(TRIM('Raw Sales'!G39),2)),VALUE(MID(TRIM('Raw Sales'!G39),4,2)),VALUE(LEFT(TRIM('Raw Sales'!G39),2))),""))),"")</x:f>
        <x:v>46092</x:v>
      </x:c>
      <x:c r="H39" t="str">
        <x:f>IF(TRIM('Raw Sales'!H39)="","Missing",PROPER(TRIM('Raw Sales'!H39)))</x:f>
        <x:v>Lebo Nkosi</x:v>
      </x:c>
      <x:c r="I39" t="str">
        <x:f>IF(OR(UPPER(TRIM('Raw Sales'!I39))="PAID",UPPER(TRIM('Raw Sales'!I39))="SETTLED",UPPER(TRIM('Raw Sales'!I39))="COMPLETE"),"Paid",IF(UPPER(TRIM('Raw Sales'!I39))="PENDING","Pending","Review"))</x:f>
        <x:v>Pending</x:v>
      </x:c>
      <x:c r="J39" t="str">
        <x:f>IF(A39="","Missing",IF(COUNTIF($A$6:A39,A39)&gt;1,"Duplicate","Unique"))</x:f>
        <x:v>Unique</x:v>
      </x:c>
      <x:c r="K39" s="11" t="n">
        <x:f>IF(A39="",1,0)+IF(B39="",1,0)+IF(C39="Review",1,0)+IF(D39="",1,0)+IF(OR(E39="",E39&lt;=0),1,0)+IF(OR(F39="",F39&lt;=0),1,0)+IF(G39="",1,0)+IF(H39="Missing",1,0)+IF(I39="Review",1,0)+IF(J39="Duplicate",1,0)</x:f>
        <x:v>1</x:v>
      </x:c>
      <x:c r="L39" s="12" t="str">
        <x:f>IF(A39="","Missing order ID; ","")&amp;IF(B39="","Missing school; ","")&amp;IF(C39="Review","Unmapped region; ","")&amp;IF(D39="","Missing product; ","")&amp;IF(OR(E39="",E39&lt;=0),"Invalid units; ","")&amp;IF(OR(F39="",F39&lt;=0),"Invalid amount; ","")&amp;IF(G39="","Invalid date; ","")&amp;IF(H39="Missing","Missing sales rep; ","")&amp;IF(I39="Review","Unmapped payment status; ","")&amp;IF(J39="Duplicate","Duplicate ID; ","")</x:f>
        <x:v>Invalid amount; </x:v>
      </x:c>
      <x:c r="M39" t="str">
        <x:f>IF(K39=0,"Ready","Review")</x:f>
        <x:v>Review</x:v>
      </x:c>
    </x:row>
    <x:row r="40">
      <x:c r="A40" t="str">
        <x:f>UPPER(TRIM('Raw Sales'!A40))</x:f>
        <x:v>SAL-26-0035</x:v>
      </x:c>
      <x:c r="B40" t="str">
        <x:f>PROPER(TRIM('Raw Sales'!B40))</x:f>
        <x:v>Pinecrest School</x:v>
      </x:c>
      <x:c r="C40" t="str">
        <x:f>IF(OR(UPPER(TRIM('Raw Sales'!C40))="BOCHUM",UPPER(TRIM('Raw Sales'!C40))="BOCHUM REGION"),"Bochum",IF(OR(UPPER(TRIM('Raw Sales'!C40))="ELDORADO",UPPER(TRIM('Raw Sales'!C40))="ELDOS"),"Eldorado","Review"))</x:f>
        <x:v>Bochum</x:v>
      </x:c>
      <x:c r="D40" t="str">
        <x:f>PROPER(TRIM('Raw Sales'!D40))</x:f>
        <x:v>Pencils</x:v>
      </x:c>
      <x:c r="E40" s="8" t="n">
        <x:f>IFERROR(VALUE('Raw Sales'!E40),"")</x:f>
        <x:v>30</x:v>
      </x:c>
      <x:c r="F40" s="9" t="n">
        <x:v>3390</x:v>
      </x:c>
      <x:c r="G40" s="10" t="n">
        <x:f>IFERROR(IF(OR(MID(TRIM('Raw Sales'!G40),5,1)="-",MID(TRIM('Raw Sales'!G40),5,1)="/"),DATE(VALUE(LEFT(TRIM('Raw Sales'!G40),4)),VALUE(MID(TRIM('Raw Sales'!G40),6,2)),VALUE(RIGHT(TRIM('Raw Sales'!G40),2))),IF(LEN(TRIM('Raw Sales'!G40))=10,DATE(VALUE(RIGHT(TRIM('Raw Sales'!G40),4)),VALUE(MID(TRIM('Raw Sales'!G40),4,2)),VALUE(LEFT(TRIM('Raw Sales'!G40),2))),IF(LEN(TRIM('Raw Sales'!G40))=8,DATE(2000+VALUE(RIGHT(TRIM('Raw Sales'!G40),2)),VALUE(MID(TRIM('Raw Sales'!G40),4,2)),VALUE(LEFT(TRIM('Raw Sales'!G40),2))),""))),"")</x:f>
        <x:v>46124</x:v>
      </x:c>
      <x:c r="H40" t="str">
        <x:f>IF(TRIM('Raw Sales'!H40)="","Missing",PROPER(TRIM('Raw Sales'!H40)))</x:f>
        <x:v>Thabo Ndlovu</x:v>
      </x:c>
      <x:c r="I40" t="str">
        <x:f>IF(OR(UPPER(TRIM('Raw Sales'!I40))="PAID",UPPER(TRIM('Raw Sales'!I40))="SETTLED",UPPER(TRIM('Raw Sales'!I40))="COMPLETE"),"Paid",IF(UPPER(TRIM('Raw Sales'!I40))="PENDING","Pending","Review"))</x:f>
        <x:v>Paid</x:v>
      </x:c>
      <x:c r="J40" t="str">
        <x:f>IF(A40="","Missing",IF(COUNTIF($A$6:A40,A40)&gt;1,"Duplicate","Unique"))</x:f>
        <x:v>Unique</x:v>
      </x:c>
      <x:c r="K40" s="11" t="n">
        <x:f>IF(A40="",1,0)+IF(B40="",1,0)+IF(C40="Review",1,0)+IF(D40="",1,0)+IF(OR(E40="",E40&lt;=0),1,0)+IF(OR(F40="",F40&lt;=0),1,0)+IF(G40="",1,0)+IF(H40="Missing",1,0)+IF(I40="Review",1,0)+IF(J40="Duplicate",1,0)</x:f>
        <x:v>0</x:v>
      </x:c>
      <x:c r="L40" s="12" t="str">
        <x:f>IF(A40="","Missing order ID; ","")&amp;IF(B40="","Missing school; ","")&amp;IF(C40="Review","Unmapped region; ","")&amp;IF(D40="","Missing product; ","")&amp;IF(OR(E40="",E40&lt;=0),"Invalid units; ","")&amp;IF(OR(F40="",F40&lt;=0),"Invalid amount; ","")&amp;IF(G40="","Invalid date; ","")&amp;IF(H40="Missing","Missing sales rep; ","")&amp;IF(I40="Review","Unmapped payment status; ","")&amp;IF(J40="Duplicate","Duplicate ID; ","")</x:f>
      </x:c>
      <x:c r="M40" t="str">
        <x:f>IF(K40=0,"Ready","Review")</x:f>
        <x:v>Ready</x:v>
      </x:c>
    </x:row>
    <x:row r="41">
      <x:c r="A41" t="str">
        <x:f>UPPER(TRIM('Raw Sales'!A41))</x:f>
        <x:v>SAL-26-0036</x:v>
      </x:c>
      <x:c r="B41" t="str">
        <x:f>PROPER(TRIM('Raw Sales'!B41))</x:f>
        <x:v>Northstar Academy</x:v>
      </x:c>
      <x:c r="C41" t="str">
        <x:f>IF(OR(UPPER(TRIM('Raw Sales'!C41))="BOCHUM",UPPER(TRIM('Raw Sales'!C41))="BOCHUM REGION"),"Bochum",IF(OR(UPPER(TRIM('Raw Sales'!C41))="ELDORADO",UPPER(TRIM('Raw Sales'!C41))="ELDOS"),"Eldorado","Review"))</x:f>
        <x:v>Bochum</x:v>
      </x:c>
      <x:c r="D41" t="str">
        <x:f>PROPER(TRIM('Raw Sales'!D41))</x:f>
        <x:v>Folders</x:v>
      </x:c>
      <x:c r="E41" s="8" t="n">
        <x:f>IFERROR(VALUE('Raw Sales'!E41),"")</x:f>
        <x:v>1</x:v>
      </x:c>
      <x:c r="F41" s="9" t="n">
        <x:v>126</x:v>
      </x:c>
      <x:c r="G41" s="10" t="n">
        <x:f>IFERROR(IF(OR(MID(TRIM('Raw Sales'!G41),5,1)="-",MID(TRIM('Raw Sales'!G41),5,1)="/"),DATE(VALUE(LEFT(TRIM('Raw Sales'!G41),4)),VALUE(MID(TRIM('Raw Sales'!G41),6,2)),VALUE(RIGHT(TRIM('Raw Sales'!G41),2))),IF(LEN(TRIM('Raw Sales'!G41))=10,DATE(VALUE(RIGHT(TRIM('Raw Sales'!G41),4)),VALUE(MID(TRIM('Raw Sales'!G41),4,2)),VALUE(LEFT(TRIM('Raw Sales'!G41),2))),IF(LEN(TRIM('Raw Sales'!G41))=8,DATE(2000+VALUE(RIGHT(TRIM('Raw Sales'!G41),2)),VALUE(MID(TRIM('Raw Sales'!G41),4,2)),VALUE(LEFT(TRIM('Raw Sales'!G41),2))),""))),"")</x:f>
        <x:v>46155</x:v>
      </x:c>
      <x:c r="H41" t="str">
        <x:f>IF(TRIM('Raw Sales'!H41)="","Missing",PROPER(TRIM('Raw Sales'!H41)))</x:f>
        <x:v>Lebo Nkosi</x:v>
      </x:c>
      <x:c r="I41" t="str">
        <x:f>IF(OR(UPPER(TRIM('Raw Sales'!I41))="PAID",UPPER(TRIM('Raw Sales'!I41))="SETTLED",UPPER(TRIM('Raw Sales'!I41))="COMPLETE"),"Paid",IF(UPPER(TRIM('Raw Sales'!I41))="PENDING","Pending","Review"))</x:f>
        <x:v>Paid</x:v>
      </x:c>
      <x:c r="J41" t="str">
        <x:f>IF(A41="","Missing",IF(COUNTIF($A$6:A41,A41)&gt;1,"Duplicate","Unique"))</x:f>
        <x:v>Unique</x:v>
      </x:c>
      <x:c r="K41" s="11" t="n">
        <x:f>IF(A41="",1,0)+IF(B41="",1,0)+IF(C41="Review",1,0)+IF(D41="",1,0)+IF(OR(E41="",E41&lt;=0),1,0)+IF(OR(F41="",F41&lt;=0),1,0)+IF(G41="",1,0)+IF(H41="Missing",1,0)+IF(I41="Review",1,0)+IF(J41="Duplicate",1,0)</x:f>
        <x:v>0</x:v>
      </x:c>
      <x:c r="L41" s="12" t="str">
        <x:f>IF(A41="","Missing order ID; ","")&amp;IF(B41="","Missing school; ","")&amp;IF(C41="Review","Unmapped region; ","")&amp;IF(D41="","Missing product; ","")&amp;IF(OR(E41="",E41&lt;=0),"Invalid units; ","")&amp;IF(OR(F41="",F41&lt;=0),"Invalid amount; ","")&amp;IF(G41="","Invalid date; ","")&amp;IF(H41="Missing","Missing sales rep; ","")&amp;IF(I41="Review","Unmapped payment status; ","")&amp;IF(J41="Duplicate","Duplicate ID; ","")</x:f>
      </x:c>
      <x:c r="M41" t="str">
        <x:f>IF(K41=0,"Ready","Review")</x:f>
        <x:v>Ready</x:v>
      </x:c>
    </x:row>
    <x:row r="42">
      <x:c r="A42" t="str">
        <x:f>UPPER(TRIM('Raw Sales'!A42))</x:f>
        <x:v>SAL-26-0036</x:v>
      </x:c>
      <x:c r="B42" t="str">
        <x:f>PROPER(TRIM('Raw Sales'!B42))</x:f>
        <x:v>Crescent Primary</x:v>
      </x:c>
      <x:c r="C42" t="str">
        <x:f>IF(OR(UPPER(TRIM('Raw Sales'!C42))="BOCHUM",UPPER(TRIM('Raw Sales'!C42))="BOCHUM REGION"),"Bochum",IF(OR(UPPER(TRIM('Raw Sales'!C42))="ELDORADO",UPPER(TRIM('Raw Sales'!C42))="ELDOS"),"Eldorado","Review"))</x:f>
        <x:v>Eldorado</x:v>
      </x:c>
      <x:c r="D42" t="str">
        <x:f>PROPER(TRIM('Raw Sales'!D42))</x:f>
        <x:v>Pens</x:v>
      </x:c>
      <x:c r="E42" s="8" t="n">
        <x:f>IFERROR(VALUE('Raw Sales'!E42),"")</x:f>
        <x:v>8</x:v>
      </x:c>
      <x:c r="F42" s="9" t="n">
        <x:v>1112</x:v>
      </x:c>
      <x:c r="G42" s="10" t="n">
        <x:f>IFERROR(IF(OR(MID(TRIM('Raw Sales'!G42),5,1)="-",MID(TRIM('Raw Sales'!G42),5,1)="/"),DATE(VALUE(LEFT(TRIM('Raw Sales'!G42),4)),VALUE(MID(TRIM('Raw Sales'!G42),6,2)),VALUE(RIGHT(TRIM('Raw Sales'!G42),2))),IF(LEN(TRIM('Raw Sales'!G42))=10,DATE(VALUE(RIGHT(TRIM('Raw Sales'!G42),4)),VALUE(MID(TRIM('Raw Sales'!G42),4,2)),VALUE(LEFT(TRIM('Raw Sales'!G42),2))),IF(LEN(TRIM('Raw Sales'!G42))=8,DATE(2000+VALUE(RIGHT(TRIM('Raw Sales'!G42),2)),VALUE(MID(TRIM('Raw Sales'!G42),4,2)),VALUE(LEFT(TRIM('Raw Sales'!G42),2))),""))),"")</x:f>
        <x:v>46187</x:v>
      </x:c>
      <x:c r="H42" t="str">
        <x:f>IF(TRIM('Raw Sales'!H42)="","Missing",PROPER(TRIM('Raw Sales'!H42)))</x:f>
        <x:v>Thabo Ndlovu</x:v>
      </x:c>
      <x:c r="I42" t="str">
        <x:f>IF(OR(UPPER(TRIM('Raw Sales'!I42))="PAID",UPPER(TRIM('Raw Sales'!I42))="SETTLED",UPPER(TRIM('Raw Sales'!I42))="COMPLETE"),"Paid",IF(UPPER(TRIM('Raw Sales'!I42))="PENDING","Pending","Review"))</x:f>
        <x:v>Pending</x:v>
      </x:c>
      <x:c r="J42" t="str">
        <x:f>IF(A42="","Missing",IF(COUNTIF($A$6:A42,A42)&gt;1,"Duplicate","Unique"))</x:f>
        <x:v>Duplicate</x:v>
      </x:c>
      <x:c r="K42" s="11" t="n">
        <x:f>IF(A42="",1,0)+IF(B42="",1,0)+IF(C42="Review",1,0)+IF(D42="",1,0)+IF(OR(E42="",E42&lt;=0),1,0)+IF(OR(F42="",F42&lt;=0),1,0)+IF(G42="",1,0)+IF(H42="Missing",1,0)+IF(I42="Review",1,0)+IF(J42="Duplicate",1,0)</x:f>
        <x:v>1</x:v>
      </x:c>
      <x:c r="L42" s="12" t="str">
        <x:f>IF(A42="","Missing order ID; ","")&amp;IF(B42="","Missing school; ","")&amp;IF(C42="Review","Unmapped region; ","")&amp;IF(D42="","Missing product; ","")&amp;IF(OR(E42="",E42&lt;=0),"Invalid units; ","")&amp;IF(OR(F42="",F42&lt;=0),"Invalid amount; ","")&amp;IF(G42="","Invalid date; ","")&amp;IF(H42="Missing","Missing sales rep; ","")&amp;IF(I42="Review","Unmapped payment status; ","")&amp;IF(J42="Duplicate","Duplicate ID; ","")</x:f>
        <x:v>Duplicate ID; </x:v>
      </x:c>
      <x:c r="M42" t="str">
        <x:f>IF(K42=0,"Ready","Review")</x:f>
        <x:v>Review</x:v>
      </x:c>
    </x:row>
    <x:row r="43">
      <x:c r="A43" t="str">
        <x:f>UPPER(TRIM('Raw Sales'!A43))</x:f>
        <x:v>SAL-26-0038</x:v>
      </x:c>
      <x:c r="B43" t="str">
        <x:f>PROPER(TRIM('Raw Sales'!B43))</x:f>
        <x:v>Hillview Primary</x:v>
      </x:c>
      <x:c r="C43" t="str">
        <x:f>IF(OR(UPPER(TRIM('Raw Sales'!C43))="BOCHUM",UPPER(TRIM('Raw Sales'!C43))="BOCHUM REGION"),"Bochum",IF(OR(UPPER(TRIM('Raw Sales'!C43))="ELDORADO",UPPER(TRIM('Raw Sales'!C43))="ELDOS"),"Eldorado","Review"))</x:f>
        <x:v>Bochum</x:v>
      </x:c>
      <x:c r="D43" t="str">
        <x:f>PROPER(TRIM('Raw Sales'!D43))</x:f>
        <x:v>Glue Sticks</x:v>
      </x:c>
      <x:c r="E43" s="8" t="n">
        <x:f>IFERROR(VALUE('Raw Sales'!E43),"")</x:f>
        <x:v>15</x:v>
      </x:c>
      <x:c r="F43" s="9" t="n">
        <x:v>2280</x:v>
      </x:c>
      <x:c r="G43" s="10" t="n">
        <x:f>IFERROR(IF(OR(MID(TRIM('Raw Sales'!G43),5,1)="-",MID(TRIM('Raw Sales'!G43),5,1)="/"),DATE(VALUE(LEFT(TRIM('Raw Sales'!G43),4)),VALUE(MID(TRIM('Raw Sales'!G43),6,2)),VALUE(RIGHT(TRIM('Raw Sales'!G43),2))),IF(LEN(TRIM('Raw Sales'!G43))=10,DATE(VALUE(RIGHT(TRIM('Raw Sales'!G43),4)),VALUE(MID(TRIM('Raw Sales'!G43),4,2)),VALUE(LEFT(TRIM('Raw Sales'!G43),2))),IF(LEN(TRIM('Raw Sales'!G43))=8,DATE(2000+VALUE(RIGHT(TRIM('Raw Sales'!G43),2)),VALUE(MID(TRIM('Raw Sales'!G43),4,2)),VALUE(LEFT(TRIM('Raw Sales'!G43),2))),""))),"")</x:f>
        <x:v>46218</x:v>
      </x:c>
      <x:c r="H43" t="str">
        <x:f>IF(TRIM('Raw Sales'!H43)="","Missing",PROPER(TRIM('Raw Sales'!H43)))</x:f>
        <x:v>Lebo Nkosi</x:v>
      </x:c>
      <x:c r="I43" t="str">
        <x:f>IF(OR(UPPER(TRIM('Raw Sales'!I43))="PAID",UPPER(TRIM('Raw Sales'!I43))="SETTLED",UPPER(TRIM('Raw Sales'!I43))="COMPLETE"),"Paid",IF(UPPER(TRIM('Raw Sales'!I43))="PENDING","Pending","Review"))</x:f>
        <x:v>Paid</x:v>
      </x:c>
      <x:c r="J43" t="str">
        <x:f>IF(A43="","Missing",IF(COUNTIF($A$6:A43,A43)&gt;1,"Duplicate","Unique"))</x:f>
        <x:v>Unique</x:v>
      </x:c>
      <x:c r="K43" s="11" t="n">
        <x:f>IF(A43="",1,0)+IF(B43="",1,0)+IF(C43="Review",1,0)+IF(D43="",1,0)+IF(OR(E43="",E43&lt;=0),1,0)+IF(OR(F43="",F43&lt;=0),1,0)+IF(G43="",1,0)+IF(H43="Missing",1,0)+IF(I43="Review",1,0)+IF(J43="Duplicate",1,0)</x:f>
        <x:v>0</x:v>
      </x:c>
      <x:c r="L43" s="12" t="str">
        <x:f>IF(A43="","Missing order ID; ","")&amp;IF(B43="","Missing school; ","")&amp;IF(C43="Review","Unmapped region; ","")&amp;IF(D43="","Missing product; ","")&amp;IF(OR(E43="",E43&lt;=0),"Invalid units; ","")&amp;IF(OR(F43="",F43&lt;=0),"Invalid amount; ","")&amp;IF(G43="","Invalid date; ","")&amp;IF(H43="Missing","Missing sales rep; ","")&amp;IF(I43="Review","Unmapped payment status; ","")&amp;IF(J43="Duplicate","Duplicate ID; ","")</x:f>
      </x:c>
      <x:c r="M43" t="str">
        <x:f>IF(K43=0,"Ready","Review")</x:f>
        <x:v>Ready</x:v>
      </x:c>
    </x:row>
    <x:row r="44">
      <x:c r="A44" t="str">
        <x:f>UPPER(TRIM('Raw Sales'!A44))</x:f>
        <x:v>SAL-26-0039</x:v>
      </x:c>
      <x:c r="B44" t="str">
        <x:f>PROPER(TRIM('Raw Sales'!B44))</x:f>
        <x:v>Eastwood Academy</x:v>
      </x:c>
      <x:c r="C44" t="str">
        <x:f>IF(OR(UPPER(TRIM('Raw Sales'!C44))="BOCHUM",UPPER(TRIM('Raw Sales'!C44))="BOCHUM REGION"),"Bochum",IF(OR(UPPER(TRIM('Raw Sales'!C44))="ELDORADO",UPPER(TRIM('Raw Sales'!C44))="ELDOS"),"Eldorado","Review"))</x:f>
        <x:v>Eldorado</x:v>
      </x:c>
      <x:c r="D44" t="str">
        <x:f>PROPER(TRIM('Raw Sales'!D44))</x:f>
        <x:v>Markers</x:v>
      </x:c>
      <x:c r="E44" s="8" t="n">
        <x:f>IFERROR(VALUE('Raw Sales'!E44),"")</x:f>
        <x:v>22</x:v>
      </x:c>
      <x:c r="F44" s="9" t="n">
        <x:v>3630</x:v>
      </x:c>
      <x:c r="G44" s="10" t="n">
        <x:f>IFERROR(IF(OR(MID(TRIM('Raw Sales'!G44),5,1)="-",MID(TRIM('Raw Sales'!G44),5,1)="/"),DATE(VALUE(LEFT(TRIM('Raw Sales'!G44),4)),VALUE(MID(TRIM('Raw Sales'!G44),6,2)),VALUE(RIGHT(TRIM('Raw Sales'!G44),2))),IF(LEN(TRIM('Raw Sales'!G44))=10,DATE(VALUE(RIGHT(TRIM('Raw Sales'!G44),4)),VALUE(MID(TRIM('Raw Sales'!G44),4,2)),VALUE(LEFT(TRIM('Raw Sales'!G44),2))),IF(LEN(TRIM('Raw Sales'!G44))=8,DATE(2000+VALUE(RIGHT(TRIM('Raw Sales'!G44),2)),VALUE(MID(TRIM('Raw Sales'!G44),4,2)),VALUE(LEFT(TRIM('Raw Sales'!G44),2))),""))),"")</x:f>
        <x:v>46250</x:v>
      </x:c>
      <x:c r="H44" t="str">
        <x:f>IF(TRIM('Raw Sales'!H44)="","Missing",PROPER(TRIM('Raw Sales'!H44)))</x:f>
        <x:v>Thabo Ndlovu</x:v>
      </x:c>
      <x:c r="I44" t="str">
        <x:f>IF(OR(UPPER(TRIM('Raw Sales'!I44))="PAID",UPPER(TRIM('Raw Sales'!I44))="SETTLED",UPPER(TRIM('Raw Sales'!I44))="COMPLETE"),"Paid",IF(UPPER(TRIM('Raw Sales'!I44))="PENDING","Pending","Review"))</x:f>
        <x:v>Paid</x:v>
      </x:c>
      <x:c r="J44" t="str">
        <x:f>IF(A44="","Missing",IF(COUNTIF($A$6:A44,A44)&gt;1,"Duplicate","Unique"))</x:f>
        <x:v>Unique</x:v>
      </x:c>
      <x:c r="K44" s="11" t="n">
        <x:f>IF(A44="",1,0)+IF(B44="",1,0)+IF(C44="Review",1,0)+IF(D44="",1,0)+IF(OR(E44="",E44&lt;=0),1,0)+IF(OR(F44="",F44&lt;=0),1,0)+IF(G44="",1,0)+IF(H44="Missing",1,0)+IF(I44="Review",1,0)+IF(J44="Duplicate",1,0)</x:f>
        <x:v>0</x:v>
      </x:c>
      <x:c r="L44" s="12" t="str">
        <x:f>IF(A44="","Missing order ID; ","")&amp;IF(B44="","Missing school; ","")&amp;IF(C44="Review","Unmapped region; ","")&amp;IF(D44="","Missing product; ","")&amp;IF(OR(E44="",E44&lt;=0),"Invalid units; ","")&amp;IF(OR(F44="",F44&lt;=0),"Invalid amount; ","")&amp;IF(G44="","Invalid date; ","")&amp;IF(H44="Missing","Missing sales rep; ","")&amp;IF(I44="Review","Unmapped payment status; ","")&amp;IF(J44="Duplicate","Duplicate ID; ","")</x:f>
      </x:c>
      <x:c r="M44" t="str">
        <x:f>IF(K44=0,"Ready","Review")</x:f>
        <x:v>Ready</x:v>
      </x:c>
    </x:row>
    <x:row r="45">
      <x:c r="A45" t="str">
        <x:f>UPPER(TRIM('Raw Sales'!A45))</x:f>
        <x:v>SAL-26-0040</x:v>
      </x:c>
      <x:c r="B45" t="str">
        <x:f>PROPER(TRIM('Raw Sales'!B45))</x:f>
        <x:v>Lakeside School</x:v>
      </x:c>
      <x:c r="C45" t="str">
        <x:f>IF(OR(UPPER(TRIM('Raw Sales'!C45))="BOCHUM",UPPER(TRIM('Raw Sales'!C45))="BOCHUM REGION"),"Bochum",IF(OR(UPPER(TRIM('Raw Sales'!C45))="ELDORADO",UPPER(TRIM('Raw Sales'!C45))="ELDOS"),"Eldorado","Review"))</x:f>
        <x:v>Bochum</x:v>
      </x:c>
      <x:c r="D45" t="str">
        <x:f>PROPER(TRIM('Raw Sales'!D45))</x:f>
        <x:v>Notebooks</x:v>
      </x:c>
      <x:c r="E45" s="8" t="n">
        <x:f>IFERROR(VALUE('Raw Sales'!E45),"")</x:f>
        <x:v>29</x:v>
      </x:c>
      <x:c r="F45" s="9" t="n">
        <x:v>5162</x:v>
      </x:c>
      <x:c r="G45" s="10" t="n">
        <x:f>IFERROR(IF(OR(MID(TRIM('Raw Sales'!G45),5,1)="-",MID(TRIM('Raw Sales'!G45),5,1)="/"),DATE(VALUE(LEFT(TRIM('Raw Sales'!G45),4)),VALUE(MID(TRIM('Raw Sales'!G45),6,2)),VALUE(RIGHT(TRIM('Raw Sales'!G45),2))),IF(LEN(TRIM('Raw Sales'!G45))=10,DATE(VALUE(RIGHT(TRIM('Raw Sales'!G45),4)),VALUE(MID(TRIM('Raw Sales'!G45),4,2)),VALUE(LEFT(TRIM('Raw Sales'!G45),2))),IF(LEN(TRIM('Raw Sales'!G45))=8,DATE(2000+VALUE(RIGHT(TRIM('Raw Sales'!G45),2)),VALUE(MID(TRIM('Raw Sales'!G45),4,2)),VALUE(LEFT(TRIM('Raw Sales'!G45),2))),""))),"")</x:f>
        <x:v>46039</x:v>
      </x:c>
      <x:c r="H45" t="str">
        <x:f>IF(TRIM('Raw Sales'!H45)="","Missing",PROPER(TRIM('Raw Sales'!H45)))</x:f>
        <x:v>Lebo Nkosi</x:v>
      </x:c>
      <x:c r="I45" t="str">
        <x:f>IF(OR(UPPER(TRIM('Raw Sales'!I45))="PAID",UPPER(TRIM('Raw Sales'!I45))="SETTLED",UPPER(TRIM('Raw Sales'!I45))="COMPLETE"),"Paid",IF(UPPER(TRIM('Raw Sales'!I45))="PENDING","Pending","Review"))</x:f>
        <x:v>Pending</x:v>
      </x:c>
      <x:c r="J45" t="str">
        <x:f>IF(A45="","Missing",IF(COUNTIF($A$6:A45,A45)&gt;1,"Duplicate","Unique"))</x:f>
        <x:v>Unique</x:v>
      </x:c>
      <x:c r="K45" s="11" t="n">
        <x:f>IF(A45="",1,0)+IF(B45="",1,0)+IF(C45="Review",1,0)+IF(D45="",1,0)+IF(OR(E45="",E45&lt;=0),1,0)+IF(OR(F45="",F45&lt;=0),1,0)+IF(G45="",1,0)+IF(H45="Missing",1,0)+IF(I45="Review",1,0)+IF(J45="Duplicate",1,0)</x:f>
        <x:v>0</x:v>
      </x:c>
      <x:c r="L45" s="12" t="str">
        <x:f>IF(A45="","Missing order ID; ","")&amp;IF(B45="","Missing school; ","")&amp;IF(C45="Review","Unmapped region; ","")&amp;IF(D45="","Missing product; ","")&amp;IF(OR(E45="",E45&lt;=0),"Invalid units; ","")&amp;IF(OR(F45="",F45&lt;=0),"Invalid amount; ","")&amp;IF(G45="","Invalid date; ","")&amp;IF(H45="Missing","Missing sales rep; ","")&amp;IF(I45="Review","Unmapped payment status; ","")&amp;IF(J45="Duplicate","Duplicate ID; ","")</x:f>
      </x:c>
      <x:c r="M45" t="str">
        <x:f>IF(K45=0,"Ready","Review")</x:f>
        <x:v>Ready</x:v>
      </x:c>
    </x:row>
    <x:row r="46">
      <x:c r="A46" t="str">
        <x:f>UPPER(TRIM('Raw Sales'!A46))</x:f>
        <x:v>SAL-26-0041</x:v>
      </x:c>
      <x:c r="B46" t="str">
        <x:f>PROPER(TRIM('Raw Sales'!B46))</x:f>
        <x:v>Valley Primary</x:v>
      </x:c>
      <x:c r="C46" t="str">
        <x:f>IF(OR(UPPER(TRIM('Raw Sales'!C46))="BOCHUM",UPPER(TRIM('Raw Sales'!C46))="BOCHUM REGION"),"Bochum",IF(OR(UPPER(TRIM('Raw Sales'!C46))="ELDORADO",UPPER(TRIM('Raw Sales'!C46))="ELDOS"),"Eldorado","Review"))</x:f>
        <x:v>Eldorado</x:v>
      </x:c>
      <x:c r="D46" t="str">
        <x:f>PROPER(TRIM('Raw Sales'!D46))</x:f>
        <x:v>Rulers</x:v>
      </x:c>
      <x:c r="E46" s="8" t="n">
        <x:f>IFERROR(VALUE('Raw Sales'!E46),"")</x:f>
        <x:v>36</x:v>
      </x:c>
      <x:c r="F46" s="9" t="n">
        <x:v>6876</x:v>
      </x:c>
      <x:c r="G46" s="10" t="n">
        <x:f>IFERROR(IF(OR(MID(TRIM('Raw Sales'!G46),5,1)="-",MID(TRIM('Raw Sales'!G46),5,1)="/"),DATE(VALUE(LEFT(TRIM('Raw Sales'!G46),4)),VALUE(MID(TRIM('Raw Sales'!G46),6,2)),VALUE(RIGHT(TRIM('Raw Sales'!G46),2))),IF(LEN(TRIM('Raw Sales'!G46))=10,DATE(VALUE(RIGHT(TRIM('Raw Sales'!G46),4)),VALUE(MID(TRIM('Raw Sales'!G46),4,2)),VALUE(LEFT(TRIM('Raw Sales'!G46),2))),IF(LEN(TRIM('Raw Sales'!G46))=8,DATE(2000+VALUE(RIGHT(TRIM('Raw Sales'!G46),2)),VALUE(MID(TRIM('Raw Sales'!G46),4,2)),VALUE(LEFT(TRIM('Raw Sales'!G46),2))),""))),"")</x:f>
        <x:v>46071</x:v>
      </x:c>
      <x:c r="H46" t="str">
        <x:f>IF(TRIM('Raw Sales'!H46)="","Missing",PROPER(TRIM('Raw Sales'!H46)))</x:f>
        <x:v>Thabo Ndlovu</x:v>
      </x:c>
      <x:c r="I46" t="str">
        <x:f>IF(OR(UPPER(TRIM('Raw Sales'!I46))="PAID",UPPER(TRIM('Raw Sales'!I46))="SETTLED",UPPER(TRIM('Raw Sales'!I46))="COMPLETE"),"Paid",IF(UPPER(TRIM('Raw Sales'!I46))="PENDING","Pending","Review"))</x:f>
        <x:v>Paid</x:v>
      </x:c>
      <x:c r="J46" t="str">
        <x:f>IF(A46="","Missing",IF(COUNTIF($A$6:A46,A46)&gt;1,"Duplicate","Unique"))</x:f>
        <x:v>Unique</x:v>
      </x:c>
      <x:c r="K46" s="11" t="n">
        <x:f>IF(A46="",1,0)+IF(B46="",1,0)+IF(C46="Review",1,0)+IF(D46="",1,0)+IF(OR(E46="",E46&lt;=0),1,0)+IF(OR(F46="",F46&lt;=0),1,0)+IF(G46="",1,0)+IF(H46="Missing",1,0)+IF(I46="Review",1,0)+IF(J46="Duplicate",1,0)</x:f>
        <x:v>0</x:v>
      </x:c>
      <x:c r="L46" s="12" t="str">
        <x:f>IF(A46="","Missing order ID; ","")&amp;IF(B46="","Missing school; ","")&amp;IF(C46="Review","Unmapped region; ","")&amp;IF(D46="","Missing product; ","")&amp;IF(OR(E46="",E46&lt;=0),"Invalid units; ","")&amp;IF(OR(F46="",F46&lt;=0),"Invalid amount; ","")&amp;IF(G46="","Invalid date; ","")&amp;IF(H46="Missing","Missing sales rep; ","")&amp;IF(I46="Review","Unmapped payment status; ","")&amp;IF(J46="Duplicate","Duplicate ID; ","")</x:f>
      </x:c>
      <x:c r="M46" t="str">
        <x:f>IF(K46=0,"Ready","Review")</x:f>
        <x:v>Ready</x:v>
      </x:c>
    </x:row>
    <x:row r="47">
      <x:c r="A47" t="str">
        <x:f>UPPER(TRIM('Raw Sales'!A47))</x:f>
        <x:v>SAL-26-0042</x:v>
      </x:c>
      <x:c r="B47" t="str">
        <x:f>PROPER(TRIM('Raw Sales'!B47))</x:f>
        <x:v>Mhlabeni Secondary</x:v>
      </x:c>
      <x:c r="C47" t="str">
        <x:f>IF(OR(UPPER(TRIM('Raw Sales'!C47))="BOCHUM",UPPER(TRIM('Raw Sales'!C47))="BOCHUM REGION"),"Bochum",IF(OR(UPPER(TRIM('Raw Sales'!C47))="ELDORADO",UPPER(TRIM('Raw Sales'!C47))="ELDOS"),"Eldorado","Review"))</x:f>
        <x:v>Eldorado</x:v>
      </x:c>
      <x:c r="D47" t="str">
        <x:f>PROPER(TRIM('Raw Sales'!D47))</x:f>
        <x:v>Exercise Books</x:v>
      </x:c>
      <x:c r="E47" s="8" t="n">
        <x:f>IFERROR(VALUE('Raw Sales'!E47),"")</x:f>
        <x:v>7</x:v>
      </x:c>
      <x:c r="F47" s="9" t="n">
        <x:v>161</x:v>
      </x:c>
      <x:c r="G47" s="10" t="n">
        <x:f>IFERROR(IF(OR(MID(TRIM('Raw Sales'!G47),5,1)="-",MID(TRIM('Raw Sales'!G47),5,1)="/"),DATE(VALUE(LEFT(TRIM('Raw Sales'!G47),4)),VALUE(MID(TRIM('Raw Sales'!G47),6,2)),VALUE(RIGHT(TRIM('Raw Sales'!G47),2))),IF(LEN(TRIM('Raw Sales'!G47))=10,DATE(VALUE(RIGHT(TRIM('Raw Sales'!G47),4)),VALUE(MID(TRIM('Raw Sales'!G47),4,2)),VALUE(LEFT(TRIM('Raw Sales'!G47),2))),IF(LEN(TRIM('Raw Sales'!G47))=8,DATE(2000+VALUE(RIGHT(TRIM('Raw Sales'!G47),2)),VALUE(MID(TRIM('Raw Sales'!G47),4,2)),VALUE(LEFT(TRIM('Raw Sales'!G47),2))),""))),"")</x:f>
        <x:v>46100</x:v>
      </x:c>
      <x:c r="H47" t="str">
        <x:f>IF(TRIM('Raw Sales'!H47)="","Missing",PROPER(TRIM('Raw Sales'!H47)))</x:f>
        <x:v>Lebo Nkosi</x:v>
      </x:c>
      <x:c r="I47" t="str">
        <x:f>IF(OR(UPPER(TRIM('Raw Sales'!I47))="PAID",UPPER(TRIM('Raw Sales'!I47))="SETTLED",UPPER(TRIM('Raw Sales'!I47))="COMPLETE"),"Paid",IF(UPPER(TRIM('Raw Sales'!I47))="PENDING","Pending","Review"))</x:f>
        <x:v>Paid</x:v>
      </x:c>
      <x:c r="J47" t="str">
        <x:f>IF(A47="","Missing",IF(COUNTIF($A$6:A47,A47)&gt;1,"Duplicate","Unique"))</x:f>
        <x:v>Unique</x:v>
      </x:c>
      <x:c r="K47" s="11" t="n">
        <x:f>IF(A47="",1,0)+IF(B47="",1,0)+IF(C47="Review",1,0)+IF(D47="",1,0)+IF(OR(E47="",E47&lt;=0),1,0)+IF(OR(F47="",F47&lt;=0),1,0)+IF(G47="",1,0)+IF(H47="Missing",1,0)+IF(I47="Review",1,0)+IF(J47="Duplicate",1,0)</x:f>
        <x:v>0</x:v>
      </x:c>
      <x:c r="L47" s="12" t="str">
        <x:f>IF(A47="","Missing order ID; ","")&amp;IF(B47="","Missing school; ","")&amp;IF(C47="Review","Unmapped region; ","")&amp;IF(D47="","Missing product; ","")&amp;IF(OR(E47="",E47&lt;=0),"Invalid units; ","")&amp;IF(OR(F47="",F47&lt;=0),"Invalid amount; ","")&amp;IF(G47="","Invalid date; ","")&amp;IF(H47="Missing","Missing sales rep; ","")&amp;IF(I47="Review","Unmapped payment status; ","")&amp;IF(J47="Duplicate","Duplicate ID; ","")</x:f>
      </x:c>
      <x:c r="M47" t="str">
        <x:f>IF(K47=0,"Ready","Review")</x:f>
        <x:v>Ready</x:v>
      </x:c>
    </x:row>
    <x:row r="48">
      <x:c r="A48" t="str">
        <x:f>UPPER(TRIM('Raw Sales'!A48))</x:f>
        <x:v>SAL-26-0043</x:v>
      </x:c>
      <x:c r="B48" t="str">
        <x:f>PROPER(TRIM('Raw Sales'!B48))</x:f>
        <x:v>Meadowlands School</x:v>
      </x:c>
      <x:c r="C48" t="str">
        <x:f>IF(OR(UPPER(TRIM('Raw Sales'!C48))="BOCHUM",UPPER(TRIM('Raw Sales'!C48))="BOCHUM REGION"),"Bochum",IF(OR(UPPER(TRIM('Raw Sales'!C48))="ELDORADO",UPPER(TRIM('Raw Sales'!C48))="ELDOS"),"Eldorado","Review"))</x:f>
        <x:v>Bochum</x:v>
      </x:c>
      <x:c r="D48" t="str">
        <x:f>PROPER(TRIM('Raw Sales'!D48))</x:f>
        <x:v>Pencils</x:v>
      </x:c>
      <x:c r="E48" s="8" t="n">
        <x:f>IFERROR(VALUE('Raw Sales'!E48),"")</x:f>
        <x:v>14</x:v>
      </x:c>
      <x:c r="F48" s="9"/>
      <x:c r="G48" s="10" t="n">
        <x:f>IFERROR(IF(OR(MID(TRIM('Raw Sales'!G48),5,1)="-",MID(TRIM('Raw Sales'!G48),5,1)="/"),DATE(VALUE(LEFT(TRIM('Raw Sales'!G48),4)),VALUE(MID(TRIM('Raw Sales'!G48),6,2)),VALUE(RIGHT(TRIM('Raw Sales'!G48),2))),IF(LEN(TRIM('Raw Sales'!G48))=10,DATE(VALUE(RIGHT(TRIM('Raw Sales'!G48),4)),VALUE(MID(TRIM('Raw Sales'!G48),4,2)),VALUE(LEFT(TRIM('Raw Sales'!G48),2))),IF(LEN(TRIM('Raw Sales'!G48))=8,DATE(2000+VALUE(RIGHT(TRIM('Raw Sales'!G48),2)),VALUE(MID(TRIM('Raw Sales'!G48),4,2)),VALUE(LEFT(TRIM('Raw Sales'!G48),2))),""))),"")</x:f>
        <x:v>46132</x:v>
      </x:c>
      <x:c r="H48" t="str">
        <x:f>IF(TRIM('Raw Sales'!H48)="","Missing",PROPER(TRIM('Raw Sales'!H48)))</x:f>
        <x:v>Thabo Ndlovu</x:v>
      </x:c>
      <x:c r="I48" t="str">
        <x:f>IF(OR(UPPER(TRIM('Raw Sales'!I48))="PAID",UPPER(TRIM('Raw Sales'!I48))="SETTLED",UPPER(TRIM('Raw Sales'!I48))="COMPLETE"),"Paid",IF(UPPER(TRIM('Raw Sales'!I48))="PENDING","Pending","Review"))</x:f>
        <x:v>Pending</x:v>
      </x:c>
      <x:c r="J48" t="str">
        <x:f>IF(A48="","Missing",IF(COUNTIF($A$6:A48,A48)&gt;1,"Duplicate","Unique"))</x:f>
        <x:v>Unique</x:v>
      </x:c>
      <x:c r="K48" s="11" t="n">
        <x:f>IF(A48="",1,0)+IF(B48="",1,0)+IF(C48="Review",1,0)+IF(D48="",1,0)+IF(OR(E48="",E48&lt;=0),1,0)+IF(OR(F48="",F48&lt;=0),1,0)+IF(G48="",1,0)+IF(H48="Missing",1,0)+IF(I48="Review",1,0)+IF(J48="Duplicate",1,0)</x:f>
        <x:v>1</x:v>
      </x:c>
      <x:c r="L48" s="12" t="str">
        <x:f>IF(A48="","Missing order ID; ","")&amp;IF(B48="","Missing school; ","")&amp;IF(C48="Review","Unmapped region; ","")&amp;IF(D48="","Missing product; ","")&amp;IF(OR(E48="",E48&lt;=0),"Invalid units; ","")&amp;IF(OR(F48="",F48&lt;=0),"Invalid amount; ","")&amp;IF(G48="","Invalid date; ","")&amp;IF(H48="Missing","Missing sales rep; ","")&amp;IF(I48="Review","Unmapped payment status; ","")&amp;IF(J48="Duplicate","Duplicate ID; ","")</x:f>
        <x:v>Invalid amount; </x:v>
      </x:c>
      <x:c r="M48" t="str">
        <x:f>IF(K48=0,"Ready","Review")</x:f>
        <x:v>Review</x:v>
      </x:c>
    </x:row>
    <x:row r="49">
      <x:c r="A49" t="str">
        <x:f>UPPER(TRIM('Raw Sales'!A49))</x:f>
        <x:v>SAL-26-0044</x:v>
      </x:c>
      <x:c r="B49" t="str">
        <x:f>PROPER(TRIM('Raw Sales'!B49))</x:f>
        <x:v>Gardenview School</x:v>
      </x:c>
      <x:c r="C49" t="str">
        <x:f>IF(OR(UPPER(TRIM('Raw Sales'!C49))="BOCHUM",UPPER(TRIM('Raw Sales'!C49))="BOCHUM REGION"),"Bochum",IF(OR(UPPER(TRIM('Raw Sales'!C49))="ELDORADO",UPPER(TRIM('Raw Sales'!C49))="ELDOS"),"Eldorado","Review"))</x:f>
        <x:v>Eldorado</x:v>
      </x:c>
      <x:c r="D49" t="str">
        <x:f>PROPER(TRIM('Raw Sales'!D49))</x:f>
        <x:v>Folders</x:v>
      </x:c>
      <x:c r="E49" s="8" t="n">
        <x:f>IFERROR(VALUE('Raw Sales'!E49),"")</x:f>
        <x:v>21</x:v>
      </x:c>
      <x:c r="F49" s="9" t="n">
        <x:v>1029</x:v>
      </x:c>
      <x:c r="G49" s="10" t="n">
        <x:f>IFERROR(IF(OR(MID(TRIM('Raw Sales'!G49),5,1)="-",MID(TRIM('Raw Sales'!G49),5,1)="/"),DATE(VALUE(LEFT(TRIM('Raw Sales'!G49),4)),VALUE(MID(TRIM('Raw Sales'!G49),6,2)),VALUE(RIGHT(TRIM('Raw Sales'!G49),2))),IF(LEN(TRIM('Raw Sales'!G49))=10,DATE(VALUE(RIGHT(TRIM('Raw Sales'!G49),4)),VALUE(MID(TRIM('Raw Sales'!G49),4,2)),VALUE(LEFT(TRIM('Raw Sales'!G49),2))),IF(LEN(TRIM('Raw Sales'!G49))=8,DATE(2000+VALUE(RIGHT(TRIM('Raw Sales'!G49),2)),VALUE(MID(TRIM('Raw Sales'!G49),4,2)),VALUE(LEFT(TRIM('Raw Sales'!G49),2))),""))),"")</x:f>
        <x:v>46163</x:v>
      </x:c>
      <x:c r="H49" t="str">
        <x:f>IF(TRIM('Raw Sales'!H49)="","Missing",PROPER(TRIM('Raw Sales'!H49)))</x:f>
        <x:v>Lebo Nkosi</x:v>
      </x:c>
      <x:c r="I49" t="str">
        <x:f>IF(OR(UPPER(TRIM('Raw Sales'!I49))="PAID",UPPER(TRIM('Raw Sales'!I49))="SETTLED",UPPER(TRIM('Raw Sales'!I49))="COMPLETE"),"Paid",IF(UPPER(TRIM('Raw Sales'!I49))="PENDING","Pending","Review"))</x:f>
        <x:v>Paid</x:v>
      </x:c>
      <x:c r="J49" t="str">
        <x:f>IF(A49="","Missing",IF(COUNTIF($A$6:A49,A49)&gt;1,"Duplicate","Unique"))</x:f>
        <x:v>Unique</x:v>
      </x:c>
      <x:c r="K49" s="11" t="n">
        <x:f>IF(A49="",1,0)+IF(B49="",1,0)+IF(C49="Review",1,0)+IF(D49="",1,0)+IF(OR(E49="",E49&lt;=0),1,0)+IF(OR(F49="",F49&lt;=0),1,0)+IF(G49="",1,0)+IF(H49="Missing",1,0)+IF(I49="Review",1,0)+IF(J49="Duplicate",1,0)</x:f>
        <x:v>0</x:v>
      </x:c>
      <x:c r="L49" s="12" t="str">
        <x:f>IF(A49="","Missing order ID; ","")&amp;IF(B49="","Missing school; ","")&amp;IF(C49="Review","Unmapped region; ","")&amp;IF(D49="","Missing product; ","")&amp;IF(OR(E49="",E49&lt;=0),"Invalid units; ","")&amp;IF(OR(F49="",F49&lt;=0),"Invalid amount; ","")&amp;IF(G49="","Invalid date; ","")&amp;IF(H49="Missing","Missing sales rep; ","")&amp;IF(I49="Review","Unmapped payment status; ","")&amp;IF(J49="Duplicate","Duplicate ID; ","")</x:f>
      </x:c>
      <x:c r="M49" t="str">
        <x:f>IF(K49=0,"Ready","Review")</x:f>
        <x:v>Ready</x:v>
      </x:c>
    </x:row>
    <x:row r="50">
      <x:c r="A50" t="str">
        <x:f>UPPER(TRIM('Raw Sales'!A50))</x:f>
        <x:v>SAL-26-0045</x:v>
      </x:c>
      <x:c r="B50" t="str">
        <x:f>PROPER(TRIM('Raw Sales'!B50))</x:f>
        <x:v>Riverside Academy</x:v>
      </x:c>
      <x:c r="C50" t="str">
        <x:f>IF(OR(UPPER(TRIM('Raw Sales'!C50))="BOCHUM",UPPER(TRIM('Raw Sales'!C50))="BOCHUM REGION"),"Bochum",IF(OR(UPPER(TRIM('Raw Sales'!C50))="ELDORADO",UPPER(TRIM('Raw Sales'!C50))="ELDOS"),"Eldorado","Review"))</x:f>
        <x:v>Bochum</x:v>
      </x:c>
      <x:c r="D50" t="str">
        <x:f>PROPER(TRIM('Raw Sales'!D50))</x:f>
        <x:v>Pens</x:v>
      </x:c>
      <x:c r="E50" s="8" t="n">
        <x:f>IFERROR(VALUE('Raw Sales'!E50),"")</x:f>
        <x:v>28</x:v>
      </x:c>
      <x:c r="F50" s="9" t="n">
        <x:v>1736</x:v>
      </x:c>
      <x:c r="G50" s="10" t="n">
        <x:f>IFERROR(IF(OR(MID(TRIM('Raw Sales'!G50),5,1)="-",MID(TRIM('Raw Sales'!G50),5,1)="/"),DATE(VALUE(LEFT(TRIM('Raw Sales'!G50),4)),VALUE(MID(TRIM('Raw Sales'!G50),6,2)),VALUE(RIGHT(TRIM('Raw Sales'!G50),2))),IF(LEN(TRIM('Raw Sales'!G50))=10,DATE(VALUE(RIGHT(TRIM('Raw Sales'!G50),4)),VALUE(MID(TRIM('Raw Sales'!G50),4,2)),VALUE(LEFT(TRIM('Raw Sales'!G50),2))),IF(LEN(TRIM('Raw Sales'!G50))=8,DATE(2000+VALUE(RIGHT(TRIM('Raw Sales'!G50),2)),VALUE(MID(TRIM('Raw Sales'!G50),4,2)),VALUE(LEFT(TRIM('Raw Sales'!G50),2))),""))),"")</x:f>
        <x:v>46195</x:v>
      </x:c>
      <x:c r="H50" t="str">
        <x:f>IF(TRIM('Raw Sales'!H50)="","Missing",PROPER(TRIM('Raw Sales'!H50)))</x:f>
        <x:v>Thabo Ndlovu</x:v>
      </x:c>
      <x:c r="I50" t="str">
        <x:f>IF(OR(UPPER(TRIM('Raw Sales'!I50))="PAID",UPPER(TRIM('Raw Sales'!I50))="SETTLED",UPPER(TRIM('Raw Sales'!I50))="COMPLETE"),"Paid",IF(UPPER(TRIM('Raw Sales'!I50))="PENDING","Pending","Review"))</x:f>
        <x:v>Paid</x:v>
      </x:c>
      <x:c r="J50" t="str">
        <x:f>IF(A50="","Missing",IF(COUNTIF($A$6:A50,A50)&gt;1,"Duplicate","Unique"))</x:f>
        <x:v>Unique</x:v>
      </x:c>
      <x:c r="K50" s="11" t="n">
        <x:f>IF(A50="",1,0)+IF(B50="",1,0)+IF(C50="Review",1,0)+IF(D50="",1,0)+IF(OR(E50="",E50&lt;=0),1,0)+IF(OR(F50="",F50&lt;=0),1,0)+IF(G50="",1,0)+IF(H50="Missing",1,0)+IF(I50="Review",1,0)+IF(J50="Duplicate",1,0)</x:f>
        <x:v>0</x:v>
      </x:c>
      <x:c r="L50" s="12" t="str">
        <x:f>IF(A50="","Missing order ID; ","")&amp;IF(B50="","Missing school; ","")&amp;IF(C50="Review","Unmapped region; ","")&amp;IF(D50="","Missing product; ","")&amp;IF(OR(E50="",E50&lt;=0),"Invalid units; ","")&amp;IF(OR(F50="",F50&lt;=0),"Invalid amount; ","")&amp;IF(G50="","Invalid date; ","")&amp;IF(H50="Missing","Missing sales rep; ","")&amp;IF(I50="Review","Unmapped payment status; ","")&amp;IF(J50="Duplicate","Duplicate ID; ","")</x:f>
      </x:c>
      <x:c r="M50" t="str">
        <x:f>IF(K50=0,"Ready","Review")</x:f>
        <x:v>Ready</x:v>
      </x:c>
    </x:row>
    <x:row r="51">
      <x:c r="A51" t="str">
        <x:f>UPPER(TRIM('Raw Sales'!A51))</x:f>
        <x:v>SAL-26-0046</x:v>
      </x:c>
      <x:c r="B51" t="str">
        <x:f>PROPER(TRIM('Raw Sales'!B51))</x:f>
        <x:v>Maple Secondary</x:v>
      </x:c>
      <x:c r="C51" t="str">
        <x:f>IF(OR(UPPER(TRIM('Raw Sales'!C51))="BOCHUM",UPPER(TRIM('Raw Sales'!C51))="BOCHUM REGION"),"Bochum",IF(OR(UPPER(TRIM('Raw Sales'!C51))="ELDORADO",UPPER(TRIM('Raw Sales'!C51))="ELDOS"),"Eldorado","Review"))</x:f>
        <x:v>Eldorado</x:v>
      </x:c>
      <x:c r="D51" t="str">
        <x:f>PROPER(TRIM('Raw Sales'!D51))</x:f>
        <x:v>Glue Sticks</x:v>
      </x:c>
      <x:c r="E51" s="8" t="n">
        <x:f>IFERROR(VALUE('Raw Sales'!E51),"")</x:f>
        <x:v>35</x:v>
      </x:c>
      <x:c r="F51" s="9" t="n">
        <x:v>2625</x:v>
      </x:c>
      <x:c r="G51" s="10" t="n">
        <x:f>IFERROR(IF(OR(MID(TRIM('Raw Sales'!G51),5,1)="-",MID(TRIM('Raw Sales'!G51),5,1)="/"),DATE(VALUE(LEFT(TRIM('Raw Sales'!G51),4)),VALUE(MID(TRIM('Raw Sales'!G51),6,2)),VALUE(RIGHT(TRIM('Raw Sales'!G51),2))),IF(LEN(TRIM('Raw Sales'!G51))=10,DATE(VALUE(RIGHT(TRIM('Raw Sales'!G51),4)),VALUE(MID(TRIM('Raw Sales'!G51),4,2)),VALUE(LEFT(TRIM('Raw Sales'!G51),2))),IF(LEN(TRIM('Raw Sales'!G51))=8,DATE(2000+VALUE(RIGHT(TRIM('Raw Sales'!G51),2)),VALUE(MID(TRIM('Raw Sales'!G51),4,2)),VALUE(LEFT(TRIM('Raw Sales'!G51),2))),""))),"")</x:f>
        <x:v>46226</x:v>
      </x:c>
      <x:c r="H51" t="str">
        <x:f>IF(TRIM('Raw Sales'!H51)="","Missing",PROPER(TRIM('Raw Sales'!H51)))</x:f>
        <x:v>Missing</x:v>
      </x:c>
      <x:c r="I51" t="str">
        <x:f>IF(OR(UPPER(TRIM('Raw Sales'!I51))="PAID",UPPER(TRIM('Raw Sales'!I51))="SETTLED",UPPER(TRIM('Raw Sales'!I51))="COMPLETE"),"Paid",IF(UPPER(TRIM('Raw Sales'!I51))="PENDING","Pending","Review"))</x:f>
        <x:v>Pending</x:v>
      </x:c>
      <x:c r="J51" t="str">
        <x:f>IF(A51="","Missing",IF(COUNTIF($A$6:A51,A51)&gt;1,"Duplicate","Unique"))</x:f>
        <x:v>Unique</x:v>
      </x:c>
      <x:c r="K51" s="11" t="n">
        <x:f>IF(A51="",1,0)+IF(B51="",1,0)+IF(C51="Review",1,0)+IF(D51="",1,0)+IF(OR(E51="",E51&lt;=0),1,0)+IF(OR(F51="",F51&lt;=0),1,0)+IF(G51="",1,0)+IF(H51="Missing",1,0)+IF(I51="Review",1,0)+IF(J51="Duplicate",1,0)</x:f>
        <x:v>1</x:v>
      </x:c>
      <x:c r="L51" s="12" t="str">
        <x:f>IF(A51="","Missing order ID; ","")&amp;IF(B51="","Missing school; ","")&amp;IF(C51="Review","Unmapped region; ","")&amp;IF(D51="","Missing product; ","")&amp;IF(OR(E51="",E51&lt;=0),"Invalid units; ","")&amp;IF(OR(F51="",F51&lt;=0),"Invalid amount; ","")&amp;IF(G51="","Invalid date; ","")&amp;IF(H51="Missing","Missing sales rep; ","")&amp;IF(I51="Review","Unmapped payment status; ","")&amp;IF(J51="Duplicate","Duplicate ID; ","")</x:f>
        <x:v>Missing sales rep; </x:v>
      </x:c>
      <x:c r="M51" t="str">
        <x:f>IF(K51=0,"Ready","Review")</x:f>
        <x:v>Review</x:v>
      </x:c>
    </x:row>
    <x:row r="52">
      <x:c r="A52" t="str">
        <x:f>UPPER(TRIM('Raw Sales'!A52))</x:f>
        <x:v>SAL-26-0047</x:v>
      </x:c>
      <x:c r="B52" t="str">
        <x:f>PROPER(TRIM('Raw Sales'!B52))</x:f>
        <x:v>Pinecrest School</x:v>
      </x:c>
      <x:c r="C52" t="str">
        <x:f>IF(OR(UPPER(TRIM('Raw Sales'!C52))="BOCHUM",UPPER(TRIM('Raw Sales'!C52))="BOCHUM REGION"),"Bochum",IF(OR(UPPER(TRIM('Raw Sales'!C52))="ELDORADO",UPPER(TRIM('Raw Sales'!C52))="ELDOS"),"Eldorado","Review"))</x:f>
        <x:v>Review</x:v>
      </x:c>
      <x:c r="D52" t="str">
        <x:f>PROPER(TRIM('Raw Sales'!D52))</x:f>
        <x:v>Markers</x:v>
      </x:c>
      <x:c r="E52" s="8" t="n">
        <x:f>IFERROR(VALUE('Raw Sales'!E52),"")</x:f>
        <x:v>6</x:v>
      </x:c>
      <x:c r="F52" s="9" t="n">
        <x:v>-300</x:v>
      </x:c>
      <x:c r="G52" s="10" t="n">
        <x:f>IFERROR(IF(OR(MID(TRIM('Raw Sales'!G52),5,1)="-",MID(TRIM('Raw Sales'!G52),5,1)="/"),DATE(VALUE(LEFT(TRIM('Raw Sales'!G52),4)),VALUE(MID(TRIM('Raw Sales'!G52),6,2)),VALUE(RIGHT(TRIM('Raw Sales'!G52),2))),IF(LEN(TRIM('Raw Sales'!G52))=10,DATE(VALUE(RIGHT(TRIM('Raw Sales'!G52),4)),VALUE(MID(TRIM('Raw Sales'!G52),4,2)),VALUE(LEFT(TRIM('Raw Sales'!G52),2))),IF(LEN(TRIM('Raw Sales'!G52))=8,DATE(2000+VALUE(RIGHT(TRIM('Raw Sales'!G52),2)),VALUE(MID(TRIM('Raw Sales'!G52),4,2)),VALUE(LEFT(TRIM('Raw Sales'!G52),2))),""))),"")</x:f>
        <x:v>46258</x:v>
      </x:c>
      <x:c r="H52" t="str">
        <x:f>IF(TRIM('Raw Sales'!H52)="","Missing",PROPER(TRIM('Raw Sales'!H52)))</x:f>
        <x:v>Thabo Ndlovu</x:v>
      </x:c>
      <x:c r="I52" t="str">
        <x:f>IF(OR(UPPER(TRIM('Raw Sales'!I52))="PAID",UPPER(TRIM('Raw Sales'!I52))="SETTLED",UPPER(TRIM('Raw Sales'!I52))="COMPLETE"),"Paid",IF(UPPER(TRIM('Raw Sales'!I52))="PENDING","Pending","Review"))</x:f>
        <x:v>Paid</x:v>
      </x:c>
      <x:c r="J52" t="str">
        <x:f>IF(A52="","Missing",IF(COUNTIF($A$6:A52,A52)&gt;1,"Duplicate","Unique"))</x:f>
        <x:v>Unique</x:v>
      </x:c>
      <x:c r="K52" s="11" t="n">
        <x:f>IF(A52="",1,0)+IF(B52="",1,0)+IF(C52="Review",1,0)+IF(D52="",1,0)+IF(OR(E52="",E52&lt;=0),1,0)+IF(OR(F52="",F52&lt;=0),1,0)+IF(G52="",1,0)+IF(H52="Missing",1,0)+IF(I52="Review",1,0)+IF(J52="Duplicate",1,0)</x:f>
        <x:v>2</x:v>
      </x:c>
      <x:c r="L52" s="12" t="str">
        <x:f>IF(A52="","Missing order ID; ","")&amp;IF(B52="","Missing school; ","")&amp;IF(C52="Review","Unmapped region; ","")&amp;IF(D52="","Missing product; ","")&amp;IF(OR(E52="",E52&lt;=0),"Invalid units; ","")&amp;IF(OR(F52="",F52&lt;=0),"Invalid amount; ","")&amp;IF(G52="","Invalid date; ","")&amp;IF(H52="Missing","Missing sales rep; ","")&amp;IF(I52="Review","Unmapped payment status; ","")&amp;IF(J52="Duplicate","Duplicate ID; ","")</x:f>
        <x:v>Unmapped region; Invalid amount; </x:v>
      </x:c>
      <x:c r="M52" t="str">
        <x:f>IF(K52=0,"Ready","Review")</x:f>
        <x:v>Review</x:v>
      </x:c>
    </x:row>
    <x:row r="53">
      <x:c r="A53" t="str">
        <x:f>UPPER(TRIM('Raw Sales'!A53))</x:f>
        <x:v>SAL-26-0048</x:v>
      </x:c>
      <x:c r="B53" t="str">
        <x:f>PROPER(TRIM('Raw Sales'!B53))</x:f>
        <x:v>Northstar Academy</x:v>
      </x:c>
      <x:c r="C53" t="str">
        <x:f>IF(OR(UPPER(TRIM('Raw Sales'!C53))="BOCHUM",UPPER(TRIM('Raw Sales'!C53))="BOCHUM REGION"),"Bochum",IF(OR(UPPER(TRIM('Raw Sales'!C53))="ELDORADO",UPPER(TRIM('Raw Sales'!C53))="ELDOS"),"Eldorado","Review"))</x:f>
        <x:v>Bochum</x:v>
      </x:c>
      <x:c r="D53" t="str">
        <x:f>PROPER(TRIM('Raw Sales'!D53))</x:f>
        <x:v>Notebooks</x:v>
      </x:c>
      <x:c r="E53" s="8" t="n">
        <x:f>IFERROR(VALUE('Raw Sales'!E53),"")</x:f>
        <x:v>13</x:v>
      </x:c>
      <x:c r="F53" s="9" t="n">
        <x:v>1313</x:v>
      </x:c>
      <x:c r="G53" s="10" t="n">
        <x:f>IFERROR(IF(OR(MID(TRIM('Raw Sales'!G53),5,1)="-",MID(TRIM('Raw Sales'!G53),5,1)="/"),DATE(VALUE(LEFT(TRIM('Raw Sales'!G53),4)),VALUE(MID(TRIM('Raw Sales'!G53),6,2)),VALUE(RIGHT(TRIM('Raw Sales'!G53),2))),IF(LEN(TRIM('Raw Sales'!G53))=10,DATE(VALUE(RIGHT(TRIM('Raw Sales'!G53),4)),VALUE(MID(TRIM('Raw Sales'!G53),4,2)),VALUE(LEFT(TRIM('Raw Sales'!G53),2))),IF(LEN(TRIM('Raw Sales'!G53))=8,DATE(2000+VALUE(RIGHT(TRIM('Raw Sales'!G53),2)),VALUE(MID(TRIM('Raw Sales'!G53),4,2)),VALUE(LEFT(TRIM('Raw Sales'!G53),2))),""))),"")</x:f>
        <x:v>46047</x:v>
      </x:c>
      <x:c r="H53" t="str">
        <x:f>IF(TRIM('Raw Sales'!H53)="","Missing",PROPER(TRIM('Raw Sales'!H53)))</x:f>
        <x:v>Lebo Nkosi</x:v>
      </x:c>
      <x:c r="I53" t="str">
        <x:f>IF(OR(UPPER(TRIM('Raw Sales'!I53))="PAID",UPPER(TRIM('Raw Sales'!I53))="SETTLED",UPPER(TRIM('Raw Sales'!I53))="COMPLETE"),"Paid",IF(UPPER(TRIM('Raw Sales'!I53))="PENDING","Pending","Review"))</x:f>
        <x:v>Paid</x:v>
      </x:c>
      <x:c r="J53" t="str">
        <x:f>IF(A53="","Missing",IF(COUNTIF($A$6:A53,A53)&gt;1,"Duplicate","Unique"))</x:f>
        <x:v>Unique</x:v>
      </x:c>
      <x:c r="K53" s="11" t="n">
        <x:f>IF(A53="",1,0)+IF(B53="",1,0)+IF(C53="Review",1,0)+IF(D53="",1,0)+IF(OR(E53="",E53&lt;=0),1,0)+IF(OR(F53="",F53&lt;=0),1,0)+IF(G53="",1,0)+IF(H53="Missing",1,0)+IF(I53="Review",1,0)+IF(J53="Duplicate",1,0)</x:f>
        <x:v>0</x:v>
      </x:c>
      <x:c r="L53" s="12" t="str">
        <x:f>IF(A53="","Missing order ID; ","")&amp;IF(B53="","Missing school; ","")&amp;IF(C53="Review","Unmapped region; ","")&amp;IF(D53="","Missing product; ","")&amp;IF(OR(E53="",E53&lt;=0),"Invalid units; ","")&amp;IF(OR(F53="",F53&lt;=0),"Invalid amount; ","")&amp;IF(G53="","Invalid date; ","")&amp;IF(H53="Missing","Missing sales rep; ","")&amp;IF(I53="Review","Unmapped payment status; ","")&amp;IF(J53="Duplicate","Duplicate ID; ","")</x:f>
      </x:c>
      <x:c r="M53" t="str">
        <x:f>IF(K53=0,"Ready","Review")</x:f>
        <x:v>Ready</x:v>
      </x:c>
    </x:row>
    <x:row r="54">
      <x:c r="A54" t="str">
        <x:f>UPPER(TRIM('Raw Sales'!A54))</x:f>
        <x:v>SAL-26-0049</x:v>
      </x:c>
      <x:c r="B54" t="str">
        <x:f>PROPER(TRIM('Raw Sales'!B54))</x:f>
        <x:v>Crescent Primary</x:v>
      </x:c>
      <x:c r="C54" t="str">
        <x:f>IF(OR(UPPER(TRIM('Raw Sales'!C54))="BOCHUM",UPPER(TRIM('Raw Sales'!C54))="BOCHUM REGION"),"Bochum",IF(OR(UPPER(TRIM('Raw Sales'!C54))="ELDORADO",UPPER(TRIM('Raw Sales'!C54))="ELDOS"),"Eldorado","Review"))</x:f>
        <x:v>Eldorado</x:v>
      </x:c>
      <x:c r="D54" t="str">
        <x:f>PROPER(TRIM('Raw Sales'!D54))</x:f>
        <x:v>Rulers</x:v>
      </x:c>
      <x:c r="E54" s="8" t="n">
        <x:f>IFERROR(VALUE('Raw Sales'!E54),"")</x:f>
        <x:v>20</x:v>
      </x:c>
      <x:c r="F54" s="9" t="n">
        <x:v>2280</x:v>
      </x:c>
      <x:c r="G54" s="10" t="n">
        <x:f>IFERROR(IF(OR(MID(TRIM('Raw Sales'!G54),5,1)="-",MID(TRIM('Raw Sales'!G54),5,1)="/"),DATE(VALUE(LEFT(TRIM('Raw Sales'!G54),4)),VALUE(MID(TRIM('Raw Sales'!G54),6,2)),VALUE(RIGHT(TRIM('Raw Sales'!G54),2))),IF(LEN(TRIM('Raw Sales'!G54))=10,DATE(VALUE(RIGHT(TRIM('Raw Sales'!G54),4)),VALUE(MID(TRIM('Raw Sales'!G54),4,2)),VALUE(LEFT(TRIM('Raw Sales'!G54),2))),IF(LEN(TRIM('Raw Sales'!G54))=8,DATE(2000+VALUE(RIGHT(TRIM('Raw Sales'!G54),2)),VALUE(MID(TRIM('Raw Sales'!G54),4,2)),VALUE(LEFT(TRIM('Raw Sales'!G54),2))),""))),"")</x:f>
        <x:v>46079</x:v>
      </x:c>
      <x:c r="H54" t="str">
        <x:f>IF(TRIM('Raw Sales'!H54)="","Missing",PROPER(TRIM('Raw Sales'!H54)))</x:f>
        <x:v>Thabo Ndlovu</x:v>
      </x:c>
      <x:c r="I54" t="str">
        <x:f>IF(OR(UPPER(TRIM('Raw Sales'!I54))="PAID",UPPER(TRIM('Raw Sales'!I54))="SETTLED",UPPER(TRIM('Raw Sales'!I54))="COMPLETE"),"Paid",IF(UPPER(TRIM('Raw Sales'!I54))="PENDING","Pending","Review"))</x:f>
        <x:v>Pending</x:v>
      </x:c>
      <x:c r="J54" t="str">
        <x:f>IF(A54="","Missing",IF(COUNTIF($A$6:A54,A54)&gt;1,"Duplicate","Unique"))</x:f>
        <x:v>Unique</x:v>
      </x:c>
      <x:c r="K54" s="11" t="n">
        <x:f>IF(A54="",1,0)+IF(B54="",1,0)+IF(C54="Review",1,0)+IF(D54="",1,0)+IF(OR(E54="",E54&lt;=0),1,0)+IF(OR(F54="",F54&lt;=0),1,0)+IF(G54="",1,0)+IF(H54="Missing",1,0)+IF(I54="Review",1,0)+IF(J54="Duplicate",1,0)</x:f>
        <x:v>0</x:v>
      </x:c>
      <x:c r="L54" s="12" t="str">
        <x:f>IF(A54="","Missing order ID; ","")&amp;IF(B54="","Missing school; ","")&amp;IF(C54="Review","Unmapped region; ","")&amp;IF(D54="","Missing product; ","")&amp;IF(OR(E54="",E54&lt;=0),"Invalid units; ","")&amp;IF(OR(F54="",F54&lt;=0),"Invalid amount; ","")&amp;IF(G54="","Invalid date; ","")&amp;IF(H54="Missing","Missing sales rep; ","")&amp;IF(I54="Review","Unmapped payment status; ","")&amp;IF(J54="Duplicate","Duplicate ID; ","")</x:f>
      </x:c>
      <x:c r="M54" t="str">
        <x:f>IF(K54=0,"Ready","Review")</x:f>
        <x:v>Ready</x:v>
      </x:c>
    </x:row>
    <x:row r="55">
      <x:c r="A55" t="str">
        <x:f>UPPER(TRIM('Raw Sales'!A55))</x:f>
        <x:v>SAL-26-0050</x:v>
      </x:c>
      <x:c r="B55" t="str">
        <x:f>PROPER(TRIM('Raw Sales'!B55))</x:f>
        <x:v>Hillview Primary</x:v>
      </x:c>
      <x:c r="C55" t="str">
        <x:f>IF(OR(UPPER(TRIM('Raw Sales'!C55))="BOCHUM",UPPER(TRIM('Raw Sales'!C55))="BOCHUM REGION"),"Bochum",IF(OR(UPPER(TRIM('Raw Sales'!C55))="ELDORADO",UPPER(TRIM('Raw Sales'!C55))="ELDOS"),"Eldorado","Review"))</x:f>
        <x:v>Bochum</x:v>
      </x:c>
      <x:c r="D55" t="str">
        <x:f>PROPER(TRIM('Raw Sales'!D55))</x:f>
        <x:v>Exercise Books</x:v>
      </x:c>
      <x:c r="E55" s="8" t="n">
        <x:f>IFERROR(VALUE('Raw Sales'!E55),"")</x:f>
        <x:v>27</x:v>
      </x:c>
      <x:c r="F55" s="9" t="n">
        <x:v>3429</x:v>
      </x:c>
      <x:c r="G55" s="10" t="n">
        <x:f>IFERROR(IF(OR(MID(TRIM('Raw Sales'!G55),5,1)="-",MID(TRIM('Raw Sales'!G55),5,1)="/"),DATE(VALUE(LEFT(TRIM('Raw Sales'!G55),4)),VALUE(MID(TRIM('Raw Sales'!G55),6,2)),VALUE(RIGHT(TRIM('Raw Sales'!G55),2))),IF(LEN(TRIM('Raw Sales'!G55))=10,DATE(VALUE(RIGHT(TRIM('Raw Sales'!G55),4)),VALUE(MID(TRIM('Raw Sales'!G55),4,2)),VALUE(LEFT(TRIM('Raw Sales'!G55),2))),IF(LEN(TRIM('Raw Sales'!G55))=8,DATE(2000+VALUE(RIGHT(TRIM('Raw Sales'!G55),2)),VALUE(MID(TRIM('Raw Sales'!G55),4,2)),VALUE(LEFT(TRIM('Raw Sales'!G55),2))),""))),"")</x:f>
        <x:v>46083</x:v>
      </x:c>
      <x:c r="H55" t="str">
        <x:f>IF(TRIM('Raw Sales'!H55)="","Missing",PROPER(TRIM('Raw Sales'!H55)))</x:f>
        <x:v>Lebo Nkosi</x:v>
      </x:c>
      <x:c r="I55" t="str">
        <x:f>IF(OR(UPPER(TRIM('Raw Sales'!I55))="PAID",UPPER(TRIM('Raw Sales'!I55))="SETTLED",UPPER(TRIM('Raw Sales'!I55))="COMPLETE"),"Paid",IF(UPPER(TRIM('Raw Sales'!I55))="PENDING","Pending","Review"))</x:f>
        <x:v>Paid</x:v>
      </x:c>
      <x:c r="J55" t="str">
        <x:f>IF(A55="","Missing",IF(COUNTIF($A$6:A55,A55)&gt;1,"Duplicate","Unique"))</x:f>
        <x:v>Unique</x:v>
      </x:c>
      <x:c r="K55" s="11" t="n">
        <x:f>IF(A55="",1,0)+IF(B55="",1,0)+IF(C55="Review",1,0)+IF(D55="",1,0)+IF(OR(E55="",E55&lt;=0),1,0)+IF(OR(F55="",F55&lt;=0),1,0)+IF(G55="",1,0)+IF(H55="Missing",1,0)+IF(I55="Review",1,0)+IF(J55="Duplicate",1,0)</x:f>
        <x:v>0</x:v>
      </x:c>
      <x:c r="L55" s="12" t="str">
        <x:f>IF(A55="","Missing order ID; ","")&amp;IF(B55="","Missing school; ","")&amp;IF(C55="Review","Unmapped region; ","")&amp;IF(D55="","Missing product; ","")&amp;IF(OR(E55="",E55&lt;=0),"Invalid units; ","")&amp;IF(OR(F55="",F55&lt;=0),"Invalid amount; ","")&amp;IF(G55="","Invalid date; ","")&amp;IF(H55="Missing","Missing sales rep; ","")&amp;IF(I55="Review","Unmapped payment status; ","")&amp;IF(J55="Duplicate","Duplicate ID; ","")</x:f>
      </x:c>
      <x:c r="M55" t="str">
        <x:f>IF(K55=0,"Ready","Review")</x:f>
        <x:v>Ready</x:v>
      </x:c>
    </x:row>
    <x:row r="56">
      <x:c r="A56" t="str">
        <x:f>UPPER(TRIM('Raw Sales'!A56))</x:f>
        <x:v>SAL-26-0051</x:v>
      </x:c>
      <x:c r="B56" t="str">
        <x:f>PROPER(TRIM('Raw Sales'!B56))</x:f>
        <x:v>Eastwood Academy</x:v>
      </x:c>
      <x:c r="C56" t="str">
        <x:f>IF(OR(UPPER(TRIM('Raw Sales'!C56))="BOCHUM",UPPER(TRIM('Raw Sales'!C56))="BOCHUM REGION"),"Bochum",IF(OR(UPPER(TRIM('Raw Sales'!C56))="ELDORADO",UPPER(TRIM('Raw Sales'!C56))="ELDOS"),"Eldorado","Review"))</x:f>
        <x:v>Eldorado</x:v>
      </x:c>
      <x:c r="D56" t="str">
        <x:f>PROPER(TRIM('Raw Sales'!D56))</x:f>
        <x:v>Pencils</x:v>
      </x:c>
      <x:c r="E56" s="8" t="n">
        <x:f>IFERROR(VALUE('Raw Sales'!E56),"")</x:f>
        <x:v>34</x:v>
      </x:c>
      <x:c r="F56" s="9"/>
      <x:c r="G56" s="10" t="n">
        <x:f>IFERROR(IF(OR(MID(TRIM('Raw Sales'!G56),5,1)="-",MID(TRIM('Raw Sales'!G56),5,1)="/"),DATE(VALUE(LEFT(TRIM('Raw Sales'!G56),4)),VALUE(MID(TRIM('Raw Sales'!G56),6,2)),VALUE(RIGHT(TRIM('Raw Sales'!G56),2))),IF(LEN(TRIM('Raw Sales'!G56))=10,DATE(VALUE(RIGHT(TRIM('Raw Sales'!G56),4)),VALUE(MID(TRIM('Raw Sales'!G56),4,2)),VALUE(LEFT(TRIM('Raw Sales'!G56),2))),IF(LEN(TRIM('Raw Sales'!G56))=8,DATE(2000+VALUE(RIGHT(TRIM('Raw Sales'!G56),2)),VALUE(MID(TRIM('Raw Sales'!G56),4,2)),VALUE(LEFT(TRIM('Raw Sales'!G56),2))),""))),"")</x:f>
        <x:v>46115</x:v>
      </x:c>
      <x:c r="H56" t="str">
        <x:f>IF(TRIM('Raw Sales'!H56)="","Missing",PROPER(TRIM('Raw Sales'!H56)))</x:f>
        <x:v>Thabo Ndlovu</x:v>
      </x:c>
      <x:c r="I56" t="str">
        <x:f>IF(OR(UPPER(TRIM('Raw Sales'!I56))="PAID",UPPER(TRIM('Raw Sales'!I56))="SETTLED",UPPER(TRIM('Raw Sales'!I56))="COMPLETE"),"Paid",IF(UPPER(TRIM('Raw Sales'!I56))="PENDING","Pending","Review"))</x:f>
        <x:v>Paid</x:v>
      </x:c>
      <x:c r="J56" t="str">
        <x:f>IF(A56="","Missing",IF(COUNTIF($A$6:A56,A56)&gt;1,"Duplicate","Unique"))</x:f>
        <x:v>Unique</x:v>
      </x:c>
      <x:c r="K56" s="11" t="n">
        <x:f>IF(A56="",1,0)+IF(B56="",1,0)+IF(C56="Review",1,0)+IF(D56="",1,0)+IF(OR(E56="",E56&lt;=0),1,0)+IF(OR(F56="",F56&lt;=0),1,0)+IF(G56="",1,0)+IF(H56="Missing",1,0)+IF(I56="Review",1,0)+IF(J56="Duplicate",1,0)</x:f>
        <x:v>1</x:v>
      </x:c>
      <x:c r="L56" s="12" t="str">
        <x:f>IF(A56="","Missing order ID; ","")&amp;IF(B56="","Missing school; ","")&amp;IF(C56="Review","Unmapped region; ","")&amp;IF(D56="","Missing product; ","")&amp;IF(OR(E56="",E56&lt;=0),"Invalid units; ","")&amp;IF(OR(F56="",F56&lt;=0),"Invalid amount; ","")&amp;IF(G56="","Invalid date; ","")&amp;IF(H56="Missing","Missing sales rep; ","")&amp;IF(I56="Review","Unmapped payment status; ","")&amp;IF(J56="Duplicate","Duplicate ID; ","")</x:f>
        <x:v>Invalid amount; </x:v>
      </x:c>
      <x:c r="M56" t="str">
        <x:f>IF(K56=0,"Ready","Review")</x:f>
        <x:v>Review</x:v>
      </x:c>
    </x:row>
    <x:row r="57">
      <x:c r="A57" t="str">
        <x:f>UPPER(TRIM('Raw Sales'!A57))</x:f>
        <x:v>SAL-26-0052</x:v>
      </x:c>
      <x:c r="B57" t="str">
        <x:f>PROPER(TRIM('Raw Sales'!B57))</x:f>
        <x:v>Lakeside School</x:v>
      </x:c>
      <x:c r="C57" t="str">
        <x:f>IF(OR(UPPER(TRIM('Raw Sales'!C57))="BOCHUM",UPPER(TRIM('Raw Sales'!C57))="BOCHUM REGION"),"Bochum",IF(OR(UPPER(TRIM('Raw Sales'!C57))="ELDORADO",UPPER(TRIM('Raw Sales'!C57))="ELDOS"),"Eldorado","Review"))</x:f>
        <x:v>Bochum</x:v>
      </x:c>
      <x:c r="D57" t="str">
        <x:f>PROPER(TRIM('Raw Sales'!D57))</x:f>
        <x:v>Folders</x:v>
      </x:c>
      <x:c r="E57" s="8" t="n">
        <x:f>IFERROR(VALUE('Raw Sales'!E57),"")</x:f>
        <x:v>5</x:v>
      </x:c>
      <x:c r="F57" s="9" t="n">
        <x:v>765</x:v>
      </x:c>
      <x:c r="G57" s="10" t="n">
        <x:f>IFERROR(IF(OR(MID(TRIM('Raw Sales'!G57),5,1)="-",MID(TRIM('Raw Sales'!G57),5,1)="/"),DATE(VALUE(LEFT(TRIM('Raw Sales'!G57),4)),VALUE(MID(TRIM('Raw Sales'!G57),6,2)),VALUE(RIGHT(TRIM('Raw Sales'!G57),2))),IF(LEN(TRIM('Raw Sales'!G57))=10,DATE(VALUE(RIGHT(TRIM('Raw Sales'!G57),4)),VALUE(MID(TRIM('Raw Sales'!G57),4,2)),VALUE(LEFT(TRIM('Raw Sales'!G57),2))),IF(LEN(TRIM('Raw Sales'!G57))=8,DATE(2000+VALUE(RIGHT(TRIM('Raw Sales'!G57),2)),VALUE(MID(TRIM('Raw Sales'!G57),4,2)),VALUE(LEFT(TRIM('Raw Sales'!G57),2))),""))),"")</x:f>
        <x:v>46146</x:v>
      </x:c>
      <x:c r="H57" t="str">
        <x:f>IF(TRIM('Raw Sales'!H57)="","Missing",PROPER(TRIM('Raw Sales'!H57)))</x:f>
        <x:v>Lebo Nkosi</x:v>
      </x:c>
      <x:c r="I57" t="str">
        <x:f>IF(OR(UPPER(TRIM('Raw Sales'!I57))="PAID",UPPER(TRIM('Raw Sales'!I57))="SETTLED",UPPER(TRIM('Raw Sales'!I57))="COMPLETE"),"Paid",IF(UPPER(TRIM('Raw Sales'!I57))="PENDING","Pending","Review"))</x:f>
        <x:v>Pending</x:v>
      </x:c>
      <x:c r="J57" t="str">
        <x:f>IF(A57="","Missing",IF(COUNTIF($A$6:A57,A57)&gt;1,"Duplicate","Unique"))</x:f>
        <x:v>Unique</x:v>
      </x:c>
      <x:c r="K57" s="11" t="n">
        <x:f>IF(A57="",1,0)+IF(B57="",1,0)+IF(C57="Review",1,0)+IF(D57="",1,0)+IF(OR(E57="",E57&lt;=0),1,0)+IF(OR(F57="",F57&lt;=0),1,0)+IF(G57="",1,0)+IF(H57="Missing",1,0)+IF(I57="Review",1,0)+IF(J57="Duplicate",1,0)</x:f>
        <x:v>0</x:v>
      </x:c>
      <x:c r="L57" s="12" t="str">
        <x:f>IF(A57="","Missing order ID; ","")&amp;IF(B57="","Missing school; ","")&amp;IF(C57="Review","Unmapped region; ","")&amp;IF(D57="","Missing product; ","")&amp;IF(OR(E57="",E57&lt;=0),"Invalid units; ","")&amp;IF(OR(F57="",F57&lt;=0),"Invalid amount; ","")&amp;IF(G57="","Invalid date; ","")&amp;IF(H57="Missing","Missing sales rep; ","")&amp;IF(I57="Review","Unmapped payment status; ","")&amp;IF(J57="Duplicate","Duplicate ID; ","")</x:f>
      </x:c>
      <x:c r="M57" t="str">
        <x:f>IF(K57=0,"Ready","Review")</x:f>
        <x:v>Ready</x:v>
      </x:c>
    </x:row>
    <x:row r="58">
      <x:c r="A58" t="str">
        <x:f>UPPER(TRIM('Raw Sales'!A58))</x:f>
        <x:v>SAL-26-0053</x:v>
      </x:c>
      <x:c r="B58" t="str">
        <x:f>PROPER(TRIM('Raw Sales'!B58))</x:f>
        <x:v>Valley Primary</x:v>
      </x:c>
      <x:c r="C58" t="str">
        <x:f>IF(OR(UPPER(TRIM('Raw Sales'!C58))="BOCHUM",UPPER(TRIM('Raw Sales'!C58))="BOCHUM REGION"),"Bochum",IF(OR(UPPER(TRIM('Raw Sales'!C58))="ELDORADO",UPPER(TRIM('Raw Sales'!C58))="ELDOS"),"Eldorado","Review"))</x:f>
        <x:v>Eldorado</x:v>
      </x:c>
      <x:c r="D58" t="str">
        <x:f>PROPER(TRIM('Raw Sales'!D58))</x:f>
        <x:v>Pens</x:v>
      </x:c>
      <x:c r="E58" s="8" t="n">
        <x:f>IFERROR(VALUE('Raw Sales'!E58),"")</x:f>
        <x:v>12</x:v>
      </x:c>
      <x:c r="F58" s="9" t="n">
        <x:v>1992</x:v>
      </x:c>
      <x:c r="G58" s="10" t="n">
        <x:f>IFERROR(IF(OR(MID(TRIM('Raw Sales'!G58),5,1)="-",MID(TRIM('Raw Sales'!G58),5,1)="/"),DATE(VALUE(LEFT(TRIM('Raw Sales'!G58),4)),VALUE(MID(TRIM('Raw Sales'!G58),6,2)),VALUE(RIGHT(TRIM('Raw Sales'!G58),2))),IF(LEN(TRIM('Raw Sales'!G58))=10,DATE(VALUE(RIGHT(TRIM('Raw Sales'!G58),4)),VALUE(MID(TRIM('Raw Sales'!G58),4,2)),VALUE(LEFT(TRIM('Raw Sales'!G58),2))),IF(LEN(TRIM('Raw Sales'!G58))=8,DATE(2000+VALUE(RIGHT(TRIM('Raw Sales'!G58),2)),VALUE(MID(TRIM('Raw Sales'!G58),4,2)),VALUE(LEFT(TRIM('Raw Sales'!G58),2))),""))),"")</x:f>
        <x:v>46612</x:v>
      </x:c>
      <x:c r="H58" t="str">
        <x:f>IF(TRIM('Raw Sales'!H58)="","Missing",PROPER(TRIM('Raw Sales'!H58)))</x:f>
        <x:v>Thabo Ndlovu</x:v>
      </x:c>
      <x:c r="I58" t="str">
        <x:f>IF(OR(UPPER(TRIM('Raw Sales'!I58))="PAID",UPPER(TRIM('Raw Sales'!I58))="SETTLED",UPPER(TRIM('Raw Sales'!I58))="COMPLETE"),"Paid",IF(UPPER(TRIM('Raw Sales'!I58))="PENDING","Pending","Review"))</x:f>
        <x:v>Paid</x:v>
      </x:c>
      <x:c r="J58" t="str">
        <x:f>IF(A58="","Missing",IF(COUNTIF($A$6:A58,A58)&gt;1,"Duplicate","Unique"))</x:f>
        <x:v>Unique</x:v>
      </x:c>
      <x:c r="K58" s="11" t="n">
        <x:f>IF(A58="",1,0)+IF(B58="",1,0)+IF(C58="Review",1,0)+IF(D58="",1,0)+IF(OR(E58="",E58&lt;=0),1,0)+IF(OR(F58="",F58&lt;=0),1,0)+IF(G58="",1,0)+IF(H58="Missing",1,0)+IF(I58="Review",1,0)+IF(J58="Duplicate",1,0)</x:f>
        <x:v>0</x:v>
      </x:c>
      <x:c r="L58" s="12" t="str">
        <x:f>IF(A58="","Missing order ID; ","")&amp;IF(B58="","Missing school; ","")&amp;IF(C58="Review","Unmapped region; ","")&amp;IF(D58="","Missing product; ","")&amp;IF(OR(E58="",E58&lt;=0),"Invalid units; ","")&amp;IF(OR(F58="",F58&lt;=0),"Invalid amount; ","")&amp;IF(G58="","Invalid date; ","")&amp;IF(H58="Missing","Missing sales rep; ","")&amp;IF(I58="Review","Unmapped payment status; ","")&amp;IF(J58="Duplicate","Duplicate ID; ","")</x:f>
      </x:c>
      <x:c r="M58" t="str">
        <x:f>IF(K58=0,"Ready","Review")</x:f>
        <x:v>Ready</x:v>
      </x:c>
    </x:row>
    <x:row r="59">
      <x:c r="A59" t="str">
        <x:f>UPPER(TRIM('Raw Sales'!A59))</x:f>
        <x:v>SAL-26-0054</x:v>
      </x:c>
      <x:c r="B59" t="str">
        <x:f>PROPER(TRIM('Raw Sales'!B59))</x:f>
        <x:v>Mhlabeni Secondary</x:v>
      </x:c>
      <x:c r="C59" t="str">
        <x:f>IF(OR(UPPER(TRIM('Raw Sales'!C59))="BOCHUM",UPPER(TRIM('Raw Sales'!C59))="BOCHUM REGION"),"Bochum",IF(OR(UPPER(TRIM('Raw Sales'!C59))="ELDORADO",UPPER(TRIM('Raw Sales'!C59))="ELDOS"),"Eldorado","Review"))</x:f>
        <x:v>Eldorado</x:v>
      </x:c>
      <x:c r="D59" t="str">
        <x:f>PROPER(TRIM('Raw Sales'!D59))</x:f>
        <x:v>Glue Sticks</x:v>
      </x:c>
      <x:c r="E59" s="8" t="n">
        <x:f>IFERROR(VALUE('Raw Sales'!E59),"")</x:f>
        <x:v>19</x:v>
      </x:c>
      <x:c r="F59" s="9" t="n">
        <x:v>3401</x:v>
      </x:c>
      <x:c r="G59" s="10" t="n">
        <x:f>IFERROR(IF(OR(MID(TRIM('Raw Sales'!G59),5,1)="-",MID(TRIM('Raw Sales'!G59),5,1)="/"),DATE(VALUE(LEFT(TRIM('Raw Sales'!G59),4)),VALUE(MID(TRIM('Raw Sales'!G59),6,2)),VALUE(RIGHT(TRIM('Raw Sales'!G59),2))),IF(LEN(TRIM('Raw Sales'!G59))=10,DATE(VALUE(RIGHT(TRIM('Raw Sales'!G59),4)),VALUE(MID(TRIM('Raw Sales'!G59),4,2)),VALUE(LEFT(TRIM('Raw Sales'!G59),2))),IF(LEN(TRIM('Raw Sales'!G59))=8,DATE(2000+VALUE(RIGHT(TRIM('Raw Sales'!G59),2)),VALUE(MID(TRIM('Raw Sales'!G59),4,2)),VALUE(LEFT(TRIM('Raw Sales'!G59),2))),""))),"")</x:f>
        <x:v>46209</x:v>
      </x:c>
      <x:c r="H59" t="str">
        <x:f>IF(TRIM('Raw Sales'!H59)="","Missing",PROPER(TRIM('Raw Sales'!H59)))</x:f>
        <x:v>Lebo Nkosi</x:v>
      </x:c>
      <x:c r="I59" t="str">
        <x:f>IF(OR(UPPER(TRIM('Raw Sales'!I59))="PAID",UPPER(TRIM('Raw Sales'!I59))="SETTLED",UPPER(TRIM('Raw Sales'!I59))="COMPLETE"),"Paid",IF(UPPER(TRIM('Raw Sales'!I59))="PENDING","Pending","Review"))</x:f>
        <x:v>Pending</x:v>
      </x:c>
      <x:c r="J59" t="str">
        <x:f>IF(A59="","Missing",IF(COUNTIF($A$6:A59,A59)&gt;1,"Duplicate","Unique"))</x:f>
        <x:v>Unique</x:v>
      </x:c>
      <x:c r="K59" s="11" t="n">
        <x:f>IF(A59="",1,0)+IF(B59="",1,0)+IF(C59="Review",1,0)+IF(D59="",1,0)+IF(OR(E59="",E59&lt;=0),1,0)+IF(OR(F59="",F59&lt;=0),1,0)+IF(G59="",1,0)+IF(H59="Missing",1,0)+IF(I59="Review",1,0)+IF(J59="Duplicate",1,0)</x:f>
        <x:v>0</x:v>
      </x:c>
      <x:c r="L59" s="12" t="str">
        <x:f>IF(A59="","Missing order ID; ","")&amp;IF(B59="","Missing school; ","")&amp;IF(C59="Review","Unmapped region; ","")&amp;IF(D59="","Missing product; ","")&amp;IF(OR(E59="",E59&lt;=0),"Invalid units; ","")&amp;IF(OR(F59="",F59&lt;=0),"Invalid amount; ","")&amp;IF(G59="","Invalid date; ","")&amp;IF(H59="Missing","Missing sales rep; ","")&amp;IF(I59="Review","Unmapped payment status; ","")&amp;IF(J59="Duplicate","Duplicate ID; ","")</x:f>
      </x:c>
      <x:c r="M59" t="str">
        <x:f>IF(K59=0,"Ready","Review")</x:f>
        <x:v>Ready</x:v>
      </x:c>
    </x:row>
    <x:row r="60">
      <x:c r="A60" t="str">
        <x:f>UPPER(TRIM('Raw Sales'!A60))</x:f>
        <x:v>SAL-26-0055</x:v>
      </x:c>
      <x:c r="B60" t="str">
        <x:f>PROPER(TRIM('Raw Sales'!B60))</x:f>
        <x:v>Meadowlands School</x:v>
      </x:c>
      <x:c r="C60" t="str">
        <x:f>IF(OR(UPPER(TRIM('Raw Sales'!C60))="BOCHUM",UPPER(TRIM('Raw Sales'!C60))="BOCHUM REGION"),"Bochum",IF(OR(UPPER(TRIM('Raw Sales'!C60))="ELDORADO",UPPER(TRIM('Raw Sales'!C60))="ELDOS"),"Eldorado","Review"))</x:f>
        <x:v>Bochum</x:v>
      </x:c>
      <x:c r="D60" t="str">
        <x:f>PROPER(TRIM('Raw Sales'!D60))</x:f>
        <x:v>Markers</x:v>
      </x:c>
      <x:c r="E60" s="8" t="n">
        <x:f>IFERROR(VALUE('Raw Sales'!E60),"")</x:f>
        <x:v>26</x:v>
      </x:c>
      <x:c r="F60" s="9" t="n">
        <x:v>4992</x:v>
      </x:c>
      <x:c r="G60" s="10" t="n">
        <x:f>IFERROR(IF(OR(MID(TRIM('Raw Sales'!G60),5,1)="-",MID(TRIM('Raw Sales'!G60),5,1)="/"),DATE(VALUE(LEFT(TRIM('Raw Sales'!G60),4)),VALUE(MID(TRIM('Raw Sales'!G60),6,2)),VALUE(RIGHT(TRIM('Raw Sales'!G60),2))),IF(LEN(TRIM('Raw Sales'!G60))=10,DATE(VALUE(RIGHT(TRIM('Raw Sales'!G60),4)),VALUE(MID(TRIM('Raw Sales'!G60),4,2)),VALUE(LEFT(TRIM('Raw Sales'!G60),2))),IF(LEN(TRIM('Raw Sales'!G60))=8,DATE(2000+VALUE(RIGHT(TRIM('Raw Sales'!G60),2)),VALUE(MID(TRIM('Raw Sales'!G60),4,2)),VALUE(LEFT(TRIM('Raw Sales'!G60),2))),""))),"")</x:f>
        <x:v>46241</x:v>
      </x:c>
      <x:c r="H60" t="str">
        <x:f>IF(TRIM('Raw Sales'!H60)="","Missing",PROPER(TRIM('Raw Sales'!H60)))</x:f>
        <x:v>Thabo Ndlovu</x:v>
      </x:c>
      <x:c r="I60" t="str">
        <x:f>IF(OR(UPPER(TRIM('Raw Sales'!I60))="PAID",UPPER(TRIM('Raw Sales'!I60))="SETTLED",UPPER(TRIM('Raw Sales'!I60))="COMPLETE"),"Paid",IF(UPPER(TRIM('Raw Sales'!I60))="PENDING","Pending","Review"))</x:f>
        <x:v>Pending</x:v>
      </x:c>
      <x:c r="J60" t="str">
        <x:f>IF(A60="","Missing",IF(COUNTIF($A$6:A60,A60)&gt;1,"Duplicate","Unique"))</x:f>
        <x:v>Unique</x:v>
      </x:c>
      <x:c r="K60" s="11" t="n">
        <x:f>IF(A60="",1,0)+IF(B60="",1,0)+IF(C60="Review",1,0)+IF(D60="",1,0)+IF(OR(E60="",E60&lt;=0),1,0)+IF(OR(F60="",F60&lt;=0),1,0)+IF(G60="",1,0)+IF(H60="Missing",1,0)+IF(I60="Review",1,0)+IF(J60="Duplicate",1,0)</x:f>
        <x:v>0</x:v>
      </x:c>
      <x:c r="L60" s="12" t="str">
        <x:f>IF(A60="","Missing order ID; ","")&amp;IF(B60="","Missing school; ","")&amp;IF(C60="Review","Unmapped region; ","")&amp;IF(D60="","Missing product; ","")&amp;IF(OR(E60="",E60&lt;=0),"Invalid units; ","")&amp;IF(OR(F60="",F60&lt;=0),"Invalid amount; ","")&amp;IF(G60="","Invalid date; ","")&amp;IF(H60="Missing","Missing sales rep; ","")&amp;IF(I60="Review","Unmapped payment status; ","")&amp;IF(J60="Duplicate","Duplicate ID; ","")</x:f>
      </x:c>
      <x:c r="M60" t="str">
        <x:f>IF(K60=0,"Ready","Review")</x:f>
        <x:v>Ready</x:v>
      </x:c>
    </x:row>
    <x:row r="61">
      <x:c r="A61" t="str">
        <x:f>UPPER(TRIM('Raw Sales'!A61))</x:f>
        <x:v>SAL-26-0056</x:v>
      </x:c>
      <x:c r="B61" t="str">
        <x:f>PROPER(TRIM('Raw Sales'!B61))</x:f>
        <x:v>Gardenview School</x:v>
      </x:c>
      <x:c r="C61" t="str">
        <x:f>IF(OR(UPPER(TRIM('Raw Sales'!C61))="BOCHUM",UPPER(TRIM('Raw Sales'!C61))="BOCHUM REGION"),"Bochum",IF(OR(UPPER(TRIM('Raw Sales'!C61))="ELDORADO",UPPER(TRIM('Raw Sales'!C61))="ELDOS"),"Eldorado","Review"))</x:f>
        <x:v>Eldorado</x:v>
      </x:c>
      <x:c r="D61" t="str">
        <x:f>PROPER(TRIM('Raw Sales'!D61))</x:f>
        <x:v>Notebooks</x:v>
      </x:c>
      <x:c r="E61" s="8" t="n">
        <x:f>IFERROR(VALUE('Raw Sales'!E61),"")</x:f>
        <x:v>33</x:v>
      </x:c>
      <x:c r="F61" s="9" t="n">
        <x:v>792</x:v>
      </x:c>
      <x:c r="G61" s="10" t="n">
        <x:f>IFERROR(IF(OR(MID(TRIM('Raw Sales'!G61),5,1)="-",MID(TRIM('Raw Sales'!G61),5,1)="/"),DATE(VALUE(LEFT(TRIM('Raw Sales'!G61),4)),VALUE(MID(TRIM('Raw Sales'!G61),6,2)),VALUE(RIGHT(TRIM('Raw Sales'!G61),2))),IF(LEN(TRIM('Raw Sales'!G61))=10,DATE(VALUE(RIGHT(TRIM('Raw Sales'!G61),4)),VALUE(MID(TRIM('Raw Sales'!G61),4,2)),VALUE(LEFT(TRIM('Raw Sales'!G61),2))),IF(LEN(TRIM('Raw Sales'!G61))=8,DATE(2000+VALUE(RIGHT(TRIM('Raw Sales'!G61),2)),VALUE(MID(TRIM('Raw Sales'!G61),4,2)),VALUE(LEFT(TRIM('Raw Sales'!G61),2))),""))),"")</x:f>
        <x:v>46030</x:v>
      </x:c>
      <x:c r="H61" t="str">
        <x:f>IF(TRIM('Raw Sales'!H61)="","Missing",PROPER(TRIM('Raw Sales'!H61)))</x:f>
        <x:v>Lebo Nkosi</x:v>
      </x:c>
      <x:c r="I61" t="str">
        <x:f>IF(OR(UPPER(TRIM('Raw Sales'!I61))="PAID",UPPER(TRIM('Raw Sales'!I61))="SETTLED",UPPER(TRIM('Raw Sales'!I61))="COMPLETE"),"Paid",IF(UPPER(TRIM('Raw Sales'!I61))="PENDING","Pending","Review"))</x:f>
        <x:v>Paid</x:v>
      </x:c>
      <x:c r="J61" t="str">
        <x:f>IF(A61="","Missing",IF(COUNTIF($A$6:A61,A61)&gt;1,"Duplicate","Unique"))</x:f>
        <x:v>Unique</x:v>
      </x:c>
      <x:c r="K61" s="11" t="n">
        <x:f>IF(A61="",1,0)+IF(B61="",1,0)+IF(C61="Review",1,0)+IF(D61="",1,0)+IF(OR(E61="",E61&lt;=0),1,0)+IF(OR(F61="",F61&lt;=0),1,0)+IF(G61="",1,0)+IF(H61="Missing",1,0)+IF(I61="Review",1,0)+IF(J61="Duplicate",1,0)</x:f>
        <x:v>0</x:v>
      </x:c>
      <x:c r="L61" s="12" t="str">
        <x:f>IF(A61="","Missing order ID; ","")&amp;IF(B61="","Missing school; ","")&amp;IF(C61="Review","Unmapped region; ","")&amp;IF(D61="","Missing product; ","")&amp;IF(OR(E61="",E61&lt;=0),"Invalid units; ","")&amp;IF(OR(F61="",F61&lt;=0),"Invalid amount; ","")&amp;IF(G61="","Invalid date; ","")&amp;IF(H61="Missing","Missing sales rep; ","")&amp;IF(I61="Review","Unmapped payment status; ","")&amp;IF(J61="Duplicate","Duplicate ID; ","")</x:f>
      </x:c>
      <x:c r="M61" t="str">
        <x:f>IF(K61=0,"Ready","Review")</x:f>
        <x:v>Ready</x:v>
      </x:c>
    </x:row>
    <x:row r="62">
      <x:c r="A62" t="str">
        <x:f>UPPER(TRIM('Raw Sales'!A62))</x:f>
        <x:v>SAL-26-0057</x:v>
      </x:c>
      <x:c r="B62" t="str">
        <x:f>PROPER(TRIM('Raw Sales'!B62))</x:f>
        <x:v>Riverside Academy</x:v>
      </x:c>
      <x:c r="C62" t="str">
        <x:f>IF(OR(UPPER(TRIM('Raw Sales'!C62))="BOCHUM",UPPER(TRIM('Raw Sales'!C62))="BOCHUM REGION"),"Bochum",IF(OR(UPPER(TRIM('Raw Sales'!C62))="ELDORADO",UPPER(TRIM('Raw Sales'!C62))="ELDOS"),"Eldorado","Review"))</x:f>
        <x:v>Bochum</x:v>
      </x:c>
      <x:c r="D62" t="str">
        <x:f>PROPER(TRIM('Raw Sales'!D62))</x:f>
        <x:v>Rulers</x:v>
      </x:c>
      <x:c r="E62" s="8" t="n">
        <x:f>IFERROR(VALUE('Raw Sales'!E62),"")</x:f>
        <x:v>4</x:v>
      </x:c>
      <x:c r="F62" s="9" t="n">
        <x:v>148</x:v>
      </x:c>
      <x:c r="G62" s="10" t="n">
        <x:f>IFERROR(IF(OR(MID(TRIM('Raw Sales'!G62),5,1)="-",MID(TRIM('Raw Sales'!G62),5,1)="/"),DATE(VALUE(LEFT(TRIM('Raw Sales'!G62),4)),VALUE(MID(TRIM('Raw Sales'!G62),6,2)),VALUE(RIGHT(TRIM('Raw Sales'!G62),2))),IF(LEN(TRIM('Raw Sales'!G62))=10,DATE(VALUE(RIGHT(TRIM('Raw Sales'!G62),4)),VALUE(MID(TRIM('Raw Sales'!G62),4,2)),VALUE(LEFT(TRIM('Raw Sales'!G62),2))),IF(LEN(TRIM('Raw Sales'!G62))=8,DATE(2000+VALUE(RIGHT(TRIM('Raw Sales'!G62),2)),VALUE(MID(TRIM('Raw Sales'!G62),4,2)),VALUE(LEFT(TRIM('Raw Sales'!G62),2))),""))),"")</x:f>
        <x:v>46062</x:v>
      </x:c>
      <x:c r="H62" t="str">
        <x:f>IF(TRIM('Raw Sales'!H62)="","Missing",PROPER(TRIM('Raw Sales'!H62)))</x:f>
        <x:v>Thabo Ndlovu</x:v>
      </x:c>
      <x:c r="I62" t="str">
        <x:f>IF(OR(UPPER(TRIM('Raw Sales'!I62))="PAID",UPPER(TRIM('Raw Sales'!I62))="SETTLED",UPPER(TRIM('Raw Sales'!I62))="COMPLETE"),"Paid",IF(UPPER(TRIM('Raw Sales'!I62))="PENDING","Pending","Review"))</x:f>
        <x:v>Paid</x:v>
      </x:c>
      <x:c r="J62" t="str">
        <x:f>IF(A62="","Missing",IF(COUNTIF($A$6:A62,A62)&gt;1,"Duplicate","Unique"))</x:f>
        <x:v>Unique</x:v>
      </x:c>
      <x:c r="K62" s="11" t="n">
        <x:f>IF(A62="",1,0)+IF(B62="",1,0)+IF(C62="Review",1,0)+IF(D62="",1,0)+IF(OR(E62="",E62&lt;=0),1,0)+IF(OR(F62="",F62&lt;=0),1,0)+IF(G62="",1,0)+IF(H62="Missing",1,0)+IF(I62="Review",1,0)+IF(J62="Duplicate",1,0)</x:f>
        <x:v>0</x:v>
      </x:c>
      <x:c r="L62" s="12" t="str">
        <x:f>IF(A62="","Missing order ID; ","")&amp;IF(B62="","Missing school; ","")&amp;IF(C62="Review","Unmapped region; ","")&amp;IF(D62="","Missing product; ","")&amp;IF(OR(E62="",E62&lt;=0),"Invalid units; ","")&amp;IF(OR(F62="",F62&lt;=0),"Invalid amount; ","")&amp;IF(G62="","Invalid date; ","")&amp;IF(H62="Missing","Missing sales rep; ","")&amp;IF(I62="Review","Unmapped payment status; ","")&amp;IF(J62="Duplicate","Duplicate ID; ","")</x:f>
      </x:c>
      <x:c r="M62" t="str">
        <x:f>IF(K62=0,"Ready","Review")</x:f>
        <x:v>Ready</x:v>
      </x:c>
    </x:row>
    <x:row r="63">
      <x:c r="A63" t="str">
        <x:f>UPPER(TRIM('Raw Sales'!A63))</x:f>
        <x:v>SAL-26-0058</x:v>
      </x:c>
      <x:c r="B63" t="str">
        <x:f>PROPER(TRIM('Raw Sales'!B63))</x:f>
        <x:v>Maple Secondary</x:v>
      </x:c>
      <x:c r="C63" t="str">
        <x:f>IF(OR(UPPER(TRIM('Raw Sales'!C63))="BOCHUM",UPPER(TRIM('Raw Sales'!C63))="BOCHUM REGION"),"Bochum",IF(OR(UPPER(TRIM('Raw Sales'!C63))="ELDORADO",UPPER(TRIM('Raw Sales'!C63))="ELDOS"),"Eldorado","Review"))</x:f>
        <x:v>Eldorado</x:v>
      </x:c>
      <x:c r="D63" t="str">
        <x:f>PROPER(TRIM('Raw Sales'!D63))</x:f>
        <x:v>Exercise Books</x:v>
      </x:c>
      <x:c r="E63" s="8" t="str">
        <x:f>IFERROR(VALUE('Raw Sales'!E63),"")</x:f>
      </x:c>
      <x:c r="F63" s="9" t="n">
        <x:v>550</x:v>
      </x:c>
      <x:c r="G63" s="10" t="n">
        <x:f>IFERROR(IF(OR(MID(TRIM('Raw Sales'!G63),5,1)="-",MID(TRIM('Raw Sales'!G63),5,1)="/"),DATE(VALUE(LEFT(TRIM('Raw Sales'!G63),4)),VALUE(MID(TRIM('Raw Sales'!G63),6,2)),VALUE(RIGHT(TRIM('Raw Sales'!G63),2))),IF(LEN(TRIM('Raw Sales'!G63))=10,DATE(VALUE(RIGHT(TRIM('Raw Sales'!G63),4)),VALUE(MID(TRIM('Raw Sales'!G63),4,2)),VALUE(LEFT(TRIM('Raw Sales'!G63),2))),IF(LEN(TRIM('Raw Sales'!G63))=8,DATE(2000+VALUE(RIGHT(TRIM('Raw Sales'!G63),2)),VALUE(MID(TRIM('Raw Sales'!G63),4,2)),VALUE(LEFT(TRIM('Raw Sales'!G63),2))),""))),"")</x:f>
        <x:v>46091</x:v>
      </x:c>
      <x:c r="H63" t="str">
        <x:f>IF(TRIM('Raw Sales'!H63)="","Missing",PROPER(TRIM('Raw Sales'!H63)))</x:f>
        <x:v>Lebo Nkosi</x:v>
      </x:c>
      <x:c r="I63" t="str">
        <x:f>IF(OR(UPPER(TRIM('Raw Sales'!I63))="PAID",UPPER(TRIM('Raw Sales'!I63))="SETTLED",UPPER(TRIM('Raw Sales'!I63))="COMPLETE"),"Paid",IF(UPPER(TRIM('Raw Sales'!I63))="PENDING","Pending","Review"))</x:f>
        <x:v>Pending</x:v>
      </x:c>
      <x:c r="J63" t="str">
        <x:f>IF(A63="","Missing",IF(COUNTIF($A$6:A63,A63)&gt;1,"Duplicate","Unique"))</x:f>
        <x:v>Unique</x:v>
      </x:c>
      <x:c r="K63" s="11" t="n">
        <x:f>IF(A63="",1,0)+IF(B63="",1,0)+IF(C63="Review",1,0)+IF(D63="",1,0)+IF(OR(E63="",E63&lt;=0),1,0)+IF(OR(F63="",F63&lt;=0),1,0)+IF(G63="",1,0)+IF(H63="Missing",1,0)+IF(I63="Review",1,0)+IF(J63="Duplicate",1,0)</x:f>
        <x:v>1</x:v>
      </x:c>
      <x:c r="L63" s="12" t="str">
        <x:f>IF(A63="","Missing order ID; ","")&amp;IF(B63="","Missing school; ","")&amp;IF(C63="Review","Unmapped region; ","")&amp;IF(D63="","Missing product; ","")&amp;IF(OR(E63="",E63&lt;=0),"Invalid units; ","")&amp;IF(OR(F63="",F63&lt;=0),"Invalid amount; ","")&amp;IF(G63="","Invalid date; ","")&amp;IF(H63="Missing","Missing sales rep; ","")&amp;IF(I63="Review","Unmapped payment status; ","")&amp;IF(J63="Duplicate","Duplicate ID; ","")</x:f>
        <x:v>Invalid units; </x:v>
      </x:c>
      <x:c r="M63" t="str">
        <x:f>IF(K63=0,"Ready","Review")</x:f>
        <x:v>Review</x:v>
      </x:c>
    </x:row>
    <x:row r="64">
      <x:c r="A64" t="str">
        <x:f>UPPER(TRIM('Raw Sales'!A64))</x:f>
        <x:v>SAL-26-0059</x:v>
      </x:c>
      <x:c r="B64" t="str">
        <x:f>PROPER(TRIM('Raw Sales'!B64))</x:f>
        <x:v>Pinecrest School</x:v>
      </x:c>
      <x:c r="C64" t="str">
        <x:f>IF(OR(UPPER(TRIM('Raw Sales'!C64))="BOCHUM",UPPER(TRIM('Raw Sales'!C64))="BOCHUM REGION"),"Bochum",IF(OR(UPPER(TRIM('Raw Sales'!C64))="ELDORADO",UPPER(TRIM('Raw Sales'!C64))="ELDOS"),"Eldorado","Review"))</x:f>
        <x:v>Bochum</x:v>
      </x:c>
      <x:c r="D64" t="str">
        <x:f>PROPER(TRIM('Raw Sales'!D64))</x:f>
        <x:v>Pencils</x:v>
      </x:c>
      <x:c r="E64" s="8" t="n">
        <x:f>IFERROR(VALUE('Raw Sales'!E64),"")</x:f>
        <x:v>18</x:v>
      </x:c>
      <x:c r="F64" s="9" t="n">
        <x:v>1134</x:v>
      </x:c>
      <x:c r="G64" s="10" t="n">
        <x:f>IFERROR(IF(OR(MID(TRIM('Raw Sales'!G64),5,1)="-",MID(TRIM('Raw Sales'!G64),5,1)="/"),DATE(VALUE(LEFT(TRIM('Raw Sales'!G64),4)),VALUE(MID(TRIM('Raw Sales'!G64),6,2)),VALUE(RIGHT(TRIM('Raw Sales'!G64),2))),IF(LEN(TRIM('Raw Sales'!G64))=10,DATE(VALUE(RIGHT(TRIM('Raw Sales'!G64),4)),VALUE(MID(TRIM('Raw Sales'!G64),4,2)),VALUE(LEFT(TRIM('Raw Sales'!G64),2))),IF(LEN(TRIM('Raw Sales'!G64))=8,DATE(2000+VALUE(RIGHT(TRIM('Raw Sales'!G64),2)),VALUE(MID(TRIM('Raw Sales'!G64),4,2)),VALUE(LEFT(TRIM('Raw Sales'!G64),2))),""))),"")</x:f>
        <x:v>46123</x:v>
      </x:c>
      <x:c r="H64" t="str">
        <x:f>IF(TRIM('Raw Sales'!H64)="","Missing",PROPER(TRIM('Raw Sales'!H64)))</x:f>
        <x:v>Thabo Ndlovu</x:v>
      </x:c>
      <x:c r="I64" t="str">
        <x:f>IF(OR(UPPER(TRIM('Raw Sales'!I64))="PAID",UPPER(TRIM('Raw Sales'!I64))="SETTLED",UPPER(TRIM('Raw Sales'!I64))="COMPLETE"),"Paid",IF(UPPER(TRIM('Raw Sales'!I64))="PENDING","Pending","Review"))</x:f>
        <x:v>Paid</x:v>
      </x:c>
      <x:c r="J64" t="str">
        <x:f>IF(A64="","Missing",IF(COUNTIF($A$6:A64,A64)&gt;1,"Duplicate","Unique"))</x:f>
        <x:v>Unique</x:v>
      </x:c>
      <x:c r="K64" s="11" t="n">
        <x:f>IF(A64="",1,0)+IF(B64="",1,0)+IF(C64="Review",1,0)+IF(D64="",1,0)+IF(OR(E64="",E64&lt;=0),1,0)+IF(OR(F64="",F64&lt;=0),1,0)+IF(G64="",1,0)+IF(H64="Missing",1,0)+IF(I64="Review",1,0)+IF(J64="Duplicate",1,0)</x:f>
        <x:v>0</x:v>
      </x:c>
      <x:c r="L64" s="12" t="str">
        <x:f>IF(A64="","Missing order ID; ","")&amp;IF(B64="","Missing school; ","")&amp;IF(C64="Review","Unmapped region; ","")&amp;IF(D64="","Missing product; ","")&amp;IF(OR(E64="",E64&lt;=0),"Invalid units; ","")&amp;IF(OR(F64="",F64&lt;=0),"Invalid amount; ","")&amp;IF(G64="","Invalid date; ","")&amp;IF(H64="Missing","Missing sales rep; ","")&amp;IF(I64="Review","Unmapped payment status; ","")&amp;IF(J64="Duplicate","Duplicate ID; ","")</x:f>
      </x:c>
      <x:c r="M64" t="str">
        <x:f>IF(K64=0,"Ready","Review")</x:f>
        <x:v>Ready</x:v>
      </x:c>
    </x:row>
    <x:row r="65">
      <x:c r="A65" t="str">
        <x:f>UPPER(TRIM('Raw Sales'!A65))</x:f>
        <x:v>SAL-26-0060</x:v>
      </x:c>
      <x:c r="B65" t="str">
        <x:f>PROPER(TRIM('Raw Sales'!B65))</x:f>
        <x:v>Northstar Academy</x:v>
      </x:c>
      <x:c r="C65" t="str">
        <x:f>IF(OR(UPPER(TRIM('Raw Sales'!C65))="BOCHUM",UPPER(TRIM('Raw Sales'!C65))="BOCHUM REGION"),"Bochum",IF(OR(UPPER(TRIM('Raw Sales'!C65))="ELDORADO",UPPER(TRIM('Raw Sales'!C65))="ELDOS"),"Eldorado","Review"))</x:f>
        <x:v>Bochum</x:v>
      </x:c>
      <x:c r="D65" t="str">
        <x:f>PROPER(TRIM('Raw Sales'!D65))</x:f>
        <x:v>Folders</x:v>
      </x:c>
      <x:c r="E65" s="8" t="n">
        <x:f>IFERROR(VALUE('Raw Sales'!E65),"")</x:f>
        <x:v>25</x:v>
      </x:c>
      <x:c r="F65" s="9" t="n">
        <x:v>1900</x:v>
      </x:c>
      <x:c r="G65" s="10" t="n">
        <x:f>IFERROR(IF(OR(MID(TRIM('Raw Sales'!G65),5,1)="-",MID(TRIM('Raw Sales'!G65),5,1)="/"),DATE(VALUE(LEFT(TRIM('Raw Sales'!G65),4)),VALUE(MID(TRIM('Raw Sales'!G65),6,2)),VALUE(RIGHT(TRIM('Raw Sales'!G65),2))),IF(LEN(TRIM('Raw Sales'!G65))=10,DATE(VALUE(RIGHT(TRIM('Raw Sales'!G65),4)),VALUE(MID(TRIM('Raw Sales'!G65),4,2)),VALUE(LEFT(TRIM('Raw Sales'!G65),2))),IF(LEN(TRIM('Raw Sales'!G65))=8,DATE(2000+VALUE(RIGHT(TRIM('Raw Sales'!G65),2)),VALUE(MID(TRIM('Raw Sales'!G65),4,2)),VALUE(LEFT(TRIM('Raw Sales'!G65),2))),""))),"")</x:f>
        <x:v>46154</x:v>
      </x:c>
      <x:c r="H65" t="str">
        <x:f>IF(TRIM('Raw Sales'!H65)="","Missing",PROPER(TRIM('Raw Sales'!H65)))</x:f>
        <x:v>Lebo Nkosi</x:v>
      </x:c>
      <x:c r="I65" t="str">
        <x:f>IF(OR(UPPER(TRIM('Raw Sales'!I65))="PAID",UPPER(TRIM('Raw Sales'!I65))="SETTLED",UPPER(TRIM('Raw Sales'!I65))="COMPLETE"),"Paid",IF(UPPER(TRIM('Raw Sales'!I65))="PENDING","Pending","Review"))</x:f>
        <x:v>Paid</x:v>
      </x:c>
      <x:c r="J65" t="str">
        <x:f>IF(A65="","Missing",IF(COUNTIF($A$6:A65,A65)&gt;1,"Duplicate","Unique"))</x:f>
        <x:v>Unique</x:v>
      </x:c>
      <x:c r="K65" s="11" t="n">
        <x:f>IF(A65="",1,0)+IF(B65="",1,0)+IF(C65="Review",1,0)+IF(D65="",1,0)+IF(OR(E65="",E65&lt;=0),1,0)+IF(OR(F65="",F65&lt;=0),1,0)+IF(G65="",1,0)+IF(H65="Missing",1,0)+IF(I65="Review",1,0)+IF(J65="Duplicate",1,0)</x:f>
        <x:v>0</x:v>
      </x:c>
      <x:c r="L65" s="12" t="str">
        <x:f>IF(A65="","Missing order ID; ","")&amp;IF(B65="","Missing school; ","")&amp;IF(C65="Review","Unmapped region; ","")&amp;IF(D65="","Missing product; ","")&amp;IF(OR(E65="",E65&lt;=0),"Invalid units; ","")&amp;IF(OR(F65="",F65&lt;=0),"Invalid amount; ","")&amp;IF(G65="","Invalid date; ","")&amp;IF(H65="Missing","Missing sales rep; ","")&amp;IF(I65="Review","Unmapped payment status; ","")&amp;IF(J65="Duplicate","Duplicate ID; ","")</x:f>
      </x:c>
      <x:c r="M65" t="str">
        <x:f>IF(K65=0,"Ready","Review")</x:f>
        <x:v>Ready</x:v>
      </x:c>
    </x:row>
    <x:row r="66">
      <x:c r="A66" t="str">
        <x:f>UPPER(TRIM('Raw Sales'!A66))</x:f>
        <x:v>SAL-26-0061</x:v>
      </x:c>
      <x:c r="B66" t="str">
        <x:f>PROPER(TRIM('Raw Sales'!B66))</x:f>
        <x:v>Crescent Primary</x:v>
      </x:c>
      <x:c r="C66" t="str">
        <x:f>IF(OR(UPPER(TRIM('Raw Sales'!C66))="BOCHUM",UPPER(TRIM('Raw Sales'!C66))="BOCHUM REGION"),"Bochum",IF(OR(UPPER(TRIM('Raw Sales'!C66))="ELDORADO",UPPER(TRIM('Raw Sales'!C66))="ELDOS"),"Eldorado","Review"))</x:f>
        <x:v>Eldorado</x:v>
      </x:c>
      <x:c r="D66" t="str">
        <x:f>PROPER(TRIM('Raw Sales'!D66))</x:f>
        <x:v>Pens</x:v>
      </x:c>
      <x:c r="E66" s="8" t="n">
        <x:f>IFERROR(VALUE('Raw Sales'!E66),"")</x:f>
        <x:v>32</x:v>
      </x:c>
      <x:c r="F66" s="9" t="n">
        <x:v>2848</x:v>
      </x:c>
      <x:c r="G66" s="10" t="n">
        <x:f>IFERROR(IF(OR(MID(TRIM('Raw Sales'!G66),5,1)="-",MID(TRIM('Raw Sales'!G66),5,1)="/"),DATE(VALUE(LEFT(TRIM('Raw Sales'!G66),4)),VALUE(MID(TRIM('Raw Sales'!G66),6,2)),VALUE(RIGHT(TRIM('Raw Sales'!G66),2))),IF(LEN(TRIM('Raw Sales'!G66))=10,DATE(VALUE(RIGHT(TRIM('Raw Sales'!G66),4)),VALUE(MID(TRIM('Raw Sales'!G66),4,2)),VALUE(LEFT(TRIM('Raw Sales'!G66),2))),IF(LEN(TRIM('Raw Sales'!G66))=8,DATE(2000+VALUE(RIGHT(TRIM('Raw Sales'!G66),2)),VALUE(MID(TRIM('Raw Sales'!G66),4,2)),VALUE(LEFT(TRIM('Raw Sales'!G66),2))),""))),"")</x:f>
        <x:v>46186</x:v>
      </x:c>
      <x:c r="H66" t="str">
        <x:f>IF(TRIM('Raw Sales'!H66)="","Missing",PROPER(TRIM('Raw Sales'!H66)))</x:f>
        <x:v>Thabo Ndlovu</x:v>
      </x:c>
      <x:c r="I66" t="str">
        <x:f>IF(OR(UPPER(TRIM('Raw Sales'!I66))="PAID",UPPER(TRIM('Raw Sales'!I66))="SETTLED",UPPER(TRIM('Raw Sales'!I66))="COMPLETE"),"Paid",IF(UPPER(TRIM('Raw Sales'!I66))="PENDING","Pending","Review"))</x:f>
        <x:v>Pending</x:v>
      </x:c>
      <x:c r="J66" t="str">
        <x:f>IF(A66="","Missing",IF(COUNTIF($A$6:A66,A66)&gt;1,"Duplicate","Unique"))</x:f>
        <x:v>Unique</x:v>
      </x:c>
      <x:c r="K66" s="11" t="n">
        <x:f>IF(A66="",1,0)+IF(B66="",1,0)+IF(C66="Review",1,0)+IF(D66="",1,0)+IF(OR(E66="",E66&lt;=0),1,0)+IF(OR(F66="",F66&lt;=0),1,0)+IF(G66="",1,0)+IF(H66="Missing",1,0)+IF(I66="Review",1,0)+IF(J66="Duplicate",1,0)</x:f>
        <x:v>0</x:v>
      </x:c>
      <x:c r="L66" s="12" t="str">
        <x:f>IF(A66="","Missing order ID; ","")&amp;IF(B66="","Missing school; ","")&amp;IF(C66="Review","Unmapped region; ","")&amp;IF(D66="","Missing product; ","")&amp;IF(OR(E66="",E66&lt;=0),"Invalid units; ","")&amp;IF(OR(F66="",F66&lt;=0),"Invalid amount; ","")&amp;IF(G66="","Invalid date; ","")&amp;IF(H66="Missing","Missing sales rep; ","")&amp;IF(I66="Review","Unmapped payment status; ","")&amp;IF(J66="Duplicate","Duplicate ID; ","")</x:f>
      </x:c>
      <x:c r="M66" t="str">
        <x:f>IF(K66=0,"Ready","Review")</x:f>
        <x:v>Ready</x:v>
      </x:c>
    </x:row>
    <x:row r="67">
      <x:c r="A67" t="str">
        <x:f>UPPER(TRIM('Raw Sales'!A67))</x:f>
        <x:v>SAL-26-0062</x:v>
      </x:c>
      <x:c r="B67" t="str">
        <x:f>PROPER(TRIM('Raw Sales'!B67))</x:f>
        <x:v>Hillview Primary</x:v>
      </x:c>
      <x:c r="C67" t="str">
        <x:f>IF(OR(UPPER(TRIM('Raw Sales'!C67))="BOCHUM",UPPER(TRIM('Raw Sales'!C67))="BOCHUM REGION"),"Bochum",IF(OR(UPPER(TRIM('Raw Sales'!C67))="ELDORADO",UPPER(TRIM('Raw Sales'!C67))="ELDOS"),"Eldorado","Review"))</x:f>
        <x:v>Bochum</x:v>
      </x:c>
      <x:c r="D67" t="str">
        <x:f>PROPER(TRIM('Raw Sales'!D67))</x:f>
        <x:v>Glue Sticks</x:v>
      </x:c>
      <x:c r="E67" s="8" t="n">
        <x:f>IFERROR(VALUE('Raw Sales'!E67),"")</x:f>
        <x:v>0</x:v>
      </x:c>
      <x:c r="F67" s="9" t="n">
        <x:v>306</x:v>
      </x:c>
      <x:c r="G67" s="10" t="str">
        <x:f>IFERROR(IF(OR(MID(TRIM('Raw Sales'!G67),5,1)="-",MID(TRIM('Raw Sales'!G67),5,1)="/"),DATE(VALUE(LEFT(TRIM('Raw Sales'!G67),4)),VALUE(MID(TRIM('Raw Sales'!G67),6,2)),VALUE(RIGHT(TRIM('Raw Sales'!G67),2))),IF(LEN(TRIM('Raw Sales'!G67))=10,DATE(VALUE(RIGHT(TRIM('Raw Sales'!G67),4)),VALUE(MID(TRIM('Raw Sales'!G67),4,2)),VALUE(LEFT(TRIM('Raw Sales'!G67),2))),IF(LEN(TRIM('Raw Sales'!G67))=8,DATE(2000+VALUE(RIGHT(TRIM('Raw Sales'!G67),2)),VALUE(MID(TRIM('Raw Sales'!G67),4,2)),VALUE(LEFT(TRIM('Raw Sales'!G67),2))),""))),"")</x:f>
      </x:c>
      <x:c r="H67" t="str">
        <x:f>IF(TRIM('Raw Sales'!H67)="","Missing",PROPER(TRIM('Raw Sales'!H67)))</x:f>
        <x:v>Lebo Nkosi</x:v>
      </x:c>
      <x:c r="I67" t="str">
        <x:f>IF(OR(UPPER(TRIM('Raw Sales'!I67))="PAID",UPPER(TRIM('Raw Sales'!I67))="SETTLED",UPPER(TRIM('Raw Sales'!I67))="COMPLETE"),"Paid",IF(UPPER(TRIM('Raw Sales'!I67))="PENDING","Pending","Review"))</x:f>
        <x:v>Paid</x:v>
      </x:c>
      <x:c r="J67" t="str">
        <x:f>IF(A67="","Missing",IF(COUNTIF($A$6:A67,A67)&gt;1,"Duplicate","Unique"))</x:f>
        <x:v>Unique</x:v>
      </x:c>
      <x:c r="K67" s="11" t="n">
        <x:f>IF(A67="",1,0)+IF(B67="",1,0)+IF(C67="Review",1,0)+IF(D67="",1,0)+IF(OR(E67="",E67&lt;=0),1,0)+IF(OR(F67="",F67&lt;=0),1,0)+IF(G67="",1,0)+IF(H67="Missing",1,0)+IF(I67="Review",1,0)+IF(J67="Duplicate",1,0)</x:f>
        <x:v>2</x:v>
      </x:c>
      <x:c r="L67" s="12" t="str">
        <x:f>IF(A67="","Missing order ID; ","")&amp;IF(B67="","Missing school; ","")&amp;IF(C67="Review","Unmapped region; ","")&amp;IF(D67="","Missing product; ","")&amp;IF(OR(E67="",E67&lt;=0),"Invalid units; ","")&amp;IF(OR(F67="",F67&lt;=0),"Invalid amount; ","")&amp;IF(G67="","Invalid date; ","")&amp;IF(H67="Missing","Missing sales rep; ","")&amp;IF(I67="Review","Unmapped payment status; ","")&amp;IF(J67="Duplicate","Duplicate ID; ","")</x:f>
        <x:v>Invalid units; Invalid date; </x:v>
      </x:c>
      <x:c r="M67" t="str">
        <x:f>IF(K67=0,"Ready","Review")</x:f>
        <x:v>Review</x:v>
      </x:c>
    </x:row>
    <x:row r="68">
      <x:c r="A68" t="str">
        <x:f>UPPER(TRIM('Raw Sales'!A68))</x:f>
        <x:v>SAL-26-0063</x:v>
      </x:c>
      <x:c r="B68" t="str">
        <x:f>PROPER(TRIM('Raw Sales'!B68))</x:f>
        <x:v>Eastwood Academy</x:v>
      </x:c>
      <x:c r="C68" t="str">
        <x:f>IF(OR(UPPER(TRIM('Raw Sales'!C68))="BOCHUM",UPPER(TRIM('Raw Sales'!C68))="BOCHUM REGION"),"Bochum",IF(OR(UPPER(TRIM('Raw Sales'!C68))="ELDORADO",UPPER(TRIM('Raw Sales'!C68))="ELDOS"),"Eldorado","Review"))</x:f>
        <x:v>Eldorado</x:v>
      </x:c>
      <x:c r="D68" t="str">
        <x:f>PROPER(TRIM('Raw Sales'!D68))</x:f>
        <x:v>Markers</x:v>
      </x:c>
      <x:c r="E68" s="8" t="n">
        <x:f>IFERROR(VALUE('Raw Sales'!E68),"")</x:f>
        <x:v>10</x:v>
      </x:c>
      <x:c r="F68" s="9" t="n">
        <x:v>1150</x:v>
      </x:c>
      <x:c r="G68" s="10" t="n">
        <x:f>IFERROR(IF(OR(MID(TRIM('Raw Sales'!G68),5,1)="-",MID(TRIM('Raw Sales'!G68),5,1)="/"),DATE(VALUE(LEFT(TRIM('Raw Sales'!G68),4)),VALUE(MID(TRIM('Raw Sales'!G68),6,2)),VALUE(RIGHT(TRIM('Raw Sales'!G68),2))),IF(LEN(TRIM('Raw Sales'!G68))=10,DATE(VALUE(RIGHT(TRIM('Raw Sales'!G68),4)),VALUE(MID(TRIM('Raw Sales'!G68),4,2)),VALUE(LEFT(TRIM('Raw Sales'!G68),2))),IF(LEN(TRIM('Raw Sales'!G68))=8,DATE(2000+VALUE(RIGHT(TRIM('Raw Sales'!G68),2)),VALUE(MID(TRIM('Raw Sales'!G68),4,2)),VALUE(LEFT(TRIM('Raw Sales'!G68),2))),""))),"")</x:f>
        <x:v>46249</x:v>
      </x:c>
      <x:c r="H68" t="str">
        <x:f>IF(TRIM('Raw Sales'!H68)="","Missing",PROPER(TRIM('Raw Sales'!H68)))</x:f>
        <x:v>Thabo Ndlovu</x:v>
      </x:c>
      <x:c r="I68" t="str">
        <x:f>IF(OR(UPPER(TRIM('Raw Sales'!I68))="PAID",UPPER(TRIM('Raw Sales'!I68))="SETTLED",UPPER(TRIM('Raw Sales'!I68))="COMPLETE"),"Paid",IF(UPPER(TRIM('Raw Sales'!I68))="PENDING","Pending","Review"))</x:f>
        <x:v>Paid</x:v>
      </x:c>
      <x:c r="J68" t="str">
        <x:f>IF(A68="","Missing",IF(COUNTIF($A$6:A68,A68)&gt;1,"Duplicate","Unique"))</x:f>
        <x:v>Unique</x:v>
      </x:c>
      <x:c r="K68" s="11" t="n">
        <x:f>IF(A68="",1,0)+IF(B68="",1,0)+IF(C68="Review",1,0)+IF(D68="",1,0)+IF(OR(E68="",E68&lt;=0),1,0)+IF(OR(F68="",F68&lt;=0),1,0)+IF(G68="",1,0)+IF(H68="Missing",1,0)+IF(I68="Review",1,0)+IF(J68="Duplicate",1,0)</x:f>
        <x:v>0</x:v>
      </x:c>
      <x:c r="L68" s="12" t="str">
        <x:f>IF(A68="","Missing order ID; ","")&amp;IF(B68="","Missing school; ","")&amp;IF(C68="Review","Unmapped region; ","")&amp;IF(D68="","Missing product; ","")&amp;IF(OR(E68="",E68&lt;=0),"Invalid units; ","")&amp;IF(OR(F68="",F68&lt;=0),"Invalid amount; ","")&amp;IF(G68="","Invalid date; ","")&amp;IF(H68="Missing","Missing sales rep; ","")&amp;IF(I68="Review","Unmapped payment status; ","")&amp;IF(J68="Duplicate","Duplicate ID; ","")</x:f>
      </x:c>
      <x:c r="M68" t="str">
        <x:f>IF(K68=0,"Ready","Review")</x:f>
        <x:v>Ready</x:v>
      </x:c>
    </x:row>
    <x:row r="69">
      <x:c r="A69" t="str">
        <x:f>UPPER(TRIM('Raw Sales'!A69))</x:f>
        <x:v>SAL-26-0064</x:v>
      </x:c>
      <x:c r="B69" t="str">
        <x:f>PROPER(TRIM('Raw Sales'!B69))</x:f>
        <x:v>Lakeside School</x:v>
      </x:c>
      <x:c r="C69" t="str">
        <x:f>IF(OR(UPPER(TRIM('Raw Sales'!C69))="BOCHUM",UPPER(TRIM('Raw Sales'!C69))="BOCHUM REGION"),"Bochum",IF(OR(UPPER(TRIM('Raw Sales'!C69))="ELDORADO",UPPER(TRIM('Raw Sales'!C69))="ELDOS"),"Eldorado","Review"))</x:f>
        <x:v>Bochum</x:v>
      </x:c>
      <x:c r="D69" t="str">
        <x:f>PROPER(TRIM('Raw Sales'!D69))</x:f>
        <x:v>Notebooks</x:v>
      </x:c>
      <x:c r="E69" s="8" t="n">
        <x:f>IFERROR(VALUE('Raw Sales'!E69),"")</x:f>
        <x:v>17</x:v>
      </x:c>
      <x:c r="F69" s="9" t="n">
        <x:v>2176</x:v>
      </x:c>
      <x:c r="G69" s="10" t="n">
        <x:f>IFERROR(IF(OR(MID(TRIM('Raw Sales'!G69),5,1)="-",MID(TRIM('Raw Sales'!G69),5,1)="/"),DATE(VALUE(LEFT(TRIM('Raw Sales'!G69),4)),VALUE(MID(TRIM('Raw Sales'!G69),6,2)),VALUE(RIGHT(TRIM('Raw Sales'!G69),2))),IF(LEN(TRIM('Raw Sales'!G69))=10,DATE(VALUE(RIGHT(TRIM('Raw Sales'!G69),4)),VALUE(MID(TRIM('Raw Sales'!G69),4,2)),VALUE(LEFT(TRIM('Raw Sales'!G69),2))),IF(LEN(TRIM('Raw Sales'!G69))=8,DATE(2000+VALUE(RIGHT(TRIM('Raw Sales'!G69),2)),VALUE(MID(TRIM('Raw Sales'!G69),4,2)),VALUE(LEFT(TRIM('Raw Sales'!G69),2))),""))),"")</x:f>
        <x:v>46038</x:v>
      </x:c>
      <x:c r="H69" t="str">
        <x:f>IF(TRIM('Raw Sales'!H69)="","Missing",PROPER(TRIM('Raw Sales'!H69)))</x:f>
        <x:v>Lebo Nkosi</x:v>
      </x:c>
      <x:c r="I69" t="str">
        <x:f>IF(OR(UPPER(TRIM('Raw Sales'!I69))="PAID",UPPER(TRIM('Raw Sales'!I69))="SETTLED",UPPER(TRIM('Raw Sales'!I69))="COMPLETE"),"Paid",IF(UPPER(TRIM('Raw Sales'!I69))="PENDING","Pending","Review"))</x:f>
        <x:v>Pending</x:v>
      </x:c>
      <x:c r="J69" t="str">
        <x:f>IF(A69="","Missing",IF(COUNTIF($A$6:A69,A69)&gt;1,"Duplicate","Unique"))</x:f>
        <x:v>Unique</x:v>
      </x:c>
      <x:c r="K69" s="11" t="n">
        <x:f>IF(A69="",1,0)+IF(B69="",1,0)+IF(C69="Review",1,0)+IF(D69="",1,0)+IF(OR(E69="",E69&lt;=0),1,0)+IF(OR(F69="",F69&lt;=0),1,0)+IF(G69="",1,0)+IF(H69="Missing",1,0)+IF(I69="Review",1,0)+IF(J69="Duplicate",1,0)</x:f>
        <x:v>0</x:v>
      </x:c>
      <x:c r="L69" s="12" t="str">
        <x:f>IF(A69="","Missing order ID; ","")&amp;IF(B69="","Missing school; ","")&amp;IF(C69="Review","Unmapped region; ","")&amp;IF(D69="","Missing product; ","")&amp;IF(OR(E69="",E69&lt;=0),"Invalid units; ","")&amp;IF(OR(F69="",F69&lt;=0),"Invalid amount; ","")&amp;IF(G69="","Invalid date; ","")&amp;IF(H69="Missing","Missing sales rep; ","")&amp;IF(I69="Review","Unmapped payment status; ","")&amp;IF(J69="Duplicate","Duplicate ID; ","")</x:f>
      </x:c>
      <x:c r="M69" t="str">
        <x:f>IF(K69=0,"Ready","Review")</x:f>
        <x:v>Ready</x:v>
      </x:c>
    </x:row>
    <x:row r="70">
      <x:c r="A70" t="str">
        <x:f>UPPER(TRIM('Raw Sales'!A70))</x:f>
        <x:v>SAL-26-0065</x:v>
      </x:c>
      <x:c r="B70" t="str">
        <x:f>PROPER(TRIM('Raw Sales'!B70))</x:f>
        <x:v>Valley Primary</x:v>
      </x:c>
      <x:c r="C70" t="str">
        <x:f>IF(OR(UPPER(TRIM('Raw Sales'!C70))="BOCHUM",UPPER(TRIM('Raw Sales'!C70))="BOCHUM REGION"),"Bochum",IF(OR(UPPER(TRIM('Raw Sales'!C70))="ELDORADO",UPPER(TRIM('Raw Sales'!C70))="ELDOS"),"Eldorado","Review"))</x:f>
        <x:v>Eldorado</x:v>
      </x:c>
      <x:c r="D70" t="str">
        <x:f>PROPER(TRIM('Raw Sales'!D70))</x:f>
        <x:v>Rulers</x:v>
      </x:c>
      <x:c r="E70" s="8" t="n">
        <x:f>IFERROR(VALUE('Raw Sales'!E70),"")</x:f>
        <x:v>24</x:v>
      </x:c>
      <x:c r="F70" s="9" t="n">
        <x:v>3384</x:v>
      </x:c>
      <x:c r="G70" s="10" t="n">
        <x:f>IFERROR(IF(OR(MID(TRIM('Raw Sales'!G70),5,1)="-",MID(TRIM('Raw Sales'!G70),5,1)="/"),DATE(VALUE(LEFT(TRIM('Raw Sales'!G70),4)),VALUE(MID(TRIM('Raw Sales'!G70),6,2)),VALUE(RIGHT(TRIM('Raw Sales'!G70),2))),IF(LEN(TRIM('Raw Sales'!G70))=10,DATE(VALUE(RIGHT(TRIM('Raw Sales'!G70),4)),VALUE(MID(TRIM('Raw Sales'!G70),4,2)),VALUE(LEFT(TRIM('Raw Sales'!G70),2))),IF(LEN(TRIM('Raw Sales'!G70))=8,DATE(2000+VALUE(RIGHT(TRIM('Raw Sales'!G70),2)),VALUE(MID(TRIM('Raw Sales'!G70),4,2)),VALUE(LEFT(TRIM('Raw Sales'!G70),2))),""))),"")</x:f>
        <x:v>46070</x:v>
      </x:c>
      <x:c r="H70" t="str">
        <x:f>IF(TRIM('Raw Sales'!H70)="","Missing",PROPER(TRIM('Raw Sales'!H70)))</x:f>
        <x:v>Thabo Ndlovu</x:v>
      </x:c>
      <x:c r="I70" t="str">
        <x:f>IF(OR(UPPER(TRIM('Raw Sales'!I70))="PAID",UPPER(TRIM('Raw Sales'!I70))="SETTLED",UPPER(TRIM('Raw Sales'!I70))="COMPLETE"),"Paid",IF(UPPER(TRIM('Raw Sales'!I70))="PENDING","Pending","Review"))</x:f>
        <x:v>Paid</x:v>
      </x:c>
      <x:c r="J70" t="str">
        <x:f>IF(A70="","Missing",IF(COUNTIF($A$6:A70,A70)&gt;1,"Duplicate","Unique"))</x:f>
        <x:v>Unique</x:v>
      </x:c>
      <x:c r="K70" s="11" t="n">
        <x:f>IF(A70="",1,0)+IF(B70="",1,0)+IF(C70="Review",1,0)+IF(D70="",1,0)+IF(OR(E70="",E70&lt;=0),1,0)+IF(OR(F70="",F70&lt;=0),1,0)+IF(G70="",1,0)+IF(H70="Missing",1,0)+IF(I70="Review",1,0)+IF(J70="Duplicate",1,0)</x:f>
        <x:v>0</x:v>
      </x:c>
      <x:c r="L70" s="12" t="str">
        <x:f>IF(A70="","Missing order ID; ","")&amp;IF(B70="","Missing school; ","")&amp;IF(C70="Review","Unmapped region; ","")&amp;IF(D70="","Missing product; ","")&amp;IF(OR(E70="",E70&lt;=0),"Invalid units; ","")&amp;IF(OR(F70="",F70&lt;=0),"Invalid amount; ","")&amp;IF(G70="","Invalid date; ","")&amp;IF(H70="Missing","Missing sales rep; ","")&amp;IF(I70="Review","Unmapped payment status; ","")&amp;IF(J70="Duplicate","Duplicate ID; ","")</x:f>
      </x:c>
      <x:c r="M70" t="str">
        <x:f>IF(K70=0,"Ready","Review")</x:f>
        <x:v>Ready</x:v>
      </x:c>
    </x:row>
    <x:row r="71">
      <x:c r="A71" t="str">
        <x:f>UPPER(TRIM('Raw Sales'!A71))</x:f>
        <x:v>SAL-26-0066</x:v>
      </x:c>
      <x:c r="B71" t="str">
        <x:f>PROPER(TRIM('Raw Sales'!B71))</x:f>
        <x:v>Mhlabeni Secondary</x:v>
      </x:c>
      <x:c r="C71" t="str">
        <x:f>IF(OR(UPPER(TRIM('Raw Sales'!C71))="BOCHUM",UPPER(TRIM('Raw Sales'!C71))="BOCHUM REGION"),"Bochum",IF(OR(UPPER(TRIM('Raw Sales'!C71))="ELDORADO",UPPER(TRIM('Raw Sales'!C71))="ELDOS"),"Eldorado","Review"))</x:f>
        <x:v>Eldorado</x:v>
      </x:c>
      <x:c r="D71" t="str">
        <x:f>PROPER(TRIM('Raw Sales'!D71))</x:f>
        <x:v>Exercise Books</x:v>
      </x:c>
      <x:c r="E71" s="8" t="n">
        <x:f>IFERROR(VALUE('Raw Sales'!E71),"")</x:f>
        <x:v>31</x:v>
      </x:c>
      <x:c r="F71" s="9" t="n">
        <x:v>4774</x:v>
      </x:c>
      <x:c r="G71" s="10" t="n">
        <x:f>IFERROR(IF(OR(MID(TRIM('Raw Sales'!G71),5,1)="-",MID(TRIM('Raw Sales'!G71),5,1)="/"),DATE(VALUE(LEFT(TRIM('Raw Sales'!G71),4)),VALUE(MID(TRIM('Raw Sales'!G71),6,2)),VALUE(RIGHT(TRIM('Raw Sales'!G71),2))),IF(LEN(TRIM('Raw Sales'!G71))=10,DATE(VALUE(RIGHT(TRIM('Raw Sales'!G71),4)),VALUE(MID(TRIM('Raw Sales'!G71),4,2)),VALUE(LEFT(TRIM('Raw Sales'!G71),2))),IF(LEN(TRIM('Raw Sales'!G71))=8,DATE(2000+VALUE(RIGHT(TRIM('Raw Sales'!G71),2)),VALUE(MID(TRIM('Raw Sales'!G71),4,2)),VALUE(LEFT(TRIM('Raw Sales'!G71),2))),""))),"")</x:f>
        <x:v>46099</x:v>
      </x:c>
      <x:c r="H71" t="str">
        <x:f>IF(TRIM('Raw Sales'!H71)="","Missing",PROPER(TRIM('Raw Sales'!H71)))</x:f>
        <x:v>Lebo Nkosi</x:v>
      </x:c>
      <x:c r="I71" t="str">
        <x:f>IF(OR(UPPER(TRIM('Raw Sales'!I71))="PAID",UPPER(TRIM('Raw Sales'!I71))="SETTLED",UPPER(TRIM('Raw Sales'!I71))="COMPLETE"),"Paid",IF(UPPER(TRIM('Raw Sales'!I71))="PENDING","Pending","Review"))</x:f>
        <x:v>Paid</x:v>
      </x:c>
      <x:c r="J71" t="str">
        <x:f>IF(A71="","Missing",IF(COUNTIF($A$6:A71,A71)&gt;1,"Duplicate","Unique"))</x:f>
        <x:v>Unique</x:v>
      </x:c>
      <x:c r="K71" s="11" t="n">
        <x:f>IF(A71="",1,0)+IF(B71="",1,0)+IF(C71="Review",1,0)+IF(D71="",1,0)+IF(OR(E71="",E71&lt;=0),1,0)+IF(OR(F71="",F71&lt;=0),1,0)+IF(G71="",1,0)+IF(H71="Missing",1,0)+IF(I71="Review",1,0)+IF(J71="Duplicate",1,0)</x:f>
        <x:v>0</x:v>
      </x:c>
      <x:c r="L71" s="12" t="str">
        <x:f>IF(A71="","Missing order ID; ","")&amp;IF(B71="","Missing school; ","")&amp;IF(C71="Review","Unmapped region; ","")&amp;IF(D71="","Missing product; ","")&amp;IF(OR(E71="",E71&lt;=0),"Invalid units; ","")&amp;IF(OR(F71="",F71&lt;=0),"Invalid amount; ","")&amp;IF(G71="","Invalid date; ","")&amp;IF(H71="Missing","Missing sales rep; ","")&amp;IF(I71="Review","Unmapped payment status; ","")&amp;IF(J71="Duplicate","Duplicate ID; ","")</x:f>
      </x:c>
      <x:c r="M71" t="str">
        <x:f>IF(K71=0,"Ready","Review")</x:f>
        <x:v>Ready</x:v>
      </x:c>
    </x:row>
    <x:row r="72">
      <x:c r="A72" t="str">
        <x:f>UPPER(TRIM('Raw Sales'!A72))</x:f>
        <x:v>SAL-26-0067</x:v>
      </x:c>
      <x:c r="B72" t="str">
        <x:f>PROPER(TRIM('Raw Sales'!B72))</x:f>
        <x:v>Meadowlands School</x:v>
      </x:c>
      <x:c r="C72" t="str">
        <x:f>IF(OR(UPPER(TRIM('Raw Sales'!C72))="BOCHUM",UPPER(TRIM('Raw Sales'!C72))="BOCHUM REGION"),"Bochum",IF(OR(UPPER(TRIM('Raw Sales'!C72))="ELDORADO",UPPER(TRIM('Raw Sales'!C72))="ELDOS"),"Eldorado","Review"))</x:f>
        <x:v>Bochum</x:v>
      </x:c>
      <x:c r="D72" t="str">
        <x:f>PROPER(TRIM('Raw Sales'!D72))</x:f>
        <x:v>Pencils</x:v>
      </x:c>
      <x:c r="E72" s="8" t="n">
        <x:f>IFERROR(VALUE('Raw Sales'!E72),"")</x:f>
        <x:v>2</x:v>
      </x:c>
      <x:c r="F72" s="9" t="n">
        <x:v>334</x:v>
      </x:c>
      <x:c r="G72" s="10" t="n">
        <x:f>IFERROR(IF(OR(MID(TRIM('Raw Sales'!G72),5,1)="-",MID(TRIM('Raw Sales'!G72),5,1)="/"),DATE(VALUE(LEFT(TRIM('Raw Sales'!G72),4)),VALUE(MID(TRIM('Raw Sales'!G72),6,2)),VALUE(RIGHT(TRIM('Raw Sales'!G72),2))),IF(LEN(TRIM('Raw Sales'!G72))=10,DATE(VALUE(RIGHT(TRIM('Raw Sales'!G72),4)),VALUE(MID(TRIM('Raw Sales'!G72),4,2)),VALUE(LEFT(TRIM('Raw Sales'!G72),2))),IF(LEN(TRIM('Raw Sales'!G72))=8,DATE(2000+VALUE(RIGHT(TRIM('Raw Sales'!G72),2)),VALUE(MID(TRIM('Raw Sales'!G72),4,2)),VALUE(LEFT(TRIM('Raw Sales'!G72),2))),""))),"")</x:f>
        <x:v>46131</x:v>
      </x:c>
      <x:c r="H72" t="str">
        <x:f>IF(TRIM('Raw Sales'!H72)="","Missing",PROPER(TRIM('Raw Sales'!H72)))</x:f>
        <x:v>Thabo Ndlovu</x:v>
      </x:c>
      <x:c r="I72" t="str">
        <x:f>IF(OR(UPPER(TRIM('Raw Sales'!I72))="PAID",UPPER(TRIM('Raw Sales'!I72))="SETTLED",UPPER(TRIM('Raw Sales'!I72))="COMPLETE"),"Paid",IF(UPPER(TRIM('Raw Sales'!I72))="PENDING","Pending","Review"))</x:f>
        <x:v>Pending</x:v>
      </x:c>
      <x:c r="J72" t="str">
        <x:f>IF(A72="","Missing",IF(COUNTIF($A$6:A72,A72)&gt;1,"Duplicate","Unique"))</x:f>
        <x:v>Unique</x:v>
      </x:c>
      <x:c r="K72" s="11" t="n">
        <x:f>IF(A72="",1,0)+IF(B72="",1,0)+IF(C72="Review",1,0)+IF(D72="",1,0)+IF(OR(E72="",E72&lt;=0),1,0)+IF(OR(F72="",F72&lt;=0),1,0)+IF(G72="",1,0)+IF(H72="Missing",1,0)+IF(I72="Review",1,0)+IF(J72="Duplicate",1,0)</x:f>
        <x:v>0</x:v>
      </x:c>
      <x:c r="L72" s="12" t="str">
        <x:f>IF(A72="","Missing order ID; ","")&amp;IF(B72="","Missing school; ","")&amp;IF(C72="Review","Unmapped region; ","")&amp;IF(D72="","Missing product; ","")&amp;IF(OR(E72="",E72&lt;=0),"Invalid units; ","")&amp;IF(OR(F72="",F72&lt;=0),"Invalid amount; ","")&amp;IF(G72="","Invalid date; ","")&amp;IF(H72="Missing","Missing sales rep; ","")&amp;IF(I72="Review","Unmapped payment status; ","")&amp;IF(J72="Duplicate","Duplicate ID; ","")</x:f>
      </x:c>
      <x:c r="M72" t="str">
        <x:f>IF(K72=0,"Ready","Review")</x:f>
        <x:v>Ready</x:v>
      </x:c>
    </x:row>
    <x:row r="73">
      <x:c r="A73" t="str">
        <x:f>UPPER(TRIM('Raw Sales'!A73))</x:f>
        <x:v>SAL-26-0068</x:v>
      </x:c>
      <x:c r="B73" t="str">
        <x:f>PROPER(TRIM('Raw Sales'!B73))</x:f>
        <x:v>Gardenview School</x:v>
      </x:c>
      <x:c r="C73" t="str">
        <x:f>IF(OR(UPPER(TRIM('Raw Sales'!C73))="BOCHUM",UPPER(TRIM('Raw Sales'!C73))="BOCHUM REGION"),"Bochum",IF(OR(UPPER(TRIM('Raw Sales'!C73))="ELDORADO",UPPER(TRIM('Raw Sales'!C73))="ELDOS"),"Eldorado","Review"))</x:f>
        <x:v>Eldorado</x:v>
      </x:c>
      <x:c r="D73" t="str">
        <x:f>PROPER(TRIM('Raw Sales'!D73))</x:f>
        <x:v>Folders</x:v>
      </x:c>
      <x:c r="E73" s="8" t="n">
        <x:f>IFERROR(VALUE('Raw Sales'!E73),"")</x:f>
        <x:v>9</x:v>
      </x:c>
      <x:c r="F73" s="9"/>
      <x:c r="G73" s="10" t="n">
        <x:f>IFERROR(IF(OR(MID(TRIM('Raw Sales'!G73),5,1)="-",MID(TRIM('Raw Sales'!G73),5,1)="/"),DATE(VALUE(LEFT(TRIM('Raw Sales'!G73),4)),VALUE(MID(TRIM('Raw Sales'!G73),6,2)),VALUE(RIGHT(TRIM('Raw Sales'!G73),2))),IF(LEN(TRIM('Raw Sales'!G73))=10,DATE(VALUE(RIGHT(TRIM('Raw Sales'!G73),4)),VALUE(MID(TRIM('Raw Sales'!G73),4,2)),VALUE(LEFT(TRIM('Raw Sales'!G73),2))),IF(LEN(TRIM('Raw Sales'!G73))=8,DATE(2000+VALUE(RIGHT(TRIM('Raw Sales'!G73),2)),VALUE(MID(TRIM('Raw Sales'!G73),4,2)),VALUE(LEFT(TRIM('Raw Sales'!G73),2))),""))),"")</x:f>
        <x:v>46162</x:v>
      </x:c>
      <x:c r="H73" t="str">
        <x:f>IF(TRIM('Raw Sales'!H73)="","Missing",PROPER(TRIM('Raw Sales'!H73)))</x:f>
        <x:v>Lebo Nkosi</x:v>
      </x:c>
      <x:c r="I73" t="str">
        <x:f>IF(OR(UPPER(TRIM('Raw Sales'!I73))="PAID",UPPER(TRIM('Raw Sales'!I73))="SETTLED",UPPER(TRIM('Raw Sales'!I73))="COMPLETE"),"Paid",IF(UPPER(TRIM('Raw Sales'!I73))="PENDING","Pending","Review"))</x:f>
        <x:v>Paid</x:v>
      </x:c>
      <x:c r="J73" t="str">
        <x:f>IF(A73="","Missing",IF(COUNTIF($A$6:A73,A73)&gt;1,"Duplicate","Unique"))</x:f>
        <x:v>Unique</x:v>
      </x:c>
      <x:c r="K73" s="11" t="n">
        <x:f>IF(A73="",1,0)+IF(B73="",1,0)+IF(C73="Review",1,0)+IF(D73="",1,0)+IF(OR(E73="",E73&lt;=0),1,0)+IF(OR(F73="",F73&lt;=0),1,0)+IF(G73="",1,0)+IF(H73="Missing",1,0)+IF(I73="Review",1,0)+IF(J73="Duplicate",1,0)</x:f>
        <x:v>1</x:v>
      </x:c>
      <x:c r="L73" s="12" t="str">
        <x:f>IF(A73="","Missing order ID; ","")&amp;IF(B73="","Missing school; ","")&amp;IF(C73="Review","Unmapped region; ","")&amp;IF(D73="","Missing product; ","")&amp;IF(OR(E73="",E73&lt;=0),"Invalid units; ","")&amp;IF(OR(F73="",F73&lt;=0),"Invalid amount; ","")&amp;IF(G73="","Invalid date; ","")&amp;IF(H73="Missing","Missing sales rep; ","")&amp;IF(I73="Review","Unmapped payment status; ","")&amp;IF(J73="Duplicate","Duplicate ID; ","")</x:f>
        <x:v>Invalid amount; </x:v>
      </x:c>
      <x:c r="M73" t="str">
        <x:f>IF(K73=0,"Ready","Review")</x:f>
        <x:v>Review</x:v>
      </x:c>
    </x:row>
    <x:row r="74">
      <x:c r="A74" t="str">
        <x:f>UPPER(TRIM('Raw Sales'!A74))</x:f>
        <x:v>SAL-26-0069</x:v>
      </x:c>
      <x:c r="B74" t="str">
        <x:f>PROPER(TRIM('Raw Sales'!B74))</x:f>
        <x:v>Riverside Academy</x:v>
      </x:c>
      <x:c r="C74" t="str">
        <x:f>IF(OR(UPPER(TRIM('Raw Sales'!C74))="BOCHUM",UPPER(TRIM('Raw Sales'!C74))="BOCHUM REGION"),"Bochum",IF(OR(UPPER(TRIM('Raw Sales'!C74))="ELDORADO",UPPER(TRIM('Raw Sales'!C74))="ELDOS"),"Eldorado","Review"))</x:f>
        <x:v>Bochum</x:v>
      </x:c>
      <x:c r="D74" t="str">
        <x:f>PROPER(TRIM('Raw Sales'!D74))</x:f>
        <x:v>Pens</x:v>
      </x:c>
      <x:c r="E74" s="8" t="n">
        <x:f>IFERROR(VALUE('Raw Sales'!E74),"")</x:f>
        <x:v>16</x:v>
      </x:c>
      <x:c r="F74" s="9" t="n">
        <x:v>3088</x:v>
      </x:c>
      <x:c r="G74" s="10" t="n">
        <x:f>IFERROR(IF(OR(MID(TRIM('Raw Sales'!G74),5,1)="-",MID(TRIM('Raw Sales'!G74),5,1)="/"),DATE(VALUE(LEFT(TRIM('Raw Sales'!G74),4)),VALUE(MID(TRIM('Raw Sales'!G74),6,2)),VALUE(RIGHT(TRIM('Raw Sales'!G74),2))),IF(LEN(TRIM('Raw Sales'!G74))=10,DATE(VALUE(RIGHT(TRIM('Raw Sales'!G74),4)),VALUE(MID(TRIM('Raw Sales'!G74),4,2)),VALUE(LEFT(TRIM('Raw Sales'!G74),2))),IF(LEN(TRIM('Raw Sales'!G74))=8,DATE(2000+VALUE(RIGHT(TRIM('Raw Sales'!G74),2)),VALUE(MID(TRIM('Raw Sales'!G74),4,2)),VALUE(LEFT(TRIM('Raw Sales'!G74),2))),""))),"")</x:f>
        <x:v>46194</x:v>
      </x:c>
      <x:c r="H74" t="str">
        <x:f>IF(TRIM('Raw Sales'!H74)="","Missing",PROPER(TRIM('Raw Sales'!H74)))</x:f>
        <x:v>Missing</x:v>
      </x:c>
      <x:c r="I74" t="str">
        <x:f>IF(OR(UPPER(TRIM('Raw Sales'!I74))="PAID",UPPER(TRIM('Raw Sales'!I74))="SETTLED",UPPER(TRIM('Raw Sales'!I74))="COMPLETE"),"Paid",IF(UPPER(TRIM('Raw Sales'!I74))="PENDING","Pending","Review"))</x:f>
        <x:v>Paid</x:v>
      </x:c>
      <x:c r="J74" t="str">
        <x:f>IF(A74="","Missing",IF(COUNTIF($A$6:A74,A74)&gt;1,"Duplicate","Unique"))</x:f>
        <x:v>Unique</x:v>
      </x:c>
      <x:c r="K74" s="11" t="n">
        <x:f>IF(A74="",1,0)+IF(B74="",1,0)+IF(C74="Review",1,0)+IF(D74="",1,0)+IF(OR(E74="",E74&lt;=0),1,0)+IF(OR(F74="",F74&lt;=0),1,0)+IF(G74="",1,0)+IF(H74="Missing",1,0)+IF(I74="Review",1,0)+IF(J74="Duplicate",1,0)</x:f>
        <x:v>1</x:v>
      </x:c>
      <x:c r="L74" s="12" t="str">
        <x:f>IF(A74="","Missing order ID; ","")&amp;IF(B74="","Missing school; ","")&amp;IF(C74="Review","Unmapped region; ","")&amp;IF(D74="","Missing product; ","")&amp;IF(OR(E74="",E74&lt;=0),"Invalid units; ","")&amp;IF(OR(F74="",F74&lt;=0),"Invalid amount; ","")&amp;IF(G74="","Invalid date; ","")&amp;IF(H74="Missing","Missing sales rep; ","")&amp;IF(I74="Review","Unmapped payment status; ","")&amp;IF(J74="Duplicate","Duplicate ID; ","")</x:f>
        <x:v>Missing sales rep; </x:v>
      </x:c>
      <x:c r="M74" t="str">
        <x:f>IF(K74=0,"Ready","Review")</x:f>
        <x:v>Review</x:v>
      </x:c>
    </x:row>
    <x:row r="75">
      <x:c r="A75" t="str">
        <x:f>UPPER(TRIM('Raw Sales'!A75))</x:f>
        <x:v>SAL-26-0070</x:v>
      </x:c>
      <x:c r="B75" t="str">
        <x:f>PROPER(TRIM('Raw Sales'!B75))</x:f>
        <x:v>Maple Secondary</x:v>
      </x:c>
      <x:c r="C75" t="str">
        <x:f>IF(OR(UPPER(TRIM('Raw Sales'!C75))="BOCHUM",UPPER(TRIM('Raw Sales'!C75))="BOCHUM REGION"),"Bochum",IF(OR(UPPER(TRIM('Raw Sales'!C75))="ELDORADO",UPPER(TRIM('Raw Sales'!C75))="ELDOS"),"Eldorado","Review"))</x:f>
        <x:v>Eldorado</x:v>
      </x:c>
      <x:c r="D75" t="str">
        <x:f>PROPER(TRIM('Raw Sales'!D75))</x:f>
        <x:v>Glue Sticks</x:v>
      </x:c>
      <x:c r="E75" s="8" t="n">
        <x:f>IFERROR(VALUE('Raw Sales'!E75),"")</x:f>
        <x:v>23</x:v>
      </x:c>
      <x:c r="F75" s="9" t="n">
        <x:v>575</x:v>
      </x:c>
      <x:c r="G75" s="10" t="n">
        <x:f>IFERROR(IF(OR(MID(TRIM('Raw Sales'!G75),5,1)="-",MID(TRIM('Raw Sales'!G75),5,1)="/"),DATE(VALUE(LEFT(TRIM('Raw Sales'!G75),4)),VALUE(MID(TRIM('Raw Sales'!G75),6,2)),VALUE(RIGHT(TRIM('Raw Sales'!G75),2))),IF(LEN(TRIM('Raw Sales'!G75))=10,DATE(VALUE(RIGHT(TRIM('Raw Sales'!G75),4)),VALUE(MID(TRIM('Raw Sales'!G75),4,2)),VALUE(LEFT(TRIM('Raw Sales'!G75),2))),IF(LEN(TRIM('Raw Sales'!G75))=8,DATE(2000+VALUE(RIGHT(TRIM('Raw Sales'!G75),2)),VALUE(MID(TRIM('Raw Sales'!G75),4,2)),VALUE(LEFT(TRIM('Raw Sales'!G75),2))),""))),"")</x:f>
        <x:v>46225</x:v>
      </x:c>
      <x:c r="H75" t="str">
        <x:f>IF(TRIM('Raw Sales'!H75)="","Missing",PROPER(TRIM('Raw Sales'!H75)))</x:f>
        <x:v>Lebo Nkosi</x:v>
      </x:c>
      <x:c r="I75" t="str">
        <x:f>IF(OR(UPPER(TRIM('Raw Sales'!I75))="PAID",UPPER(TRIM('Raw Sales'!I75))="SETTLED",UPPER(TRIM('Raw Sales'!I75))="COMPLETE"),"Paid",IF(UPPER(TRIM('Raw Sales'!I75))="PENDING","Pending","Review"))</x:f>
        <x:v>Pending</x:v>
      </x:c>
      <x:c r="J75" t="str">
        <x:f>IF(A75="","Missing",IF(COUNTIF($A$6:A75,A75)&gt;1,"Duplicate","Unique"))</x:f>
        <x:v>Unique</x:v>
      </x:c>
      <x:c r="K75" s="11" t="n">
        <x:f>IF(A75="",1,0)+IF(B75="",1,0)+IF(C75="Review",1,0)+IF(D75="",1,0)+IF(OR(E75="",E75&lt;=0),1,0)+IF(OR(F75="",F75&lt;=0),1,0)+IF(G75="",1,0)+IF(H75="Missing",1,0)+IF(I75="Review",1,0)+IF(J75="Duplicate",1,0)</x:f>
        <x:v>0</x:v>
      </x:c>
      <x:c r="L75" s="12" t="str">
        <x:f>IF(A75="","Missing order ID; ","")&amp;IF(B75="","Missing school; ","")&amp;IF(C75="Review","Unmapped region; ","")&amp;IF(D75="","Missing product; ","")&amp;IF(OR(E75="",E75&lt;=0),"Invalid units; ","")&amp;IF(OR(F75="",F75&lt;=0),"Invalid amount; ","")&amp;IF(G75="","Invalid date; ","")&amp;IF(H75="Missing","Missing sales rep; ","")&amp;IF(I75="Review","Unmapped payment status; ","")&amp;IF(J75="Duplicate","Duplicate ID; ","")</x:f>
      </x:c>
      <x:c r="M75" t="str">
        <x:f>IF(K75=0,"Ready","Review")</x:f>
        <x:v>Ready</x:v>
      </x:c>
    </x:row>
    <x:row r="76">
      <x:c r="A76" t="str">
        <x:f>UPPER(TRIM('Raw Sales'!A76))</x:f>
        <x:v>SAL-26-0071</x:v>
      </x:c>
      <x:c r="B76" t="str">
        <x:f>PROPER(TRIM('Raw Sales'!B76))</x:f>
        <x:v>Pinecrest School</x:v>
      </x:c>
      <x:c r="C76" t="str">
        <x:f>IF(OR(UPPER(TRIM('Raw Sales'!C76))="BOCHUM",UPPER(TRIM('Raw Sales'!C76))="BOCHUM REGION"),"Bochum",IF(OR(UPPER(TRIM('Raw Sales'!C76))="ELDORADO",UPPER(TRIM('Raw Sales'!C76))="ELDOS"),"Eldorado","Review"))</x:f>
        <x:v>Bochum</x:v>
      </x:c>
      <x:c r="D76" t="str">
        <x:f>PROPER(TRIM('Raw Sales'!D76))</x:f>
        <x:v>Markers</x:v>
      </x:c>
      <x:c r="E76" s="8" t="n">
        <x:f>IFERROR(VALUE('Raw Sales'!E76),"")</x:f>
        <x:v>30</x:v>
      </x:c>
      <x:c r="F76" s="9" t="n">
        <x:v>1140</x:v>
      </x:c>
      <x:c r="G76" s="10" t="n">
        <x:f>IFERROR(IF(OR(MID(TRIM('Raw Sales'!G76),5,1)="-",MID(TRIM('Raw Sales'!G76),5,1)="/"),DATE(VALUE(LEFT(TRIM('Raw Sales'!G76),4)),VALUE(MID(TRIM('Raw Sales'!G76),6,2)),VALUE(RIGHT(TRIM('Raw Sales'!G76),2))),IF(LEN(TRIM('Raw Sales'!G76))=10,DATE(VALUE(RIGHT(TRIM('Raw Sales'!G76),4)),VALUE(MID(TRIM('Raw Sales'!G76),4,2)),VALUE(LEFT(TRIM('Raw Sales'!G76),2))),IF(LEN(TRIM('Raw Sales'!G76))=8,DATE(2000+VALUE(RIGHT(TRIM('Raw Sales'!G76),2)),VALUE(MID(TRIM('Raw Sales'!G76),4,2)),VALUE(LEFT(TRIM('Raw Sales'!G76),2))),""))),"")</x:f>
        <x:v>46257</x:v>
      </x:c>
      <x:c r="H76" t="str">
        <x:f>IF(TRIM('Raw Sales'!H76)="","Missing",PROPER(TRIM('Raw Sales'!H76)))</x:f>
        <x:v>Thabo Ndlovu</x:v>
      </x:c>
      <x:c r="I76" t="str">
        <x:f>IF(OR(UPPER(TRIM('Raw Sales'!I76))="PAID",UPPER(TRIM('Raw Sales'!I76))="SETTLED",UPPER(TRIM('Raw Sales'!I76))="COMPLETE"),"Paid",IF(UPPER(TRIM('Raw Sales'!I76))="PENDING","Pending","Review"))</x:f>
        <x:v>Paid</x:v>
      </x:c>
      <x:c r="J76" t="str">
        <x:f>IF(A76="","Missing",IF(COUNTIF($A$6:A76,A76)&gt;1,"Duplicate","Unique"))</x:f>
        <x:v>Unique</x:v>
      </x:c>
      <x:c r="K76" s="11" t="n">
        <x:f>IF(A76="",1,0)+IF(B76="",1,0)+IF(C76="Review",1,0)+IF(D76="",1,0)+IF(OR(E76="",E76&lt;=0),1,0)+IF(OR(F76="",F76&lt;=0),1,0)+IF(G76="",1,0)+IF(H76="Missing",1,0)+IF(I76="Review",1,0)+IF(J76="Duplicate",1,0)</x:f>
        <x:v>0</x:v>
      </x:c>
      <x:c r="L76" s="12" t="str">
        <x:f>IF(A76="","Missing order ID; ","")&amp;IF(B76="","Missing school; ","")&amp;IF(C76="Review","Unmapped region; ","")&amp;IF(D76="","Missing product; ","")&amp;IF(OR(E76="",E76&lt;=0),"Invalid units; ","")&amp;IF(OR(F76="",F76&lt;=0),"Invalid amount; ","")&amp;IF(G76="","Invalid date; ","")&amp;IF(H76="Missing","Missing sales rep; ","")&amp;IF(I76="Review","Unmapped payment status; ","")&amp;IF(J76="Duplicate","Duplicate ID; ","")</x:f>
      </x:c>
      <x:c r="M76" t="str">
        <x:f>IF(K76=0,"Ready","Review")</x:f>
        <x:v>Ready</x:v>
      </x:c>
    </x:row>
    <x:row r="77">
      <x:c r="A77" t="str">
        <x:f>UPPER(TRIM('Raw Sales'!A77))</x:f>
        <x:v>SAL-26-0072</x:v>
      </x:c>
      <x:c r="B77" t="str">
        <x:f>PROPER(TRIM('Raw Sales'!B77))</x:f>
        <x:v>Northstar Academy</x:v>
      </x:c>
      <x:c r="C77" t="str">
        <x:f>IF(OR(UPPER(TRIM('Raw Sales'!C77))="BOCHUM",UPPER(TRIM('Raw Sales'!C77))="BOCHUM REGION"),"Bochum",IF(OR(UPPER(TRIM('Raw Sales'!C77))="ELDORADO",UPPER(TRIM('Raw Sales'!C77))="ELDOS"),"Eldorado","Review"))</x:f>
        <x:v>Bochum</x:v>
      </x:c>
      <x:c r="D77" t="str">
        <x:f>PROPER(TRIM('Raw Sales'!D77))</x:f>
        <x:v>Notebooks</x:v>
      </x:c>
      <x:c r="E77" s="8" t="n">
        <x:f>IFERROR(VALUE('Raw Sales'!E77),"")</x:f>
        <x:v>1</x:v>
      </x:c>
      <x:c r="F77" s="9" t="n">
        <x:v>51</x:v>
      </x:c>
      <x:c r="G77" s="10" t="n">
        <x:f>IFERROR(IF(OR(MID(TRIM('Raw Sales'!G77),5,1)="-",MID(TRIM('Raw Sales'!G77),5,1)="/"),DATE(VALUE(LEFT(TRIM('Raw Sales'!G77),4)),VALUE(MID(TRIM('Raw Sales'!G77),6,2)),VALUE(RIGHT(TRIM('Raw Sales'!G77),2))),IF(LEN(TRIM('Raw Sales'!G77))=10,DATE(VALUE(RIGHT(TRIM('Raw Sales'!G77),4)),VALUE(MID(TRIM('Raw Sales'!G77),4,2)),VALUE(LEFT(TRIM('Raw Sales'!G77),2))),IF(LEN(TRIM('Raw Sales'!G77))=8,DATE(2000+VALUE(RIGHT(TRIM('Raw Sales'!G77),2)),VALUE(MID(TRIM('Raw Sales'!G77),4,2)),VALUE(LEFT(TRIM('Raw Sales'!G77),2))),""))),"")</x:f>
        <x:v>46046</x:v>
      </x:c>
      <x:c r="H77" t="str">
        <x:f>IF(TRIM('Raw Sales'!H77)="","Missing",PROPER(TRIM('Raw Sales'!H77)))</x:f>
        <x:v>Lebo Nkosi</x:v>
      </x:c>
      <x:c r="I77" t="str">
        <x:f>IF(OR(UPPER(TRIM('Raw Sales'!I77))="PAID",UPPER(TRIM('Raw Sales'!I77))="SETTLED",UPPER(TRIM('Raw Sales'!I77))="COMPLETE"),"Paid",IF(UPPER(TRIM('Raw Sales'!I77))="PENDING","Pending","Review"))</x:f>
        <x:v>Paid</x:v>
      </x:c>
      <x:c r="J77" t="str">
        <x:f>IF(A77="","Missing",IF(COUNTIF($A$6:A77,A77)&gt;1,"Duplicate","Unique"))</x:f>
        <x:v>Unique</x:v>
      </x:c>
      <x:c r="K77" s="11" t="n">
        <x:f>IF(A77="",1,0)+IF(B77="",1,0)+IF(C77="Review",1,0)+IF(D77="",1,0)+IF(OR(E77="",E77&lt;=0),1,0)+IF(OR(F77="",F77&lt;=0),1,0)+IF(G77="",1,0)+IF(H77="Missing",1,0)+IF(I77="Review",1,0)+IF(J77="Duplicate",1,0)</x:f>
        <x:v>0</x:v>
      </x:c>
      <x:c r="L77" s="12" t="str">
        <x:f>IF(A77="","Missing order ID; ","")&amp;IF(B77="","Missing school; ","")&amp;IF(C77="Review","Unmapped region; ","")&amp;IF(D77="","Missing product; ","")&amp;IF(OR(E77="",E77&lt;=0),"Invalid units; ","")&amp;IF(OR(F77="",F77&lt;=0),"Invalid amount; ","")&amp;IF(G77="","Invalid date; ","")&amp;IF(H77="Missing","Missing sales rep; ","")&amp;IF(I77="Review","Unmapped payment status; ","")&amp;IF(J77="Duplicate","Duplicate ID; ","")</x:f>
      </x:c>
      <x:c r="M77" t="str">
        <x:f>IF(K77=0,"Ready","Review")</x:f>
        <x:v>Ready</x:v>
      </x:c>
    </x:row>
    <x:row r="78">
      <x:c r="A78" t="str">
        <x:f>UPPER(TRIM('Raw Sales'!A78))</x:f>
        <x:v>SAL-26-0073</x:v>
      </x:c>
      <x:c r="B78" t="str">
        <x:f>PROPER(TRIM('Raw Sales'!B78))</x:f>
        <x:v>Crescent Primary</x:v>
      </x:c>
      <x:c r="C78" t="str">
        <x:f>IF(OR(UPPER(TRIM('Raw Sales'!C78))="BOCHUM",UPPER(TRIM('Raw Sales'!C78))="BOCHUM REGION"),"Bochum",IF(OR(UPPER(TRIM('Raw Sales'!C78))="ELDORADO",UPPER(TRIM('Raw Sales'!C78))="ELDOS"),"Eldorado","Review"))</x:f>
        <x:v>Eldorado</x:v>
      </x:c>
      <x:c r="D78" t="str">
        <x:f>PROPER(TRIM('Raw Sales'!D78))</x:f>
        <x:v>Rulers</x:v>
      </x:c>
      <x:c r="E78" s="8" t="n">
        <x:f>IFERROR(VALUE('Raw Sales'!E78),"")</x:f>
        <x:v>8</x:v>
      </x:c>
      <x:c r="F78" s="9" t="n">
        <x:v>512</x:v>
      </x:c>
      <x:c r="G78" s="10" t="n">
        <x:f>IFERROR(IF(OR(MID(TRIM('Raw Sales'!G78),5,1)="-",MID(TRIM('Raw Sales'!G78),5,1)="/"),DATE(VALUE(LEFT(TRIM('Raw Sales'!G78),4)),VALUE(MID(TRIM('Raw Sales'!G78),6,2)),VALUE(RIGHT(TRIM('Raw Sales'!G78),2))),IF(LEN(TRIM('Raw Sales'!G78))=10,DATE(VALUE(RIGHT(TRIM('Raw Sales'!G78),4)),VALUE(MID(TRIM('Raw Sales'!G78),4,2)),VALUE(LEFT(TRIM('Raw Sales'!G78),2))),IF(LEN(TRIM('Raw Sales'!G78))=8,DATE(2000+VALUE(RIGHT(TRIM('Raw Sales'!G78),2)),VALUE(MID(TRIM('Raw Sales'!G78),4,2)),VALUE(LEFT(TRIM('Raw Sales'!G78),2))),""))),"")</x:f>
        <x:v>46078</x:v>
      </x:c>
      <x:c r="H78" t="str">
        <x:f>IF(TRIM('Raw Sales'!H78)="","Missing",PROPER(TRIM('Raw Sales'!H78)))</x:f>
        <x:v>Thabo Ndlovu</x:v>
      </x:c>
      <x:c r="I78" t="str">
        <x:f>IF(OR(UPPER(TRIM('Raw Sales'!I78))="PAID",UPPER(TRIM('Raw Sales'!I78))="SETTLED",UPPER(TRIM('Raw Sales'!I78))="COMPLETE"),"Paid",IF(UPPER(TRIM('Raw Sales'!I78))="PENDING","Pending","Review"))</x:f>
        <x:v>Pending</x:v>
      </x:c>
      <x:c r="J78" t="str">
        <x:f>IF(A78="","Missing",IF(COUNTIF($A$6:A78,A78)&gt;1,"Duplicate","Unique"))</x:f>
        <x:v>Unique</x:v>
      </x:c>
      <x:c r="K78" s="11" t="n">
        <x:f>IF(A78="",1,0)+IF(B78="",1,0)+IF(C78="Review",1,0)+IF(D78="",1,0)+IF(OR(E78="",E78&lt;=0),1,0)+IF(OR(F78="",F78&lt;=0),1,0)+IF(G78="",1,0)+IF(H78="Missing",1,0)+IF(I78="Review",1,0)+IF(J78="Duplicate",1,0)</x:f>
        <x:v>0</x:v>
      </x:c>
      <x:c r="L78" s="12" t="str">
        <x:f>IF(A78="","Missing order ID; ","")&amp;IF(B78="","Missing school; ","")&amp;IF(C78="Review","Unmapped region; ","")&amp;IF(D78="","Missing product; ","")&amp;IF(OR(E78="",E78&lt;=0),"Invalid units; ","")&amp;IF(OR(F78="",F78&lt;=0),"Invalid amount; ","")&amp;IF(G78="","Invalid date; ","")&amp;IF(H78="Missing","Missing sales rep; ","")&amp;IF(I78="Review","Unmapped payment status; ","")&amp;IF(J78="Duplicate","Duplicate ID; ","")</x:f>
      </x:c>
      <x:c r="M78" t="str">
        <x:f>IF(K78=0,"Ready","Review")</x:f>
        <x:v>Ready</x:v>
      </x:c>
    </x:row>
    <x:row r="79">
      <x:c r="A79" t="str">
        <x:f>UPPER(TRIM('Raw Sales'!A79))</x:f>
        <x:v>SAL-26-0073</x:v>
      </x:c>
      <x:c r="B79" t="str">
        <x:f>PROPER(TRIM('Raw Sales'!B79))</x:f>
        <x:v>Hillview Primary</x:v>
      </x:c>
      <x:c r="C79" t="str">
        <x:f>IF(OR(UPPER(TRIM('Raw Sales'!C79))="BOCHUM",UPPER(TRIM('Raw Sales'!C79))="BOCHUM REGION"),"Bochum",IF(OR(UPPER(TRIM('Raw Sales'!C79))="ELDORADO",UPPER(TRIM('Raw Sales'!C79))="ELDOS"),"Eldorado","Review"))</x:f>
        <x:v>Bochum</x:v>
      </x:c>
      <x:c r="D79" t="str">
        <x:f>PROPER(TRIM('Raw Sales'!D79))</x:f>
        <x:v>Exercise Books</x:v>
      </x:c>
      <x:c r="E79" s="8" t="n">
        <x:f>IFERROR(VALUE('Raw Sales'!E79),"")</x:f>
        <x:v>15</x:v>
      </x:c>
      <x:c r="F79" s="9" t="n">
        <x:v>1155</x:v>
      </x:c>
      <x:c r="G79" s="10" t="n">
        <x:f>IFERROR(IF(OR(MID(TRIM('Raw Sales'!G79),5,1)="-",MID(TRIM('Raw Sales'!G79),5,1)="/"),DATE(VALUE(LEFT(TRIM('Raw Sales'!G79),4)),VALUE(MID(TRIM('Raw Sales'!G79),6,2)),VALUE(RIGHT(TRIM('Raw Sales'!G79),2))),IF(LEN(TRIM('Raw Sales'!G79))=10,DATE(VALUE(RIGHT(TRIM('Raw Sales'!G79),4)),VALUE(MID(TRIM('Raw Sales'!G79),4,2)),VALUE(LEFT(TRIM('Raw Sales'!G79),2))),IF(LEN(TRIM('Raw Sales'!G79))=8,DATE(2000+VALUE(RIGHT(TRIM('Raw Sales'!G79),2)),VALUE(MID(TRIM('Raw Sales'!G79),4,2)),VALUE(LEFT(TRIM('Raw Sales'!G79),2))),""))),"")</x:f>
        <x:v>46107</x:v>
      </x:c>
      <x:c r="H79" t="str">
        <x:f>IF(TRIM('Raw Sales'!H79)="","Missing",PROPER(TRIM('Raw Sales'!H79)))</x:f>
        <x:v>Lebo Nkosi</x:v>
      </x:c>
      <x:c r="I79" t="str">
        <x:f>IF(OR(UPPER(TRIM('Raw Sales'!I79))="PAID",UPPER(TRIM('Raw Sales'!I79))="SETTLED",UPPER(TRIM('Raw Sales'!I79))="COMPLETE"),"Paid",IF(UPPER(TRIM('Raw Sales'!I79))="PENDING","Pending","Review"))</x:f>
        <x:v>Paid</x:v>
      </x:c>
      <x:c r="J79" t="str">
        <x:f>IF(A79="","Missing",IF(COUNTIF($A$6:A79,A79)&gt;1,"Duplicate","Unique"))</x:f>
        <x:v>Duplicate</x:v>
      </x:c>
      <x:c r="K79" s="11" t="n">
        <x:f>IF(A79="",1,0)+IF(B79="",1,0)+IF(C79="Review",1,0)+IF(D79="",1,0)+IF(OR(E79="",E79&lt;=0),1,0)+IF(OR(F79="",F79&lt;=0),1,0)+IF(G79="",1,0)+IF(H79="Missing",1,0)+IF(I79="Review",1,0)+IF(J79="Duplicate",1,0)</x:f>
        <x:v>1</x:v>
      </x:c>
      <x:c r="L79" s="12" t="str">
        <x:f>IF(A79="","Missing order ID; ","")&amp;IF(B79="","Missing school; ","")&amp;IF(C79="Review","Unmapped region; ","")&amp;IF(D79="","Missing product; ","")&amp;IF(OR(E79="",E79&lt;=0),"Invalid units; ","")&amp;IF(OR(F79="",F79&lt;=0),"Invalid amount; ","")&amp;IF(G79="","Invalid date; ","")&amp;IF(H79="Missing","Missing sales rep; ","")&amp;IF(I79="Review","Unmapped payment status; ","")&amp;IF(J79="Duplicate","Duplicate ID; ","")</x:f>
        <x:v>Duplicate ID; </x:v>
      </x:c>
      <x:c r="M79" t="str">
        <x:f>IF(K79=0,"Ready","Review")</x:f>
        <x:v>Review</x:v>
      </x:c>
    </x:row>
    <x:row r="80">
      <x:c r="A80" t="str">
        <x:f>UPPER(TRIM('Raw Sales'!A80))</x:f>
        <x:v>SAL-26-0075</x:v>
      </x:c>
      <x:c r="B80" t="str">
        <x:f>PROPER(TRIM('Raw Sales'!B80))</x:f>
        <x:v>Eastwood Academy</x:v>
      </x:c>
      <x:c r="C80" t="str">
        <x:f>IF(OR(UPPER(TRIM('Raw Sales'!C80))="BOCHUM",UPPER(TRIM('Raw Sales'!C80))="BOCHUM REGION"),"Bochum",IF(OR(UPPER(TRIM('Raw Sales'!C80))="ELDORADO",UPPER(TRIM('Raw Sales'!C80))="ELDOS"),"Eldorado","Review"))</x:f>
        <x:v>Eldorado</x:v>
      </x:c>
      <x:c r="D80" t="str">
        <x:f>PROPER(TRIM('Raw Sales'!D80))</x:f>
        <x:v>Pencils</x:v>
      </x:c>
      <x:c r="E80" s="8" t="n">
        <x:f>IFERROR(VALUE('Raw Sales'!E80),"")</x:f>
        <x:v>22</x:v>
      </x:c>
      <x:c r="F80" s="9" t="n">
        <x:v>1980</x:v>
      </x:c>
      <x:c r="G80" s="10" t="n">
        <x:f>IFERROR(IF(OR(MID(TRIM('Raw Sales'!G80),5,1)="-",MID(TRIM('Raw Sales'!G80),5,1)="/"),DATE(VALUE(LEFT(TRIM('Raw Sales'!G80),4)),VALUE(MID(TRIM('Raw Sales'!G80),6,2)),VALUE(RIGHT(TRIM('Raw Sales'!G80),2))),IF(LEN(TRIM('Raw Sales'!G80))=10,DATE(VALUE(RIGHT(TRIM('Raw Sales'!G80),4)),VALUE(MID(TRIM('Raw Sales'!G80),4,2)),VALUE(LEFT(TRIM('Raw Sales'!G80),2))),IF(LEN(TRIM('Raw Sales'!G80))=8,DATE(2000+VALUE(RIGHT(TRIM('Raw Sales'!G80),2)),VALUE(MID(TRIM('Raw Sales'!G80),4,2)),VALUE(LEFT(TRIM('Raw Sales'!G80),2))),""))),"")</x:f>
        <x:v>46114</x:v>
      </x:c>
      <x:c r="H80" t="str">
        <x:f>IF(TRIM('Raw Sales'!H80)="","Missing",PROPER(TRIM('Raw Sales'!H80)))</x:f>
        <x:v>Thabo Ndlovu</x:v>
      </x:c>
      <x:c r="I80" t="str">
        <x:f>IF(OR(UPPER(TRIM('Raw Sales'!I80))="PAID",UPPER(TRIM('Raw Sales'!I80))="SETTLED",UPPER(TRIM('Raw Sales'!I80))="COMPLETE"),"Paid",IF(UPPER(TRIM('Raw Sales'!I80))="PENDING","Pending","Review"))</x:f>
        <x:v>Paid</x:v>
      </x:c>
      <x:c r="J80" t="str">
        <x:f>IF(A80="","Missing",IF(COUNTIF($A$6:A80,A80)&gt;1,"Duplicate","Unique"))</x:f>
        <x:v>Unique</x:v>
      </x:c>
      <x:c r="K80" s="11" t="n">
        <x:f>IF(A80="",1,0)+IF(B80="",1,0)+IF(C80="Review",1,0)+IF(D80="",1,0)+IF(OR(E80="",E80&lt;=0),1,0)+IF(OR(F80="",F80&lt;=0),1,0)+IF(G80="",1,0)+IF(H80="Missing",1,0)+IF(I80="Review",1,0)+IF(J80="Duplicate",1,0)</x:f>
        <x:v>0</x:v>
      </x:c>
      <x:c r="L80" s="12" t="str">
        <x:f>IF(A80="","Missing order ID; ","")&amp;IF(B80="","Missing school; ","")&amp;IF(C80="Review","Unmapped region; ","")&amp;IF(D80="","Missing product; ","")&amp;IF(OR(E80="",E80&lt;=0),"Invalid units; ","")&amp;IF(OR(F80="",F80&lt;=0),"Invalid amount; ","")&amp;IF(G80="","Invalid date; ","")&amp;IF(H80="Missing","Missing sales rep; ","")&amp;IF(I80="Review","Unmapped payment status; ","")&amp;IF(J80="Duplicate","Duplicate ID; ","")</x:f>
      </x:c>
      <x:c r="M80" t="str">
        <x:f>IF(K80=0,"Ready","Review")</x:f>
        <x:v>Ready</x:v>
      </x:c>
    </x:row>
    <x:row r="81">
      <x:c r="A81" t="str">
        <x:f>UPPER(TRIM('Raw Sales'!A81))</x:f>
        <x:v>SAL-26-0076</x:v>
      </x:c>
      <x:c r="B81" t="str">
        <x:f>PROPER(TRIM('Raw Sales'!B81))</x:f>
        <x:v>Lakeside School</x:v>
      </x:c>
      <x:c r="C81" t="str">
        <x:f>IF(OR(UPPER(TRIM('Raw Sales'!C81))="BOCHUM",UPPER(TRIM('Raw Sales'!C81))="BOCHUM REGION"),"Bochum",IF(OR(UPPER(TRIM('Raw Sales'!C81))="ELDORADO",UPPER(TRIM('Raw Sales'!C81))="ELDOS"),"Eldorado","Review"))</x:f>
        <x:v>Bochum</x:v>
      </x:c>
      <x:c r="D81" t="str">
        <x:f>PROPER(TRIM('Raw Sales'!D81))</x:f>
        <x:v>Folders</x:v>
      </x:c>
      <x:c r="E81" s="8" t="n">
        <x:f>IFERROR(VALUE('Raw Sales'!E81),"")</x:f>
        <x:v>29</x:v>
      </x:c>
      <x:c r="F81" s="9" t="n">
        <x:v>2987</x:v>
      </x:c>
      <x:c r="G81" s="10" t="n">
        <x:f>IFERROR(IF(OR(MID(TRIM('Raw Sales'!G81),5,1)="-",MID(TRIM('Raw Sales'!G81),5,1)="/"),DATE(VALUE(LEFT(TRIM('Raw Sales'!G81),4)),VALUE(MID(TRIM('Raw Sales'!G81),6,2)),VALUE(RIGHT(TRIM('Raw Sales'!G81),2))),IF(LEN(TRIM('Raw Sales'!G81))=10,DATE(VALUE(RIGHT(TRIM('Raw Sales'!G81),4)),VALUE(MID(TRIM('Raw Sales'!G81),4,2)),VALUE(LEFT(TRIM('Raw Sales'!G81),2))),IF(LEN(TRIM('Raw Sales'!G81))=8,DATE(2000+VALUE(RIGHT(TRIM('Raw Sales'!G81),2)),VALUE(MID(TRIM('Raw Sales'!G81),4,2)),VALUE(LEFT(TRIM('Raw Sales'!G81),2))),""))),"")</x:f>
        <x:v>46145</x:v>
      </x:c>
      <x:c r="H81" t="str">
        <x:f>IF(TRIM('Raw Sales'!H81)="","Missing",PROPER(TRIM('Raw Sales'!H81)))</x:f>
        <x:v>Lebo Nkosi</x:v>
      </x:c>
      <x:c r="I81" t="str">
        <x:f>IF(OR(UPPER(TRIM('Raw Sales'!I81))="PAID",UPPER(TRIM('Raw Sales'!I81))="SETTLED",UPPER(TRIM('Raw Sales'!I81))="COMPLETE"),"Paid",IF(UPPER(TRIM('Raw Sales'!I81))="PENDING","Pending","Review"))</x:f>
        <x:v>Paid</x:v>
      </x:c>
      <x:c r="J81" t="str">
        <x:f>IF(A81="","Missing",IF(COUNTIF($A$6:A81,A81)&gt;1,"Duplicate","Unique"))</x:f>
        <x:v>Unique</x:v>
      </x:c>
      <x:c r="K81" s="11" t="n">
        <x:f>IF(A81="",1,0)+IF(B81="",1,0)+IF(C81="Review",1,0)+IF(D81="",1,0)+IF(OR(E81="",E81&lt;=0),1,0)+IF(OR(F81="",F81&lt;=0),1,0)+IF(G81="",1,0)+IF(H81="Missing",1,0)+IF(I81="Review",1,0)+IF(J81="Duplicate",1,0)</x:f>
        <x:v>0</x:v>
      </x:c>
      <x:c r="L81" s="12" t="str">
        <x:f>IF(A81="","Missing order ID; ","")&amp;IF(B81="","Missing school; ","")&amp;IF(C81="Review","Unmapped region; ","")&amp;IF(D81="","Missing product; ","")&amp;IF(OR(E81="",E81&lt;=0),"Invalid units; ","")&amp;IF(OR(F81="",F81&lt;=0),"Invalid amount; ","")&amp;IF(G81="","Invalid date; ","")&amp;IF(H81="Missing","Missing sales rep; ","")&amp;IF(I81="Review","Unmapped payment status; ","")&amp;IF(J81="Duplicate","Duplicate ID; ","")</x:f>
      </x:c>
      <x:c r="M81" t="str">
        <x:f>IF(K81=0,"Ready","Review")</x:f>
        <x:v>Ready</x:v>
      </x:c>
    </x:row>
    <x:row r="82">
      <x:c r="A82" t="str">
        <x:f>UPPER(TRIM('Raw Sales'!A82))</x:f>
        <x:v>SAL-26-0077</x:v>
      </x:c>
      <x:c r="B82" t="str">
        <x:f>PROPER(TRIM('Raw Sales'!B82))</x:f>
        <x:v>Valley Primary</x:v>
      </x:c>
      <x:c r="C82" t="str">
        <x:f>IF(OR(UPPER(TRIM('Raw Sales'!C82))="BOCHUM",UPPER(TRIM('Raw Sales'!C82))="BOCHUM REGION"),"Bochum",IF(OR(UPPER(TRIM('Raw Sales'!C82))="ELDORADO",UPPER(TRIM('Raw Sales'!C82))="ELDOS"),"Eldorado","Review"))</x:f>
        <x:v>Eldorado</x:v>
      </x:c>
      <x:c r="D82" t="str">
        <x:f>PROPER(TRIM('Raw Sales'!D82))</x:f>
        <x:v>Pens</x:v>
      </x:c>
      <x:c r="E82" s="8" t="n">
        <x:f>IFERROR(VALUE('Raw Sales'!E82),"")</x:f>
        <x:v>36</x:v>
      </x:c>
      <x:c r="F82" s="9" t="n">
        <x:v>4176</x:v>
      </x:c>
      <x:c r="G82" s="10" t="n">
        <x:f>IFERROR(IF(OR(MID(TRIM('Raw Sales'!G82),5,1)="-",MID(TRIM('Raw Sales'!G82),5,1)="/"),DATE(VALUE(LEFT(TRIM('Raw Sales'!G82),4)),VALUE(MID(TRIM('Raw Sales'!G82),6,2)),VALUE(RIGHT(TRIM('Raw Sales'!G82),2))),IF(LEN(TRIM('Raw Sales'!G82))=10,DATE(VALUE(RIGHT(TRIM('Raw Sales'!G82),4)),VALUE(MID(TRIM('Raw Sales'!G82),4,2)),VALUE(LEFT(TRIM('Raw Sales'!G82),2))),IF(LEN(TRIM('Raw Sales'!G82))=8,DATE(2000+VALUE(RIGHT(TRIM('Raw Sales'!G82),2)),VALUE(MID(TRIM('Raw Sales'!G82),4,2)),VALUE(LEFT(TRIM('Raw Sales'!G82),2))),""))),"")</x:f>
        <x:v>46177</x:v>
      </x:c>
      <x:c r="H82" t="str">
        <x:f>IF(TRIM('Raw Sales'!H82)="","Missing",PROPER(TRIM('Raw Sales'!H82)))</x:f>
        <x:v>Thabo Ndlovu</x:v>
      </x:c>
      <x:c r="I82" t="str">
        <x:f>IF(OR(UPPER(TRIM('Raw Sales'!I82))="PAID",UPPER(TRIM('Raw Sales'!I82))="SETTLED",UPPER(TRIM('Raw Sales'!I82))="COMPLETE"),"Paid",IF(UPPER(TRIM('Raw Sales'!I82))="PENDING","Pending","Review"))</x:f>
        <x:v>Paid</x:v>
      </x:c>
      <x:c r="J82" t="str">
        <x:f>IF(A82="","Missing",IF(COUNTIF($A$6:A82,A82)&gt;1,"Duplicate","Unique"))</x:f>
        <x:v>Unique</x:v>
      </x:c>
      <x:c r="K82" s="11" t="n">
        <x:f>IF(A82="",1,0)+IF(B82="",1,0)+IF(C82="Review",1,0)+IF(D82="",1,0)+IF(OR(E82="",E82&lt;=0),1,0)+IF(OR(F82="",F82&lt;=0),1,0)+IF(G82="",1,0)+IF(H82="Missing",1,0)+IF(I82="Review",1,0)+IF(J82="Duplicate",1,0)</x:f>
        <x:v>0</x:v>
      </x:c>
      <x:c r="L82" s="12" t="str">
        <x:f>IF(A82="","Missing order ID; ","")&amp;IF(B82="","Missing school; ","")&amp;IF(C82="Review","Unmapped region; ","")&amp;IF(D82="","Missing product; ","")&amp;IF(OR(E82="",E82&lt;=0),"Invalid units; ","")&amp;IF(OR(F82="",F82&lt;=0),"Invalid amount; ","")&amp;IF(G82="","Invalid date; ","")&amp;IF(H82="Missing","Missing sales rep; ","")&amp;IF(I82="Review","Unmapped payment status; ","")&amp;IF(J82="Duplicate","Duplicate ID; ","")</x:f>
      </x:c>
      <x:c r="M82" t="str">
        <x:f>IF(K82=0,"Ready","Review")</x:f>
        <x:v>Ready</x:v>
      </x:c>
    </x:row>
    <x:row r="83">
      <x:c r="A83" t="str">
        <x:f>UPPER(TRIM('Raw Sales'!A83))</x:f>
        <x:v>SAL-26-0078</x:v>
      </x:c>
      <x:c r="B83" t="str">
        <x:f>PROPER(TRIM('Raw Sales'!B83))</x:f>
        <x:v>Mhlabeni Secondary</x:v>
      </x:c>
      <x:c r="C83" t="str">
        <x:f>IF(OR(UPPER(TRIM('Raw Sales'!C83))="BOCHUM",UPPER(TRIM('Raw Sales'!C83))="BOCHUM REGION"),"Bochum",IF(OR(UPPER(TRIM('Raw Sales'!C83))="ELDORADO",UPPER(TRIM('Raw Sales'!C83))="ELDOS"),"Eldorado","Review"))</x:f>
        <x:v>Eldorado</x:v>
      </x:c>
      <x:c r="D83" t="str">
        <x:f>PROPER(TRIM('Raw Sales'!D83))</x:f>
        <x:v>Glue Sticks</x:v>
      </x:c>
      <x:c r="E83" s="8" t="n">
        <x:f>IFERROR(VALUE('Raw Sales'!E83),"")</x:f>
        <x:v>7</x:v>
      </x:c>
      <x:c r="F83" s="9" t="n">
        <x:v>903</x:v>
      </x:c>
      <x:c r="G83" s="10" t="n">
        <x:f>IFERROR(IF(OR(MID(TRIM('Raw Sales'!G83),5,1)="-",MID(TRIM('Raw Sales'!G83),5,1)="/"),DATE(VALUE(LEFT(TRIM('Raw Sales'!G83),4)),VALUE(MID(TRIM('Raw Sales'!G83),6,2)),VALUE(RIGHT(TRIM('Raw Sales'!G83),2))),IF(LEN(TRIM('Raw Sales'!G83))=10,DATE(VALUE(RIGHT(TRIM('Raw Sales'!G83),4)),VALUE(MID(TRIM('Raw Sales'!G83),4,2)),VALUE(LEFT(TRIM('Raw Sales'!G83),2))),IF(LEN(TRIM('Raw Sales'!G83))=8,DATE(2000+VALUE(RIGHT(TRIM('Raw Sales'!G83),2)),VALUE(MID(TRIM('Raw Sales'!G83),4,2)),VALUE(LEFT(TRIM('Raw Sales'!G83),2))),""))),"")</x:f>
        <x:v>46208</x:v>
      </x:c>
      <x:c r="H83" t="str">
        <x:f>IF(TRIM('Raw Sales'!H83)="","Missing",PROPER(TRIM('Raw Sales'!H83)))</x:f>
        <x:v>Lebo Nkosi</x:v>
      </x:c>
      <x:c r="I83" t="str">
        <x:f>IF(OR(UPPER(TRIM('Raw Sales'!I83))="PAID",UPPER(TRIM('Raw Sales'!I83))="SETTLED",UPPER(TRIM('Raw Sales'!I83))="COMPLETE"),"Paid",IF(UPPER(TRIM('Raw Sales'!I83))="PENDING","Pending","Review"))</x:f>
        <x:v>Paid</x:v>
      </x:c>
      <x:c r="J83" t="str">
        <x:f>IF(A83="","Missing",IF(COUNTIF($A$6:A83,A83)&gt;1,"Duplicate","Unique"))</x:f>
        <x:v>Unique</x:v>
      </x:c>
      <x:c r="K83" s="11" t="n">
        <x:f>IF(A83="",1,0)+IF(B83="",1,0)+IF(C83="Review",1,0)+IF(D83="",1,0)+IF(OR(E83="",E83&lt;=0),1,0)+IF(OR(F83="",F83&lt;=0),1,0)+IF(G83="",1,0)+IF(H83="Missing",1,0)+IF(I83="Review",1,0)+IF(J83="Duplicate",1,0)</x:f>
        <x:v>0</x:v>
      </x:c>
      <x:c r="L83" s="12" t="str">
        <x:f>IF(A83="","Missing order ID; ","")&amp;IF(B83="","Missing school; ","")&amp;IF(C83="Review","Unmapped region; ","")&amp;IF(D83="","Missing product; ","")&amp;IF(OR(E83="",E83&lt;=0),"Invalid units; ","")&amp;IF(OR(F83="",F83&lt;=0),"Invalid amount; ","")&amp;IF(G83="","Invalid date; ","")&amp;IF(H83="Missing","Missing sales rep; ","")&amp;IF(I83="Review","Unmapped payment status; ","")&amp;IF(J83="Duplicate","Duplicate ID; ","")</x:f>
      </x:c>
      <x:c r="M83" t="str">
        <x:f>IF(K83=0,"Ready","Review")</x:f>
        <x:v>Ready</x:v>
      </x:c>
    </x:row>
    <x:row r="84">
      <x:c r="A84" t="str">
        <x:f>UPPER(TRIM('Raw Sales'!A84))</x:f>
        <x:v>SAL-26-0079</x:v>
      </x:c>
      <x:c r="B84" t="str">
        <x:f>PROPER(TRIM('Raw Sales'!B84))</x:f>
        <x:v>Meadowlands School</x:v>
      </x:c>
      <x:c r="C84" t="str">
        <x:f>IF(OR(UPPER(TRIM('Raw Sales'!C84))="BOCHUM",UPPER(TRIM('Raw Sales'!C84))="BOCHUM REGION"),"Bochum",IF(OR(UPPER(TRIM('Raw Sales'!C84))="ELDORADO",UPPER(TRIM('Raw Sales'!C84))="ELDOS"),"Eldorado","Review"))</x:f>
        <x:v>Bochum</x:v>
      </x:c>
      <x:c r="D84" t="str">
        <x:f>PROPER(TRIM('Raw Sales'!D84))</x:f>
        <x:v>Markers</x:v>
      </x:c>
      <x:c r="E84" s="8" t="n">
        <x:f>IFERROR(VALUE('Raw Sales'!E84),"")</x:f>
        <x:v>14</x:v>
      </x:c>
      <x:c r="F84" s="9" t="n">
        <x:v>1988</x:v>
      </x:c>
      <x:c r="G84" s="10" t="n">
        <x:f>IFERROR(IF(OR(MID(TRIM('Raw Sales'!G84),5,1)="-",MID(TRIM('Raw Sales'!G84),5,1)="/"),DATE(VALUE(LEFT(TRIM('Raw Sales'!G84),4)),VALUE(MID(TRIM('Raw Sales'!G84),6,2)),VALUE(RIGHT(TRIM('Raw Sales'!G84),2))),IF(LEN(TRIM('Raw Sales'!G84))=10,DATE(VALUE(RIGHT(TRIM('Raw Sales'!G84),4)),VALUE(MID(TRIM('Raw Sales'!G84),4,2)),VALUE(LEFT(TRIM('Raw Sales'!G84),2))),IF(LEN(TRIM('Raw Sales'!G84))=8,DATE(2000+VALUE(RIGHT(TRIM('Raw Sales'!G84),2)),VALUE(MID(TRIM('Raw Sales'!G84),4,2)),VALUE(LEFT(TRIM('Raw Sales'!G84),2))),""))),"")</x:f>
        <x:v>46240</x:v>
      </x:c>
      <x:c r="H84" t="str">
        <x:f>IF(TRIM('Raw Sales'!H84)="","Missing",PROPER(TRIM('Raw Sales'!H84)))</x:f>
        <x:v>Thabo Ndlovu</x:v>
      </x:c>
      <x:c r="I84" t="str">
        <x:f>IF(OR(UPPER(TRIM('Raw Sales'!I84))="PAID",UPPER(TRIM('Raw Sales'!I84))="SETTLED",UPPER(TRIM('Raw Sales'!I84))="COMPLETE"),"Paid",IF(UPPER(TRIM('Raw Sales'!I84))="PENDING","Pending","Review"))</x:f>
        <x:v>Pending</x:v>
      </x:c>
      <x:c r="J84" t="str">
        <x:f>IF(A84="","Missing",IF(COUNTIF($A$6:A84,A84)&gt;1,"Duplicate","Unique"))</x:f>
        <x:v>Unique</x:v>
      </x:c>
      <x:c r="K84" s="11" t="n">
        <x:f>IF(A84="",1,0)+IF(B84="",1,0)+IF(C84="Review",1,0)+IF(D84="",1,0)+IF(OR(E84="",E84&lt;=0),1,0)+IF(OR(F84="",F84&lt;=0),1,0)+IF(G84="",1,0)+IF(H84="Missing",1,0)+IF(I84="Review",1,0)+IF(J84="Duplicate",1,0)</x:f>
        <x:v>0</x:v>
      </x:c>
      <x:c r="L84" s="12" t="str">
        <x:f>IF(A84="","Missing order ID; ","")&amp;IF(B84="","Missing school; ","")&amp;IF(C84="Review","Unmapped region; ","")&amp;IF(D84="","Missing product; ","")&amp;IF(OR(E84="",E84&lt;=0),"Invalid units; ","")&amp;IF(OR(F84="",F84&lt;=0),"Invalid amount; ","")&amp;IF(G84="","Invalid date; ","")&amp;IF(H84="Missing","Missing sales rep; ","")&amp;IF(I84="Review","Unmapped payment status; ","")&amp;IF(J84="Duplicate","Duplicate ID; ","")</x:f>
      </x:c>
      <x:c r="M84" t="str">
        <x:f>IF(K84=0,"Ready","Review")</x:f>
        <x:v>Ready</x:v>
      </x:c>
    </x:row>
    <x:row r="85">
      <x:c r="A85" t="str">
        <x:f>UPPER(TRIM('Raw Sales'!A85))</x:f>
        <x:v>SAL-26-0080</x:v>
      </x:c>
      <x:c r="B85" t="str">
        <x:f>PROPER(TRIM('Raw Sales'!B85))</x:f>
        <x:v>Gardenview School</x:v>
      </x:c>
      <x:c r="C85" t="str">
        <x:f>IF(OR(UPPER(TRIM('Raw Sales'!C85))="BOCHUM",UPPER(TRIM('Raw Sales'!C85))="BOCHUM REGION"),"Bochum",IF(OR(UPPER(TRIM('Raw Sales'!C85))="ELDORADO",UPPER(TRIM('Raw Sales'!C85))="ELDOS"),"Eldorado","Review"))</x:f>
        <x:v>Eldorado</x:v>
      </x:c>
      <x:c r="D85" t="str">
        <x:f>PROPER(TRIM('Raw Sales'!D85))</x:f>
        <x:v>Notebooks</x:v>
      </x:c>
      <x:c r="E85" s="8" t="n">
        <x:f>IFERROR(VALUE('Raw Sales'!E85),"")</x:f>
        <x:v>21</x:v>
      </x:c>
      <x:c r="F85" s="9" t="n">
        <x:v>3255</x:v>
      </x:c>
      <x:c r="G85" s="10" t="n">
        <x:f>IFERROR(IF(OR(MID(TRIM('Raw Sales'!G85),5,1)="-",MID(TRIM('Raw Sales'!G85),5,1)="/"),DATE(VALUE(LEFT(TRIM('Raw Sales'!G85),4)),VALUE(MID(TRIM('Raw Sales'!G85),6,2)),VALUE(RIGHT(TRIM('Raw Sales'!G85),2))),IF(LEN(TRIM('Raw Sales'!G85))=10,DATE(VALUE(RIGHT(TRIM('Raw Sales'!G85),4)),VALUE(MID(TRIM('Raw Sales'!G85),4,2)),VALUE(LEFT(TRIM('Raw Sales'!G85),2))),IF(LEN(TRIM('Raw Sales'!G85))=8,DATE(2000+VALUE(RIGHT(TRIM('Raw Sales'!G85),2)),VALUE(MID(TRIM('Raw Sales'!G85),4,2)),VALUE(LEFT(TRIM('Raw Sales'!G85),2))),""))),"")</x:f>
        <x:v>46029</x:v>
      </x:c>
      <x:c r="H85" t="str">
        <x:f>IF(TRIM('Raw Sales'!H85)="","Missing",PROPER(TRIM('Raw Sales'!H85)))</x:f>
        <x:v>Lebo Nkosi</x:v>
      </x:c>
      <x:c r="I85" t="str">
        <x:f>IF(OR(UPPER(TRIM('Raw Sales'!I85))="PAID",UPPER(TRIM('Raw Sales'!I85))="SETTLED",UPPER(TRIM('Raw Sales'!I85))="COMPLETE"),"Paid",IF(UPPER(TRIM('Raw Sales'!I85))="PENDING","Pending","Review"))</x:f>
        <x:v>Paid</x:v>
      </x:c>
      <x:c r="J85" t="str">
        <x:f>IF(A85="","Missing",IF(COUNTIF($A$6:A85,A85)&gt;1,"Duplicate","Unique"))</x:f>
        <x:v>Unique</x:v>
      </x:c>
      <x:c r="K85" s="11" t="n">
        <x:f>IF(A85="",1,0)+IF(B85="",1,0)+IF(C85="Review",1,0)+IF(D85="",1,0)+IF(OR(E85="",E85&lt;=0),1,0)+IF(OR(F85="",F85&lt;=0),1,0)+IF(G85="",1,0)+IF(H85="Missing",1,0)+IF(I85="Review",1,0)+IF(J85="Duplicate",1,0)</x:f>
        <x:v>0</x:v>
      </x:c>
      <x:c r="L85" s="12" t="str">
        <x:f>IF(A85="","Missing order ID; ","")&amp;IF(B85="","Missing school; ","")&amp;IF(C85="Review","Unmapped region; ","")&amp;IF(D85="","Missing product; ","")&amp;IF(OR(E85="",E85&lt;=0),"Invalid units; ","")&amp;IF(OR(F85="",F85&lt;=0),"Invalid amount; ","")&amp;IF(G85="","Invalid date; ","")&amp;IF(H85="Missing","Missing sales rep; ","")&amp;IF(I85="Review","Unmapped payment status; ","")&amp;IF(J85="Duplicate","Duplicate ID; ","")</x:f>
      </x:c>
      <x:c r="M85" t="str">
        <x:f>IF(K85=0,"Ready","Review")</x:f>
        <x:v>Ready</x:v>
      </x:c>
    </x:row>
    <x:row r="86">
      <x:c r="A86" t="str">
        <x:f>UPPER(TRIM('Raw Sales'!A86))</x:f>
        <x:v>SAL-26-0081</x:v>
      </x:c>
      <x:c r="B86" t="str">
        <x:f>PROPER(TRIM('Raw Sales'!B86))</x:f>
        <x:v>Riverside Academy</x:v>
      </x:c>
      <x:c r="C86" t="str">
        <x:f>IF(OR(UPPER(TRIM('Raw Sales'!C86))="BOCHUM",UPPER(TRIM('Raw Sales'!C86))="BOCHUM REGION"),"Bochum",IF(OR(UPPER(TRIM('Raw Sales'!C86))="ELDORADO",UPPER(TRIM('Raw Sales'!C86))="ELDOS"),"Eldorado","Review"))</x:f>
        <x:v>Bochum</x:v>
      </x:c>
      <x:c r="D86" t="str">
        <x:f>PROPER(TRIM('Raw Sales'!D86))</x:f>
        <x:v>Rulers</x:v>
      </x:c>
      <x:c r="E86" s="8" t="n">
        <x:f>IFERROR(VALUE('Raw Sales'!E86),"")</x:f>
        <x:v>28</x:v>
      </x:c>
      <x:c r="F86" s="9" t="n">
        <x:v>4704</x:v>
      </x:c>
      <x:c r="G86" s="10" t="n">
        <x:f>IFERROR(IF(OR(MID(TRIM('Raw Sales'!G86),5,1)="-",MID(TRIM('Raw Sales'!G86),5,1)="/"),DATE(VALUE(LEFT(TRIM('Raw Sales'!G86),4)),VALUE(MID(TRIM('Raw Sales'!G86),6,2)),VALUE(RIGHT(TRIM('Raw Sales'!G86),2))),IF(LEN(TRIM('Raw Sales'!G86))=10,DATE(VALUE(RIGHT(TRIM('Raw Sales'!G86),4)),VALUE(MID(TRIM('Raw Sales'!G86),4,2)),VALUE(LEFT(TRIM('Raw Sales'!G86),2))),IF(LEN(TRIM('Raw Sales'!G86))=8,DATE(2000+VALUE(RIGHT(TRIM('Raw Sales'!G86),2)),VALUE(MID(TRIM('Raw Sales'!G86),4,2)),VALUE(LEFT(TRIM('Raw Sales'!G86),2))),""))),"")</x:f>
        <x:v>46061</x:v>
      </x:c>
      <x:c r="H86" t="str">
        <x:f>IF(TRIM('Raw Sales'!H86)="","Missing",PROPER(TRIM('Raw Sales'!H86)))</x:f>
        <x:v>Thabo Ndlovu</x:v>
      </x:c>
      <x:c r="I86" t="str">
        <x:f>IF(OR(UPPER(TRIM('Raw Sales'!I86))="PAID",UPPER(TRIM('Raw Sales'!I86))="SETTLED",UPPER(TRIM('Raw Sales'!I86))="COMPLETE"),"Paid",IF(UPPER(TRIM('Raw Sales'!I86))="PENDING","Pending","Review"))</x:f>
        <x:v>Pending</x:v>
      </x:c>
      <x:c r="J86" t="str">
        <x:f>IF(A86="","Missing",IF(COUNTIF($A$6:A86,A86)&gt;1,"Duplicate","Unique"))</x:f>
        <x:v>Unique</x:v>
      </x:c>
      <x:c r="K86" s="11" t="n">
        <x:f>IF(A86="",1,0)+IF(B86="",1,0)+IF(C86="Review",1,0)+IF(D86="",1,0)+IF(OR(E86="",E86&lt;=0),1,0)+IF(OR(F86="",F86&lt;=0),1,0)+IF(G86="",1,0)+IF(H86="Missing",1,0)+IF(I86="Review",1,0)+IF(J86="Duplicate",1,0)</x:f>
        <x:v>0</x:v>
      </x:c>
      <x:c r="L86" s="12" t="str">
        <x:f>IF(A86="","Missing order ID; ","")&amp;IF(B86="","Missing school; ","")&amp;IF(C86="Review","Unmapped region; ","")&amp;IF(D86="","Missing product; ","")&amp;IF(OR(E86="",E86&lt;=0),"Invalid units; ","")&amp;IF(OR(F86="",F86&lt;=0),"Invalid amount; ","")&amp;IF(G86="","Invalid date; ","")&amp;IF(H86="Missing","Missing sales rep; ","")&amp;IF(I86="Review","Unmapped payment status; ","")&amp;IF(J86="Duplicate","Duplicate ID; ","")</x:f>
      </x:c>
      <x:c r="M86" t="str">
        <x:f>IF(K86=0,"Ready","Review")</x:f>
        <x:v>Ready</x:v>
      </x:c>
    </x:row>
    <x:row r="87">
      <x:c r="A87" t="str">
        <x:f>UPPER(TRIM('Raw Sales'!A87))</x:f>
        <x:v>SAL-26-0082</x:v>
      </x:c>
      <x:c r="B87" t="str">
        <x:f>PROPER(TRIM('Raw Sales'!B87))</x:f>
        <x:v>Maple Secondary</x:v>
      </x:c>
      <x:c r="C87" t="str">
        <x:f>IF(OR(UPPER(TRIM('Raw Sales'!C87))="BOCHUM",UPPER(TRIM('Raw Sales'!C87))="BOCHUM REGION"),"Bochum",IF(OR(UPPER(TRIM('Raw Sales'!C87))="ELDORADO",UPPER(TRIM('Raw Sales'!C87))="ELDOS"),"Eldorado","Review"))</x:f>
        <x:v>Eldorado</x:v>
      </x:c>
      <x:c r="D87" t="str">
        <x:f>PROPER(TRIM('Raw Sales'!D87))</x:f>
        <x:v>Exercise Books</x:v>
      </x:c>
      <x:c r="E87" s="8" t="n">
        <x:f>IFERROR(VALUE('Raw Sales'!E87),"")</x:f>
        <x:v>35</x:v>
      </x:c>
      <x:c r="F87" s="9" t="n">
        <x:v>6335</x:v>
      </x:c>
      <x:c r="G87" s="10" t="n">
        <x:f>IFERROR(IF(OR(MID(TRIM('Raw Sales'!G87),5,1)="-",MID(TRIM('Raw Sales'!G87),5,1)="/"),DATE(VALUE(LEFT(TRIM('Raw Sales'!G87),4)),VALUE(MID(TRIM('Raw Sales'!G87),6,2)),VALUE(RIGHT(TRIM('Raw Sales'!G87),2))),IF(LEN(TRIM('Raw Sales'!G87))=10,DATE(VALUE(RIGHT(TRIM('Raw Sales'!G87),4)),VALUE(MID(TRIM('Raw Sales'!G87),4,2)),VALUE(LEFT(TRIM('Raw Sales'!G87),2))),IF(LEN(TRIM('Raw Sales'!G87))=8,DATE(2000+VALUE(RIGHT(TRIM('Raw Sales'!G87),2)),VALUE(MID(TRIM('Raw Sales'!G87),4,2)),VALUE(LEFT(TRIM('Raw Sales'!G87),2))),""))),"")</x:f>
        <x:v>46090</x:v>
      </x:c>
      <x:c r="H87" t="str">
        <x:f>IF(TRIM('Raw Sales'!H87)="","Missing",PROPER(TRIM('Raw Sales'!H87)))</x:f>
        <x:v>Lebo Nkosi</x:v>
      </x:c>
      <x:c r="I87" t="str">
        <x:f>IF(OR(UPPER(TRIM('Raw Sales'!I87))="PAID",UPPER(TRIM('Raw Sales'!I87))="SETTLED",UPPER(TRIM('Raw Sales'!I87))="COMPLETE"),"Paid",IF(UPPER(TRIM('Raw Sales'!I87))="PENDING","Pending","Review"))</x:f>
        <x:v>Pending</x:v>
      </x:c>
      <x:c r="J87" t="str">
        <x:f>IF(A87="","Missing",IF(COUNTIF($A$6:A87,A87)&gt;1,"Duplicate","Unique"))</x:f>
        <x:v>Unique</x:v>
      </x:c>
      <x:c r="K87" s="11" t="n">
        <x:f>IF(A87="",1,0)+IF(B87="",1,0)+IF(C87="Review",1,0)+IF(D87="",1,0)+IF(OR(E87="",E87&lt;=0),1,0)+IF(OR(F87="",F87&lt;=0),1,0)+IF(G87="",1,0)+IF(H87="Missing",1,0)+IF(I87="Review",1,0)+IF(J87="Duplicate",1,0)</x:f>
        <x:v>0</x:v>
      </x:c>
      <x:c r="L87" s="12" t="str">
        <x:f>IF(A87="","Missing order ID; ","")&amp;IF(B87="","Missing school; ","")&amp;IF(C87="Review","Unmapped region; ","")&amp;IF(D87="","Missing product; ","")&amp;IF(OR(E87="",E87&lt;=0),"Invalid units; ","")&amp;IF(OR(F87="",F87&lt;=0),"Invalid amount; ","")&amp;IF(G87="","Invalid date; ","")&amp;IF(H87="Missing","Missing sales rep; ","")&amp;IF(I87="Review","Unmapped payment status; ","")&amp;IF(J87="Duplicate","Duplicate ID; ","")</x:f>
      </x:c>
      <x:c r="M87" t="str">
        <x:f>IF(K87=0,"Ready","Review")</x:f>
        <x:v>Ready</x:v>
      </x:c>
    </x:row>
    <x:row r="88">
      <x:c r="A88" t="str">
        <x:f>UPPER(TRIM('Raw Sales'!A88))</x:f>
        <x:v>SAL-26-0083</x:v>
      </x:c>
      <x:c r="B88" t="str">
        <x:f>PROPER(TRIM('Raw Sales'!B88))</x:f>
        <x:v>Pinecrest School</x:v>
      </x:c>
      <x:c r="C88" t="str">
        <x:f>IF(OR(UPPER(TRIM('Raw Sales'!C88))="BOCHUM",UPPER(TRIM('Raw Sales'!C88))="BOCHUM REGION"),"Bochum",IF(OR(UPPER(TRIM('Raw Sales'!C88))="ELDORADO",UPPER(TRIM('Raw Sales'!C88))="ELDOS"),"Eldorado","Review"))</x:f>
        <x:v>Bochum</x:v>
      </x:c>
      <x:c r="D88" t="str">
        <x:f>PROPER(TRIM('Raw Sales'!D88))</x:f>
        <x:v>Pencils</x:v>
      </x:c>
      <x:c r="E88" s="8" t="n">
        <x:f>IFERROR(VALUE('Raw Sales'!E88),"")</x:f>
        <x:v>6</x:v>
      </x:c>
      <x:c r="F88" s="9" t="n">
        <x:v>1164</x:v>
      </x:c>
      <x:c r="G88" s="10" t="n">
        <x:f>IFERROR(IF(OR(MID(TRIM('Raw Sales'!G88),5,1)="-",MID(TRIM('Raw Sales'!G88),5,1)="/"),DATE(VALUE(LEFT(TRIM('Raw Sales'!G88),4)),VALUE(MID(TRIM('Raw Sales'!G88),6,2)),VALUE(RIGHT(TRIM('Raw Sales'!G88),2))),IF(LEN(TRIM('Raw Sales'!G88))=10,DATE(VALUE(RIGHT(TRIM('Raw Sales'!G88),4)),VALUE(MID(TRIM('Raw Sales'!G88),4,2)),VALUE(LEFT(TRIM('Raw Sales'!G88),2))),IF(LEN(TRIM('Raw Sales'!G88))=8,DATE(2000+VALUE(RIGHT(TRIM('Raw Sales'!G88),2)),VALUE(MID(TRIM('Raw Sales'!G88),4,2)),VALUE(LEFT(TRIM('Raw Sales'!G88),2))),""))),"")</x:f>
        <x:v>46122</x:v>
      </x:c>
      <x:c r="H88" t="str">
        <x:f>IF(TRIM('Raw Sales'!H88)="","Missing",PROPER(TRIM('Raw Sales'!H88)))</x:f>
        <x:v>Thabo Ndlovu</x:v>
      </x:c>
      <x:c r="I88" t="str">
        <x:f>IF(OR(UPPER(TRIM('Raw Sales'!I88))="PAID",UPPER(TRIM('Raw Sales'!I88))="SETTLED",UPPER(TRIM('Raw Sales'!I88))="COMPLETE"),"Paid",IF(UPPER(TRIM('Raw Sales'!I88))="PENDING","Pending","Review"))</x:f>
        <x:v>Paid</x:v>
      </x:c>
      <x:c r="J88" t="str">
        <x:f>IF(A88="","Missing",IF(COUNTIF($A$6:A88,A88)&gt;1,"Duplicate","Unique"))</x:f>
        <x:v>Unique</x:v>
      </x:c>
      <x:c r="K88" s="11" t="n">
        <x:f>IF(A88="",1,0)+IF(B88="",1,0)+IF(C88="Review",1,0)+IF(D88="",1,0)+IF(OR(E88="",E88&lt;=0),1,0)+IF(OR(F88="",F88&lt;=0),1,0)+IF(G88="",1,0)+IF(H88="Missing",1,0)+IF(I88="Review",1,0)+IF(J88="Duplicate",1,0)</x:f>
        <x:v>0</x:v>
      </x:c>
      <x:c r="L88" s="12" t="str">
        <x:f>IF(A88="","Missing order ID; ","")&amp;IF(B88="","Missing school; ","")&amp;IF(C88="Review","Unmapped region; ","")&amp;IF(D88="","Missing product; ","")&amp;IF(OR(E88="",E88&lt;=0),"Invalid units; ","")&amp;IF(OR(F88="",F88&lt;=0),"Invalid amount; ","")&amp;IF(G88="","Invalid date; ","")&amp;IF(H88="Missing","Missing sales rep; ","")&amp;IF(I88="Review","Unmapped payment status; ","")&amp;IF(J88="Duplicate","Duplicate ID; ","")</x:f>
      </x:c>
      <x:c r="M88" t="str">
        <x:f>IF(K88=0,"Ready","Review")</x:f>
        <x:v>Ready</x:v>
      </x:c>
    </x:row>
    <x:row r="89">
      <x:c r="A89" t="str">
        <x:f>UPPER(TRIM('Raw Sales'!A89))</x:f>
        <x:v>SAL-26-0084</x:v>
      </x:c>
      <x:c r="B89" t="str">
        <x:f>PROPER(TRIM('Raw Sales'!B89))</x:f>
        <x:v>Northstar Academy</x:v>
      </x:c>
      <x:c r="C89" t="str">
        <x:f>IF(OR(UPPER(TRIM('Raw Sales'!C89))="BOCHUM",UPPER(TRIM('Raw Sales'!C89))="BOCHUM REGION"),"Bochum",IF(OR(UPPER(TRIM('Raw Sales'!C89))="ELDORADO",UPPER(TRIM('Raw Sales'!C89))="ELDOS"),"Eldorado","Review"))</x:f>
        <x:v>Bochum</x:v>
      </x:c>
      <x:c r="D89" t="str">
        <x:f>PROPER(TRIM('Raw Sales'!D89))</x:f>
        <x:v>Folders</x:v>
      </x:c>
      <x:c r="E89" s="8" t="n">
        <x:f>IFERROR(VALUE('Raw Sales'!E89),"")</x:f>
        <x:v>13</x:v>
      </x:c>
      <x:c r="F89" s="9" t="n">
        <x:v>338</x:v>
      </x:c>
      <x:c r="G89" s="10" t="n">
        <x:f>IFERROR(IF(OR(MID(TRIM('Raw Sales'!G89),5,1)="-",MID(TRIM('Raw Sales'!G89),5,1)="/"),DATE(VALUE(LEFT(TRIM('Raw Sales'!G89),4)),VALUE(MID(TRIM('Raw Sales'!G89),6,2)),VALUE(RIGHT(TRIM('Raw Sales'!G89),2))),IF(LEN(TRIM('Raw Sales'!G89))=10,DATE(VALUE(RIGHT(TRIM('Raw Sales'!G89),4)),VALUE(MID(TRIM('Raw Sales'!G89),4,2)),VALUE(LEFT(TRIM('Raw Sales'!G89),2))),IF(LEN(TRIM('Raw Sales'!G89))=8,DATE(2000+VALUE(RIGHT(TRIM('Raw Sales'!G89),2)),VALUE(MID(TRIM('Raw Sales'!G89),4,2)),VALUE(LEFT(TRIM('Raw Sales'!G89),2))),""))),"")</x:f>
        <x:v>46153</x:v>
      </x:c>
      <x:c r="H89" t="str">
        <x:f>IF(TRIM('Raw Sales'!H89)="","Missing",PROPER(TRIM('Raw Sales'!H89)))</x:f>
        <x:v>Lebo Nkosi</x:v>
      </x:c>
      <x:c r="I89" t="str">
        <x:f>IF(OR(UPPER(TRIM('Raw Sales'!I89))="PAID",UPPER(TRIM('Raw Sales'!I89))="SETTLED",UPPER(TRIM('Raw Sales'!I89))="COMPLETE"),"Paid",IF(UPPER(TRIM('Raw Sales'!I89))="PENDING","Pending","Review"))</x:f>
        <x:v>Paid</x:v>
      </x:c>
      <x:c r="J89" t="str">
        <x:f>IF(A89="","Missing",IF(COUNTIF($A$6:A89,A89)&gt;1,"Duplicate","Unique"))</x:f>
        <x:v>Unique</x:v>
      </x:c>
      <x:c r="K89" s="11" t="n">
        <x:f>IF(A89="",1,0)+IF(B89="",1,0)+IF(C89="Review",1,0)+IF(D89="",1,0)+IF(OR(E89="",E89&lt;=0),1,0)+IF(OR(F89="",F89&lt;=0),1,0)+IF(G89="",1,0)+IF(H89="Missing",1,0)+IF(I89="Review",1,0)+IF(J89="Duplicate",1,0)</x:f>
        <x:v>0</x:v>
      </x:c>
      <x:c r="L89" s="12" t="str">
        <x:f>IF(A89="","Missing order ID; ","")&amp;IF(B89="","Missing school; ","")&amp;IF(C89="Review","Unmapped region; ","")&amp;IF(D89="","Missing product; ","")&amp;IF(OR(E89="",E89&lt;=0),"Invalid units; ","")&amp;IF(OR(F89="",F89&lt;=0),"Invalid amount; ","")&amp;IF(G89="","Invalid date; ","")&amp;IF(H89="Missing","Missing sales rep; ","")&amp;IF(I89="Review","Unmapped payment status; ","")&amp;IF(J89="Duplicate","Duplicate ID; ","")</x:f>
      </x:c>
      <x:c r="M89" t="str">
        <x:f>IF(K89=0,"Ready","Review")</x:f>
        <x:v>Ready</x:v>
      </x:c>
    </x:row>
    <x:row r="90">
      <x:c r="A90" t="str">
        <x:f>UPPER(TRIM('Raw Sales'!A90))</x:f>
        <x:v>SAL-26-0085</x:v>
      </x:c>
      <x:c r="B90" t="str">
        <x:f>PROPER(TRIM('Raw Sales'!B90))</x:f>
        <x:v>Crescent Primary</x:v>
      </x:c>
      <x:c r="C90" t="str">
        <x:f>IF(OR(UPPER(TRIM('Raw Sales'!C90))="BOCHUM",UPPER(TRIM('Raw Sales'!C90))="BOCHUM REGION"),"Bochum",IF(OR(UPPER(TRIM('Raw Sales'!C90))="ELDORADO",UPPER(TRIM('Raw Sales'!C90))="ELDOS"),"Eldorado","Review"))</x:f>
        <x:v>Eldorado</x:v>
      </x:c>
      <x:c r="D90" t="str">
        <x:f>PROPER(TRIM('Raw Sales'!D90))</x:f>
        <x:v>Pens</x:v>
      </x:c>
      <x:c r="E90" s="8" t="n">
        <x:f>IFERROR(VALUE('Raw Sales'!E90),"")</x:f>
        <x:v>20</x:v>
      </x:c>
      <x:c r="F90" s="9"/>
      <x:c r="G90" s="10" t="n">
        <x:f>IFERROR(IF(OR(MID(TRIM('Raw Sales'!G90),5,1)="-",MID(TRIM('Raw Sales'!G90),5,1)="/"),DATE(VALUE(LEFT(TRIM('Raw Sales'!G90),4)),VALUE(MID(TRIM('Raw Sales'!G90),6,2)),VALUE(RIGHT(TRIM('Raw Sales'!G90),2))),IF(LEN(TRIM('Raw Sales'!G90))=10,DATE(VALUE(RIGHT(TRIM('Raw Sales'!G90),4)),VALUE(MID(TRIM('Raw Sales'!G90),4,2)),VALUE(LEFT(TRIM('Raw Sales'!G90),2))),IF(LEN(TRIM('Raw Sales'!G90))=8,DATE(2000+VALUE(RIGHT(TRIM('Raw Sales'!G90),2)),VALUE(MID(TRIM('Raw Sales'!G90),4,2)),VALUE(LEFT(TRIM('Raw Sales'!G90),2))),""))),"")</x:f>
        <x:v>46185</x:v>
      </x:c>
      <x:c r="H90" t="str">
        <x:f>IF(TRIM('Raw Sales'!H90)="","Missing",PROPER(TRIM('Raw Sales'!H90)))</x:f>
        <x:v>Thabo Ndlovu</x:v>
      </x:c>
      <x:c r="I90" t="str">
        <x:f>IF(OR(UPPER(TRIM('Raw Sales'!I90))="PAID",UPPER(TRIM('Raw Sales'!I90))="SETTLED",UPPER(TRIM('Raw Sales'!I90))="COMPLETE"),"Paid",IF(UPPER(TRIM('Raw Sales'!I90))="PENDING","Pending","Review"))</x:f>
        <x:v>Pending</x:v>
      </x:c>
      <x:c r="J90" t="str">
        <x:f>IF(A90="","Missing",IF(COUNTIF($A$6:A90,A90)&gt;1,"Duplicate","Unique"))</x:f>
        <x:v>Unique</x:v>
      </x:c>
      <x:c r="K90" s="11" t="n">
        <x:f>IF(A90="",1,0)+IF(B90="",1,0)+IF(C90="Review",1,0)+IF(D90="",1,0)+IF(OR(E90="",E90&lt;=0),1,0)+IF(OR(F90="",F90&lt;=0),1,0)+IF(G90="",1,0)+IF(H90="Missing",1,0)+IF(I90="Review",1,0)+IF(J90="Duplicate",1,0)</x:f>
        <x:v>1</x:v>
      </x:c>
      <x:c r="L90" s="12" t="str">
        <x:f>IF(A90="","Missing order ID; ","")&amp;IF(B90="","Missing school; ","")&amp;IF(C90="Review","Unmapped region; ","")&amp;IF(D90="","Missing product; ","")&amp;IF(OR(E90="",E90&lt;=0),"Invalid units; ","")&amp;IF(OR(F90="",F90&lt;=0),"Invalid amount; ","")&amp;IF(G90="","Invalid date; ","")&amp;IF(H90="Missing","Missing sales rep; ","")&amp;IF(I90="Review","Unmapped payment status; ","")&amp;IF(J90="Duplicate","Duplicate ID; ","")</x:f>
        <x:v>Invalid amount; </x:v>
      </x:c>
      <x:c r="M90" t="str">
        <x:f>IF(K90=0,"Ready","Review")</x:f>
        <x:v>Review</x:v>
      </x:c>
    </x:row>
    <x:row r="91">
      <x:c r="A91" t="str">
        <x:f>UPPER(TRIM('Raw Sales'!A91))</x:f>
        <x:v>SAL-26-0086</x:v>
      </x:c>
      <x:c r="B91" t="str">
        <x:f>PROPER(TRIM('Raw Sales'!B91))</x:f>
        <x:v>Hillview Primary</x:v>
      </x:c>
      <x:c r="C91" t="str">
        <x:f>IF(OR(UPPER(TRIM('Raw Sales'!C91))="BOCHUM",UPPER(TRIM('Raw Sales'!C91))="BOCHUM REGION"),"Bochum",IF(OR(UPPER(TRIM('Raw Sales'!C91))="ELDORADO",UPPER(TRIM('Raw Sales'!C91))="ELDOS"),"Eldorado","Review"))</x:f>
        <x:v>Bochum</x:v>
      </x:c>
      <x:c r="D91" t="str">
        <x:f>PROPER(TRIM('Raw Sales'!D91))</x:f>
        <x:v>Glue Sticks</x:v>
      </x:c>
      <x:c r="E91" s="8" t="n">
        <x:f>IFERROR(VALUE('Raw Sales'!E91),"")</x:f>
        <x:v>27</x:v>
      </x:c>
      <x:c r="F91" s="9"/>
      <x:c r="G91" s="10" t="n">
        <x:f>IFERROR(IF(OR(MID(TRIM('Raw Sales'!G91),5,1)="-",MID(TRIM('Raw Sales'!G91),5,1)="/"),DATE(VALUE(LEFT(TRIM('Raw Sales'!G91),4)),VALUE(MID(TRIM('Raw Sales'!G91),6,2)),VALUE(RIGHT(TRIM('Raw Sales'!G91),2))),IF(LEN(TRIM('Raw Sales'!G91))=10,DATE(VALUE(RIGHT(TRIM('Raw Sales'!G91),4)),VALUE(MID(TRIM('Raw Sales'!G91),4,2)),VALUE(LEFT(TRIM('Raw Sales'!G91),2))),IF(LEN(TRIM('Raw Sales'!G91))=8,DATE(2000+VALUE(RIGHT(TRIM('Raw Sales'!G91),2)),VALUE(MID(TRIM('Raw Sales'!G91),4,2)),VALUE(LEFT(TRIM('Raw Sales'!G91),2))),""))),"")</x:f>
        <x:v>46216</x:v>
      </x:c>
      <x:c r="H91" t="str">
        <x:f>IF(TRIM('Raw Sales'!H91)="","Missing",PROPER(TRIM('Raw Sales'!H91)))</x:f>
        <x:v>Lebo Nkosi</x:v>
      </x:c>
      <x:c r="I91" t="str">
        <x:f>IF(OR(UPPER(TRIM('Raw Sales'!I91))="PAID",UPPER(TRIM('Raw Sales'!I91))="SETTLED",UPPER(TRIM('Raw Sales'!I91))="COMPLETE"),"Paid",IF(UPPER(TRIM('Raw Sales'!I91))="PENDING","Pending","Review"))</x:f>
        <x:v>Paid</x:v>
      </x:c>
      <x:c r="J91" t="str">
        <x:f>IF(A91="","Missing",IF(COUNTIF($A$6:A91,A91)&gt;1,"Duplicate","Unique"))</x:f>
        <x:v>Unique</x:v>
      </x:c>
      <x:c r="K91" s="11" t="n">
        <x:f>IF(A91="",1,0)+IF(B91="",1,0)+IF(C91="Review",1,0)+IF(D91="",1,0)+IF(OR(E91="",E91&lt;=0),1,0)+IF(OR(F91="",F91&lt;=0),1,0)+IF(G91="",1,0)+IF(H91="Missing",1,0)+IF(I91="Review",1,0)+IF(J91="Duplicate",1,0)</x:f>
        <x:v>1</x:v>
      </x:c>
      <x:c r="L91" s="12" t="str">
        <x:f>IF(A91="","Missing order ID; ","")&amp;IF(B91="","Missing school; ","")&amp;IF(C91="Review","Unmapped region; ","")&amp;IF(D91="","Missing product; ","")&amp;IF(OR(E91="",E91&lt;=0),"Invalid units; ","")&amp;IF(OR(F91="",F91&lt;=0),"Invalid amount; ","")&amp;IF(G91="","Invalid date; ","")&amp;IF(H91="Missing","Missing sales rep; ","")&amp;IF(I91="Review","Unmapped payment status; ","")&amp;IF(J91="Duplicate","Duplicate ID; ","")</x:f>
        <x:v>Invalid amount; </x:v>
      </x:c>
      <x:c r="M91" t="str">
        <x:f>IF(K91=0,"Ready","Review")</x:f>
        <x:v>Review</x:v>
      </x:c>
    </x:row>
    <x:row r="92">
      <x:c r="A92" t="str">
        <x:f>UPPER(TRIM('Raw Sales'!A92))</x:f>
        <x:v>SAL-26-0087</x:v>
      </x:c>
      <x:c r="B92" t="str">
        <x:f>PROPER(TRIM('Raw Sales'!B92))</x:f>
        <x:v>Eastwood Academy</x:v>
      </x:c>
      <x:c r="C92" t="str">
        <x:f>IF(OR(UPPER(TRIM('Raw Sales'!C92))="BOCHUM",UPPER(TRIM('Raw Sales'!C92))="BOCHUM REGION"),"Bochum",IF(OR(UPPER(TRIM('Raw Sales'!C92))="ELDORADO",UPPER(TRIM('Raw Sales'!C92))="ELDOS"),"Eldorado","Review"))</x:f>
        <x:v>Eldorado</x:v>
      </x:c>
      <x:c r="D92" t="str">
        <x:f>PROPER(TRIM('Raw Sales'!D92))</x:f>
        <x:v>Markers</x:v>
      </x:c>
      <x:c r="E92" s="8" t="str">
        <x:f>IFERROR(VALUE('Raw Sales'!E92),"")</x:f>
      </x:c>
      <x:c r="F92" s="9" t="n">
        <x:v>2210</x:v>
      </x:c>
      <x:c r="G92" s="10" t="n">
        <x:f>IFERROR(IF(OR(MID(TRIM('Raw Sales'!G92),5,1)="-",MID(TRIM('Raw Sales'!G92),5,1)="/"),DATE(VALUE(LEFT(TRIM('Raw Sales'!G92),4)),VALUE(MID(TRIM('Raw Sales'!G92),6,2)),VALUE(RIGHT(TRIM('Raw Sales'!G92),2))),IF(LEN(TRIM('Raw Sales'!G92))=10,DATE(VALUE(RIGHT(TRIM('Raw Sales'!G92),4)),VALUE(MID(TRIM('Raw Sales'!G92),4,2)),VALUE(LEFT(TRIM('Raw Sales'!G92),2))),IF(LEN(TRIM('Raw Sales'!G92))=8,DATE(2000+VALUE(RIGHT(TRIM('Raw Sales'!G92),2)),VALUE(MID(TRIM('Raw Sales'!G92),4,2)),VALUE(LEFT(TRIM('Raw Sales'!G92),2))),""))),"")</x:f>
        <x:v>46248</x:v>
      </x:c>
      <x:c r="H92" t="str">
        <x:f>IF(TRIM('Raw Sales'!H92)="","Missing",PROPER(TRIM('Raw Sales'!H92)))</x:f>
        <x:v>Thabo Ndlovu</x:v>
      </x:c>
      <x:c r="I92" t="str">
        <x:f>IF(OR(UPPER(TRIM('Raw Sales'!I92))="PAID",UPPER(TRIM('Raw Sales'!I92))="SETTLED",UPPER(TRIM('Raw Sales'!I92))="COMPLETE"),"Paid",IF(UPPER(TRIM('Raw Sales'!I92))="PENDING","Pending","Review"))</x:f>
        <x:v>Paid</x:v>
      </x:c>
      <x:c r="J92" t="str">
        <x:f>IF(A92="","Missing",IF(COUNTIF($A$6:A92,A92)&gt;1,"Duplicate","Unique"))</x:f>
        <x:v>Unique</x:v>
      </x:c>
      <x:c r="K92" s="11" t="n">
        <x:f>IF(A92="",1,0)+IF(B92="",1,0)+IF(C92="Review",1,0)+IF(D92="",1,0)+IF(OR(E92="",E92&lt;=0),1,0)+IF(OR(F92="",F92&lt;=0),1,0)+IF(G92="",1,0)+IF(H92="Missing",1,0)+IF(I92="Review",1,0)+IF(J92="Duplicate",1,0)</x:f>
        <x:v>1</x:v>
      </x:c>
      <x:c r="L92" s="12" t="str">
        <x:f>IF(A92="","Missing order ID; ","")&amp;IF(B92="","Missing school; ","")&amp;IF(C92="Review","Unmapped region; ","")&amp;IF(D92="","Missing product; ","")&amp;IF(OR(E92="",E92&lt;=0),"Invalid units; ","")&amp;IF(OR(F92="",F92&lt;=0),"Invalid amount; ","")&amp;IF(G92="","Invalid date; ","")&amp;IF(H92="Missing","Missing sales rep; ","")&amp;IF(I92="Review","Unmapped payment status; ","")&amp;IF(J92="Duplicate","Duplicate ID; ","")</x:f>
        <x:v>Invalid units; </x:v>
      </x:c>
      <x:c r="M92" t="str">
        <x:f>IF(K92=0,"Ready","Review")</x:f>
        <x:v>Review</x:v>
      </x:c>
    </x:row>
    <x:row r="93">
      <x:c r="A93" t="str">
        <x:f>UPPER(TRIM('Raw Sales'!A93))</x:f>
        <x:v>SAL-26-0088</x:v>
      </x:c>
      <x:c r="B93" t="str">
        <x:f>PROPER(TRIM('Raw Sales'!B93))</x:f>
        <x:v>Lakeside School</x:v>
      </x:c>
      <x:c r="C93" t="str">
        <x:f>IF(OR(UPPER(TRIM('Raw Sales'!C93))="BOCHUM",UPPER(TRIM('Raw Sales'!C93))="BOCHUM REGION"),"Bochum",IF(OR(UPPER(TRIM('Raw Sales'!C93))="ELDORADO",UPPER(TRIM('Raw Sales'!C93))="ELDOS"),"Eldorado","Review"))</x:f>
        <x:v>Bochum</x:v>
      </x:c>
      <x:c r="D93" t="str">
        <x:f>PROPER(TRIM('Raw Sales'!D93))</x:f>
        <x:v>Notebooks</x:v>
      </x:c>
      <x:c r="E93" s="8" t="n">
        <x:f>IFERROR(VALUE('Raw Sales'!E93),"")</x:f>
        <x:v>5</x:v>
      </x:c>
      <x:c r="F93" s="9" t="n">
        <x:v>390</x:v>
      </x:c>
      <x:c r="G93" s="10" t="n">
        <x:f>IFERROR(IF(OR(MID(TRIM('Raw Sales'!G93),5,1)="-",MID(TRIM('Raw Sales'!G93),5,1)="/"),DATE(VALUE(LEFT(TRIM('Raw Sales'!G93),4)),VALUE(MID(TRIM('Raw Sales'!G93),6,2)),VALUE(RIGHT(TRIM('Raw Sales'!G93),2))),IF(LEN(TRIM('Raw Sales'!G93))=10,DATE(VALUE(RIGHT(TRIM('Raw Sales'!G93),4)),VALUE(MID(TRIM('Raw Sales'!G93),4,2)),VALUE(LEFT(TRIM('Raw Sales'!G93),2))),IF(LEN(TRIM('Raw Sales'!G93))=8,DATE(2000+VALUE(RIGHT(TRIM('Raw Sales'!G93),2)),VALUE(MID(TRIM('Raw Sales'!G93),4,2)),VALUE(LEFT(TRIM('Raw Sales'!G93),2))),""))),"")</x:f>
        <x:v>46037</x:v>
      </x:c>
      <x:c r="H93" t="str">
        <x:f>IF(TRIM('Raw Sales'!H93)="","Missing",PROPER(TRIM('Raw Sales'!H93)))</x:f>
        <x:v>Lebo Nkosi</x:v>
      </x:c>
      <x:c r="I93" t="str">
        <x:f>IF(OR(UPPER(TRIM('Raw Sales'!I93))="PAID",UPPER(TRIM('Raw Sales'!I93))="SETTLED",UPPER(TRIM('Raw Sales'!I93))="COMPLETE"),"Paid",IF(UPPER(TRIM('Raw Sales'!I93))="PENDING","Pending","Review"))</x:f>
        <x:v>Pending</x:v>
      </x:c>
      <x:c r="J93" t="str">
        <x:f>IF(A93="","Missing",IF(COUNTIF($A$6:A93,A93)&gt;1,"Duplicate","Unique"))</x:f>
        <x:v>Unique</x:v>
      </x:c>
      <x:c r="K93" s="11" t="n">
        <x:f>IF(A93="",1,0)+IF(B93="",1,0)+IF(C93="Review",1,0)+IF(D93="",1,0)+IF(OR(E93="",E93&lt;=0),1,0)+IF(OR(F93="",F93&lt;=0),1,0)+IF(G93="",1,0)+IF(H93="Missing",1,0)+IF(I93="Review",1,0)+IF(J93="Duplicate",1,0)</x:f>
        <x:v>0</x:v>
      </x:c>
      <x:c r="L93" s="12" t="str">
        <x:f>IF(A93="","Missing order ID; ","")&amp;IF(B93="","Missing school; ","")&amp;IF(C93="Review","Unmapped region; ","")&amp;IF(D93="","Missing product; ","")&amp;IF(OR(E93="",E93&lt;=0),"Invalid units; ","")&amp;IF(OR(F93="",F93&lt;=0),"Invalid amount; ","")&amp;IF(G93="","Invalid date; ","")&amp;IF(H93="Missing","Missing sales rep; ","")&amp;IF(I93="Review","Unmapped payment status; ","")&amp;IF(J93="Duplicate","Duplicate ID; ","")</x:f>
      </x:c>
      <x:c r="M93" t="str">
        <x:f>IF(K93=0,"Ready","Review")</x:f>
        <x:v>Ready</x:v>
      </x:c>
    </x:row>
    <x:row r="94">
      <x:c r="A94" t="str">
        <x:f>UPPER(TRIM('Raw Sales'!A94))</x:f>
        <x:v>SAL-26-0089</x:v>
      </x:c>
      <x:c r="B94" t="str">
        <x:f>PROPER(TRIM('Raw Sales'!B94))</x:f>
        <x:v>Valley Primary</x:v>
      </x:c>
      <x:c r="C94" t="str">
        <x:f>IF(OR(UPPER(TRIM('Raw Sales'!C94))="BOCHUM",UPPER(TRIM('Raw Sales'!C94))="BOCHUM REGION"),"Bochum",IF(OR(UPPER(TRIM('Raw Sales'!C94))="ELDORADO",UPPER(TRIM('Raw Sales'!C94))="ELDOS"),"Eldorado","Review"))</x:f>
        <x:v>Eldorado</x:v>
      </x:c>
      <x:c r="D94" t="str">
        <x:f>PROPER(TRIM('Raw Sales'!D94))</x:f>
        <x:v>Rulers</x:v>
      </x:c>
      <x:c r="E94" s="8" t="n">
        <x:f>IFERROR(VALUE('Raw Sales'!E94),"")</x:f>
        <x:v>12</x:v>
      </x:c>
      <x:c r="F94" s="9" t="n">
        <x:v>1092</x:v>
      </x:c>
      <x:c r="G94" s="10" t="n">
        <x:f>IFERROR(IF(OR(MID(TRIM('Raw Sales'!G94),5,1)="-",MID(TRIM('Raw Sales'!G94),5,1)="/"),DATE(VALUE(LEFT(TRIM('Raw Sales'!G94),4)),VALUE(MID(TRIM('Raw Sales'!G94),6,2)),VALUE(RIGHT(TRIM('Raw Sales'!G94),2))),IF(LEN(TRIM('Raw Sales'!G94))=10,DATE(VALUE(RIGHT(TRIM('Raw Sales'!G94),4)),VALUE(MID(TRIM('Raw Sales'!G94),4,2)),VALUE(LEFT(TRIM('Raw Sales'!G94),2))),IF(LEN(TRIM('Raw Sales'!G94))=8,DATE(2000+VALUE(RIGHT(TRIM('Raw Sales'!G94),2)),VALUE(MID(TRIM('Raw Sales'!G94),4,2)),VALUE(LEFT(TRIM('Raw Sales'!G94),2))),""))),"")</x:f>
        <x:v>46069</x:v>
      </x:c>
      <x:c r="H94" t="str">
        <x:f>IF(TRIM('Raw Sales'!H94)="","Missing",PROPER(TRIM('Raw Sales'!H94)))</x:f>
        <x:v>Thabo Ndlovu</x:v>
      </x:c>
      <x:c r="I94" t="str">
        <x:f>IF(OR(UPPER(TRIM('Raw Sales'!I94))="PAID",UPPER(TRIM('Raw Sales'!I94))="SETTLED",UPPER(TRIM('Raw Sales'!I94))="COMPLETE"),"Paid",IF(UPPER(TRIM('Raw Sales'!I94))="PENDING","Pending","Review"))</x:f>
        <x:v>Paid</x:v>
      </x:c>
      <x:c r="J94" t="str">
        <x:f>IF(A94="","Missing",IF(COUNTIF($A$6:A94,A94)&gt;1,"Duplicate","Unique"))</x:f>
        <x:v>Unique</x:v>
      </x:c>
      <x:c r="K94" s="11" t="n">
        <x:f>IF(A94="",1,0)+IF(B94="",1,0)+IF(C94="Review",1,0)+IF(D94="",1,0)+IF(OR(E94="",E94&lt;=0),1,0)+IF(OR(F94="",F94&lt;=0),1,0)+IF(G94="",1,0)+IF(H94="Missing",1,0)+IF(I94="Review",1,0)+IF(J94="Duplicate",1,0)</x:f>
        <x:v>0</x:v>
      </x:c>
      <x:c r="L94" s="12" t="str">
        <x:f>IF(A94="","Missing order ID; ","")&amp;IF(B94="","Missing school; ","")&amp;IF(C94="Review","Unmapped region; ","")&amp;IF(D94="","Missing product; ","")&amp;IF(OR(E94="",E94&lt;=0),"Invalid units; ","")&amp;IF(OR(F94="",F94&lt;=0),"Invalid amount; ","")&amp;IF(G94="","Invalid date; ","")&amp;IF(H94="Missing","Missing sales rep; ","")&amp;IF(I94="Review","Unmapped payment status; ","")&amp;IF(J94="Duplicate","Duplicate ID; ","")</x:f>
      </x:c>
      <x:c r="M94" t="str">
        <x:f>IF(K94=0,"Ready","Review")</x:f>
        <x:v>Ready</x:v>
      </x:c>
    </x:row>
    <x:row r="95">
      <x:c r="A95" t="str">
        <x:f>UPPER(TRIM('Raw Sales'!A95))</x:f>
        <x:v>SAL-26-0090</x:v>
      </x:c>
      <x:c r="B95" t="str">
        <x:f>PROPER(TRIM('Raw Sales'!B95))</x:f>
        <x:v>Mhlabeni Secondary</x:v>
      </x:c>
      <x:c r="C95" t="str">
        <x:f>IF(OR(UPPER(TRIM('Raw Sales'!C95))="BOCHUM",UPPER(TRIM('Raw Sales'!C95))="BOCHUM REGION"),"Bochum",IF(OR(UPPER(TRIM('Raw Sales'!C95))="ELDORADO",UPPER(TRIM('Raw Sales'!C95))="ELDOS"),"Eldorado","Review"))</x:f>
        <x:v>Eldorado</x:v>
      </x:c>
      <x:c r="D95" t="str">
        <x:f>PROPER(TRIM('Raw Sales'!D95))</x:f>
        <x:v>Exercise Books</x:v>
      </x:c>
      <x:c r="E95" s="8" t="n">
        <x:f>IFERROR(VALUE('Raw Sales'!E95),"")</x:f>
        <x:v>19</x:v>
      </x:c>
      <x:c r="F95" s="9" t="n">
        <x:v>1976</x:v>
      </x:c>
      <x:c r="G95" s="10" t="n">
        <x:f>IFERROR(IF(OR(MID(TRIM('Raw Sales'!G95),5,1)="-",MID(TRIM('Raw Sales'!G95),5,1)="/"),DATE(VALUE(LEFT(TRIM('Raw Sales'!G95),4)),VALUE(MID(TRIM('Raw Sales'!G95),6,2)),VALUE(RIGHT(TRIM('Raw Sales'!G95),2))),IF(LEN(TRIM('Raw Sales'!G95))=10,DATE(VALUE(RIGHT(TRIM('Raw Sales'!G95),4)),VALUE(MID(TRIM('Raw Sales'!G95),4,2)),VALUE(LEFT(TRIM('Raw Sales'!G95),2))),IF(LEN(TRIM('Raw Sales'!G95))=8,DATE(2000+VALUE(RIGHT(TRIM('Raw Sales'!G95),2)),VALUE(MID(TRIM('Raw Sales'!G95),4,2)),VALUE(LEFT(TRIM('Raw Sales'!G95),2))),""))),"")</x:f>
        <x:v>46098</x:v>
      </x:c>
      <x:c r="H95" t="str">
        <x:f>IF(TRIM('Raw Sales'!H95)="","Missing",PROPER(TRIM('Raw Sales'!H95)))</x:f>
        <x:v>Lebo Nkosi</x:v>
      </x:c>
      <x:c r="I95" t="str">
        <x:f>IF(OR(UPPER(TRIM('Raw Sales'!I95))="PAID",UPPER(TRIM('Raw Sales'!I95))="SETTLED",UPPER(TRIM('Raw Sales'!I95))="COMPLETE"),"Paid",IF(UPPER(TRIM('Raw Sales'!I95))="PENDING","Pending","Review"))</x:f>
        <x:v>Paid</x:v>
      </x:c>
      <x:c r="J95" t="str">
        <x:f>IF(A95="","Missing",IF(COUNTIF($A$6:A95,A95)&gt;1,"Duplicate","Unique"))</x:f>
        <x:v>Unique</x:v>
      </x:c>
      <x:c r="K95" s="11" t="n">
        <x:f>IF(A95="",1,0)+IF(B95="",1,0)+IF(C95="Review",1,0)+IF(D95="",1,0)+IF(OR(E95="",E95&lt;=0),1,0)+IF(OR(F95="",F95&lt;=0),1,0)+IF(G95="",1,0)+IF(H95="Missing",1,0)+IF(I95="Review",1,0)+IF(J95="Duplicate",1,0)</x:f>
        <x:v>0</x:v>
      </x:c>
      <x:c r="L95" s="12" t="str">
        <x:f>IF(A95="","Missing order ID; ","")&amp;IF(B95="","Missing school; ","")&amp;IF(C95="Review","Unmapped region; ","")&amp;IF(D95="","Missing product; ","")&amp;IF(OR(E95="",E95&lt;=0),"Invalid units; ","")&amp;IF(OR(F95="",F95&lt;=0),"Invalid amount; ","")&amp;IF(G95="","Invalid date; ","")&amp;IF(H95="Missing","Missing sales rep; ","")&amp;IF(I95="Review","Unmapped payment status; ","")&amp;IF(J95="Duplicate","Duplicate ID; ","")</x:f>
      </x:c>
      <x:c r="M95" t="str">
        <x:f>IF(K95=0,"Ready","Review")</x:f>
        <x:v>Ready</x:v>
      </x:c>
    </x:row>
    <x:row r="96">
      <x:c r="A96" t="str">
        <x:f>UPPER(TRIM('Raw Sales'!A96))</x:f>
        <x:v>SAL-26-0091</x:v>
      </x:c>
      <x:c r="B96" t="str">
        <x:f>PROPER(TRIM('Raw Sales'!B96))</x:f>
        <x:v>Meadowlands School</x:v>
      </x:c>
      <x:c r="C96" t="str">
        <x:f>IF(OR(UPPER(TRIM('Raw Sales'!C96))="BOCHUM",UPPER(TRIM('Raw Sales'!C96))="BOCHUM REGION"),"Bochum",IF(OR(UPPER(TRIM('Raw Sales'!C96))="ELDORADO",UPPER(TRIM('Raw Sales'!C96))="ELDOS"),"Eldorado","Review"))</x:f>
        <x:v>Bochum</x:v>
      </x:c>
      <x:c r="D96" t="str">
        <x:f>PROPER(TRIM('Raw Sales'!D96))</x:f>
        <x:v>Pencils</x:v>
      </x:c>
      <x:c r="E96" s="8" t="n">
        <x:f>IFERROR(VALUE('Raw Sales'!E96),"")</x:f>
        <x:v>26</x:v>
      </x:c>
      <x:c r="F96" s="9" t="n">
        <x:v>3042</x:v>
      </x:c>
      <x:c r="G96" s="10" t="n">
        <x:f>IFERROR(IF(OR(MID(TRIM('Raw Sales'!G96),5,1)="-",MID(TRIM('Raw Sales'!G96),5,1)="/"),DATE(VALUE(LEFT(TRIM('Raw Sales'!G96),4)),VALUE(MID(TRIM('Raw Sales'!G96),6,2)),VALUE(RIGHT(TRIM('Raw Sales'!G96),2))),IF(LEN(TRIM('Raw Sales'!G96))=10,DATE(VALUE(RIGHT(TRIM('Raw Sales'!G96),4)),VALUE(MID(TRIM('Raw Sales'!G96),4,2)),VALUE(LEFT(TRIM('Raw Sales'!G96),2))),IF(LEN(TRIM('Raw Sales'!G96))=8,DATE(2000+VALUE(RIGHT(TRIM('Raw Sales'!G96),2)),VALUE(MID(TRIM('Raw Sales'!G96),4,2)),VALUE(LEFT(TRIM('Raw Sales'!G96),2))),""))),"")</x:f>
        <x:v>46130</x:v>
      </x:c>
      <x:c r="H96" t="str">
        <x:f>IF(TRIM('Raw Sales'!H96)="","Missing",PROPER(TRIM('Raw Sales'!H96)))</x:f>
        <x:v>Thabo Ndlovu</x:v>
      </x:c>
      <x:c r="I96" t="str">
        <x:f>IF(OR(UPPER(TRIM('Raw Sales'!I96))="PAID",UPPER(TRIM('Raw Sales'!I96))="SETTLED",UPPER(TRIM('Raw Sales'!I96))="COMPLETE"),"Paid",IF(UPPER(TRIM('Raw Sales'!I96))="PENDING","Pending","Review"))</x:f>
        <x:v>Pending</x:v>
      </x:c>
      <x:c r="J96" t="str">
        <x:f>IF(A96="","Missing",IF(COUNTIF($A$6:A96,A96)&gt;1,"Duplicate","Unique"))</x:f>
        <x:v>Unique</x:v>
      </x:c>
      <x:c r="K96" s="11" t="n">
        <x:f>IF(A96="",1,0)+IF(B96="",1,0)+IF(C96="Review",1,0)+IF(D96="",1,0)+IF(OR(E96="",E96&lt;=0),1,0)+IF(OR(F96="",F96&lt;=0),1,0)+IF(G96="",1,0)+IF(H96="Missing",1,0)+IF(I96="Review",1,0)+IF(J96="Duplicate",1,0)</x:f>
        <x:v>0</x:v>
      </x:c>
      <x:c r="L96" s="12" t="str">
        <x:f>IF(A96="","Missing order ID; ","")&amp;IF(B96="","Missing school; ","")&amp;IF(C96="Review","Unmapped region; ","")&amp;IF(D96="","Missing product; ","")&amp;IF(OR(E96="",E96&lt;=0),"Invalid units; ","")&amp;IF(OR(F96="",F96&lt;=0),"Invalid amount; ","")&amp;IF(G96="","Invalid date; ","")&amp;IF(H96="Missing","Missing sales rep; ","")&amp;IF(I96="Review","Unmapped payment status; ","")&amp;IF(J96="Duplicate","Duplicate ID; ","")</x:f>
      </x:c>
      <x:c r="M96" t="str">
        <x:f>IF(K96=0,"Ready","Review")</x:f>
        <x:v>Ready</x:v>
      </x:c>
    </x:row>
    <x:row r="97">
      <x:c r="A97" t="str">
        <x:f>UPPER(TRIM('Raw Sales'!A97))</x:f>
        <x:v>SAL-26-0092</x:v>
      </x:c>
      <x:c r="B97" t="str">
        <x:f>PROPER(TRIM('Raw Sales'!B97))</x:f>
        <x:v>Gardenview School</x:v>
      </x:c>
      <x:c r="C97" t="str">
        <x:f>IF(OR(UPPER(TRIM('Raw Sales'!C97))="BOCHUM",UPPER(TRIM('Raw Sales'!C97))="BOCHUM REGION"),"Bochum",IF(OR(UPPER(TRIM('Raw Sales'!C97))="ELDORADO",UPPER(TRIM('Raw Sales'!C97))="ELDOS"),"Eldorado","Review"))</x:f>
        <x:v>Eldorado</x:v>
      </x:c>
      <x:c r="D97" t="str">
        <x:f>PROPER(TRIM('Raw Sales'!D97))</x:f>
        <x:v>Folders</x:v>
      </x:c>
      <x:c r="E97" s="8" t="n">
        <x:f>IFERROR(VALUE('Raw Sales'!E97),"")</x:f>
        <x:v>33</x:v>
      </x:c>
      <x:c r="F97" s="9" t="n">
        <x:v>4290</x:v>
      </x:c>
      <x:c r="G97" s="10" t="n">
        <x:f>IFERROR(IF(OR(MID(TRIM('Raw Sales'!G97),5,1)="-",MID(TRIM('Raw Sales'!G97),5,1)="/"),DATE(VALUE(LEFT(TRIM('Raw Sales'!G97),4)),VALUE(MID(TRIM('Raw Sales'!G97),6,2)),VALUE(RIGHT(TRIM('Raw Sales'!G97),2))),IF(LEN(TRIM('Raw Sales'!G97))=10,DATE(VALUE(RIGHT(TRIM('Raw Sales'!G97),4)),VALUE(MID(TRIM('Raw Sales'!G97),4,2)),VALUE(LEFT(TRIM('Raw Sales'!G97),2))),IF(LEN(TRIM('Raw Sales'!G97))=8,DATE(2000+VALUE(RIGHT(TRIM('Raw Sales'!G97),2)),VALUE(MID(TRIM('Raw Sales'!G97),4,2)),VALUE(LEFT(TRIM('Raw Sales'!G97),2))),""))),"")</x:f>
        <x:v>46161</x:v>
      </x:c>
      <x:c r="H97" t="str">
        <x:f>IF(TRIM('Raw Sales'!H97)="","Missing",PROPER(TRIM('Raw Sales'!H97)))</x:f>
        <x:v>Missing</x:v>
      </x:c>
      <x:c r="I97" t="str">
        <x:f>IF(OR(UPPER(TRIM('Raw Sales'!I97))="PAID",UPPER(TRIM('Raw Sales'!I97))="SETTLED",UPPER(TRIM('Raw Sales'!I97))="COMPLETE"),"Paid",IF(UPPER(TRIM('Raw Sales'!I97))="PENDING","Pending","Review"))</x:f>
        <x:v>Paid</x:v>
      </x:c>
      <x:c r="J97" t="str">
        <x:f>IF(A97="","Missing",IF(COUNTIF($A$6:A97,A97)&gt;1,"Duplicate","Unique"))</x:f>
        <x:v>Unique</x:v>
      </x:c>
      <x:c r="K97" s="11" t="n">
        <x:f>IF(A97="",1,0)+IF(B97="",1,0)+IF(C97="Review",1,0)+IF(D97="",1,0)+IF(OR(E97="",E97&lt;=0),1,0)+IF(OR(F97="",F97&lt;=0),1,0)+IF(G97="",1,0)+IF(H97="Missing",1,0)+IF(I97="Review",1,0)+IF(J97="Duplicate",1,0)</x:f>
        <x:v>1</x:v>
      </x:c>
      <x:c r="L97" s="12" t="str">
        <x:f>IF(A97="","Missing order ID; ","")&amp;IF(B97="","Missing school; ","")&amp;IF(C97="Review","Unmapped region; ","")&amp;IF(D97="","Missing product; ","")&amp;IF(OR(E97="",E97&lt;=0),"Invalid units; ","")&amp;IF(OR(F97="",F97&lt;=0),"Invalid amount; ","")&amp;IF(G97="","Invalid date; ","")&amp;IF(H97="Missing","Missing sales rep; ","")&amp;IF(I97="Review","Unmapped payment status; ","")&amp;IF(J97="Duplicate","Duplicate ID; ","")</x:f>
        <x:v>Missing sales rep; </x:v>
      </x:c>
      <x:c r="M97" t="str">
        <x:f>IF(K97=0,"Ready","Review")</x:f>
        <x:v>Review</x:v>
      </x:c>
    </x:row>
    <x:row r="98">
      <x:c r="A98" t="str">
        <x:f>UPPER(TRIM('Raw Sales'!A98))</x:f>
        <x:v>SAL-26-0093</x:v>
      </x:c>
      <x:c r="B98" t="str">
        <x:f>PROPER(TRIM('Raw Sales'!B98))</x:f>
        <x:v>Riverside Academy</x:v>
      </x:c>
      <x:c r="C98" t="str">
        <x:f>IF(OR(UPPER(TRIM('Raw Sales'!C98))="BOCHUM",UPPER(TRIM('Raw Sales'!C98))="BOCHUM REGION"),"Bochum",IF(OR(UPPER(TRIM('Raw Sales'!C98))="ELDORADO",UPPER(TRIM('Raw Sales'!C98))="ELDOS"),"Eldorado","Review"))</x:f>
        <x:v>Bochum</x:v>
      </x:c>
      <x:c r="D98" t="str">
        <x:f>PROPER(TRIM('Raw Sales'!D98))</x:f>
        <x:v>Pens</x:v>
      </x:c>
      <x:c r="E98" s="8" t="n">
        <x:f>IFERROR(VALUE('Raw Sales'!E98),"")</x:f>
        <x:v>0</x:v>
      </x:c>
      <x:c r="F98" s="9" t="n">
        <x:v>572</x:v>
      </x:c>
      <x:c r="G98" s="10" t="str">
        <x:f>IFERROR(IF(OR(MID(TRIM('Raw Sales'!G98),5,1)="-",MID(TRIM('Raw Sales'!G98),5,1)="/"),DATE(VALUE(LEFT(TRIM('Raw Sales'!G98),4)),VALUE(MID(TRIM('Raw Sales'!G98),6,2)),VALUE(RIGHT(TRIM('Raw Sales'!G98),2))),IF(LEN(TRIM('Raw Sales'!G98))=10,DATE(VALUE(RIGHT(TRIM('Raw Sales'!G98),4)),VALUE(MID(TRIM('Raw Sales'!G98),4,2)),VALUE(LEFT(TRIM('Raw Sales'!G98),2))),IF(LEN(TRIM('Raw Sales'!G98))=8,DATE(2000+VALUE(RIGHT(TRIM('Raw Sales'!G98),2)),VALUE(MID(TRIM('Raw Sales'!G98),4,2)),VALUE(LEFT(TRIM('Raw Sales'!G98),2))),""))),"")</x:f>
      </x:c>
      <x:c r="H98" t="str">
        <x:f>IF(TRIM('Raw Sales'!H98)="","Missing",PROPER(TRIM('Raw Sales'!H98)))</x:f>
        <x:v>Thabo Ndlovu</x:v>
      </x:c>
      <x:c r="I98" t="str">
        <x:f>IF(OR(UPPER(TRIM('Raw Sales'!I98))="PAID",UPPER(TRIM('Raw Sales'!I98))="SETTLED",UPPER(TRIM('Raw Sales'!I98))="COMPLETE"),"Paid",IF(UPPER(TRIM('Raw Sales'!I98))="PENDING","Pending","Review"))</x:f>
        <x:v>Paid</x:v>
      </x:c>
      <x:c r="J98" t="str">
        <x:f>IF(A98="","Missing",IF(COUNTIF($A$6:A98,A98)&gt;1,"Duplicate","Unique"))</x:f>
        <x:v>Unique</x:v>
      </x:c>
      <x:c r="K98" s="11" t="n">
        <x:f>IF(A98="",1,0)+IF(B98="",1,0)+IF(C98="Review",1,0)+IF(D98="",1,0)+IF(OR(E98="",E98&lt;=0),1,0)+IF(OR(F98="",F98&lt;=0),1,0)+IF(G98="",1,0)+IF(H98="Missing",1,0)+IF(I98="Review",1,0)+IF(J98="Duplicate",1,0)</x:f>
        <x:v>2</x:v>
      </x:c>
      <x:c r="L98" s="12" t="str">
        <x:f>IF(A98="","Missing order ID; ","")&amp;IF(B98="","Missing school; ","")&amp;IF(C98="Review","Unmapped region; ","")&amp;IF(D98="","Missing product; ","")&amp;IF(OR(E98="",E98&lt;=0),"Invalid units; ","")&amp;IF(OR(F98="",F98&lt;=0),"Invalid amount; ","")&amp;IF(G98="","Invalid date; ","")&amp;IF(H98="Missing","Missing sales rep; ","")&amp;IF(I98="Review","Unmapped payment status; ","")&amp;IF(J98="Duplicate","Duplicate ID; ","")</x:f>
        <x:v>Invalid units; Invalid date; </x:v>
      </x:c>
      <x:c r="M98" t="str">
        <x:f>IF(K98=0,"Ready","Review")</x:f>
        <x:v>Review</x:v>
      </x:c>
    </x:row>
    <x:row r="99">
      <x:c r="A99" t="str">
        <x:f>UPPER(TRIM('Raw Sales'!A99))</x:f>
        <x:v>SAL-26-0094</x:v>
      </x:c>
      <x:c r="B99" t="str">
        <x:f>PROPER(TRIM('Raw Sales'!B99))</x:f>
        <x:v>Maple Secondary</x:v>
      </x:c>
      <x:c r="C99" t="str">
        <x:f>IF(OR(UPPER(TRIM('Raw Sales'!C99))="BOCHUM",UPPER(TRIM('Raw Sales'!C99))="BOCHUM REGION"),"Bochum",IF(OR(UPPER(TRIM('Raw Sales'!C99))="ELDORADO",UPPER(TRIM('Raw Sales'!C99))="ELDOS"),"Eldorado","Review"))</x:f>
        <x:v>Review</x:v>
      </x:c>
      <x:c r="D99" t="str">
        <x:f>PROPER(TRIM('Raw Sales'!D99))</x:f>
        <x:v>Glue Sticks</x:v>
      </x:c>
      <x:c r="E99" s="8" t="n">
        <x:f>IFERROR(VALUE('Raw Sales'!E99),"")</x:f>
        <x:v>11</x:v>
      </x:c>
      <x:c r="F99" s="9" t="n">
        <x:v>-300</x:v>
      </x:c>
      <x:c r="G99" s="10" t="n">
        <x:f>IFERROR(IF(OR(MID(TRIM('Raw Sales'!G99),5,1)="-",MID(TRIM('Raw Sales'!G99),5,1)="/"),DATE(VALUE(LEFT(TRIM('Raw Sales'!G99),4)),VALUE(MID(TRIM('Raw Sales'!G99),6,2)),VALUE(RIGHT(TRIM('Raw Sales'!G99),2))),IF(LEN(TRIM('Raw Sales'!G99))=10,DATE(VALUE(RIGHT(TRIM('Raw Sales'!G99),4)),VALUE(MID(TRIM('Raw Sales'!G99),4,2)),VALUE(LEFT(TRIM('Raw Sales'!G99),2))),IF(LEN(TRIM('Raw Sales'!G99))=8,DATE(2000+VALUE(RIGHT(TRIM('Raw Sales'!G99),2)),VALUE(MID(TRIM('Raw Sales'!G99),4,2)),VALUE(LEFT(TRIM('Raw Sales'!G99),2))),""))),"")</x:f>
        <x:v>46224</x:v>
      </x:c>
      <x:c r="H99" t="str">
        <x:f>IF(TRIM('Raw Sales'!H99)="","Missing",PROPER(TRIM('Raw Sales'!H99)))</x:f>
        <x:v>Lebo Nkosi</x:v>
      </x:c>
      <x:c r="I99" t="str">
        <x:f>IF(OR(UPPER(TRIM('Raw Sales'!I99))="PAID",UPPER(TRIM('Raw Sales'!I99))="SETTLED",UPPER(TRIM('Raw Sales'!I99))="COMPLETE"),"Paid",IF(UPPER(TRIM('Raw Sales'!I99))="PENDING","Pending","Review"))</x:f>
        <x:v>Pending</x:v>
      </x:c>
      <x:c r="J99" t="str">
        <x:f>IF(A99="","Missing",IF(COUNTIF($A$6:A99,A99)&gt;1,"Duplicate","Unique"))</x:f>
        <x:v>Unique</x:v>
      </x:c>
      <x:c r="K99" s="11" t="n">
        <x:f>IF(A99="",1,0)+IF(B99="",1,0)+IF(C99="Review",1,0)+IF(D99="",1,0)+IF(OR(E99="",E99&lt;=0),1,0)+IF(OR(F99="",F99&lt;=0),1,0)+IF(G99="",1,0)+IF(H99="Missing",1,0)+IF(I99="Review",1,0)+IF(J99="Duplicate",1,0)</x:f>
        <x:v>2</x:v>
      </x:c>
      <x:c r="L99" s="12" t="str">
        <x:f>IF(A99="","Missing order ID; ","")&amp;IF(B99="","Missing school; ","")&amp;IF(C99="Review","Unmapped region; ","")&amp;IF(D99="","Missing product; ","")&amp;IF(OR(E99="",E99&lt;=0),"Invalid units; ","")&amp;IF(OR(F99="",F99&lt;=0),"Invalid amount; ","")&amp;IF(G99="","Invalid date; ","")&amp;IF(H99="Missing","Missing sales rep; ","")&amp;IF(I99="Review","Unmapped payment status; ","")&amp;IF(J99="Duplicate","Duplicate ID; ","")</x:f>
        <x:v>Unmapped region; Invalid amount; </x:v>
      </x:c>
      <x:c r="M99" t="str">
        <x:f>IF(K99=0,"Ready","Review")</x:f>
        <x:v>Review</x:v>
      </x:c>
    </x:row>
    <x:row r="100">
      <x:c r="A100" t="str">
        <x:f>UPPER(TRIM('Raw Sales'!A100))</x:f>
        <x:v>SAL-26-0095</x:v>
      </x:c>
      <x:c r="B100" t="str">
        <x:f>PROPER(TRIM('Raw Sales'!B100))</x:f>
        <x:v>Pinecrest School</x:v>
      </x:c>
      <x:c r="C100" t="str">
        <x:f>IF(OR(UPPER(TRIM('Raw Sales'!C100))="BOCHUM",UPPER(TRIM('Raw Sales'!C100))="BOCHUM REGION"),"Bochum",IF(OR(UPPER(TRIM('Raw Sales'!C100))="ELDORADO",UPPER(TRIM('Raw Sales'!C100))="ELDOS"),"Eldorado","Review"))</x:f>
        <x:v>Bochum</x:v>
      </x:c>
      <x:c r="D100" t="str">
        <x:f>PROPER(TRIM('Raw Sales'!D100))</x:f>
        <x:v>Markers</x:v>
      </x:c>
      <x:c r="E100" s="8" t="n">
        <x:f>IFERROR(VALUE('Raw Sales'!E100),"")</x:f>
        <x:v>18</x:v>
      </x:c>
      <x:c r="F100" s="9" t="n">
        <x:v>3042</x:v>
      </x:c>
      <x:c r="G100" s="10" t="n">
        <x:f>IFERROR(IF(OR(MID(TRIM('Raw Sales'!G100),5,1)="-",MID(TRIM('Raw Sales'!G100),5,1)="/"),DATE(VALUE(LEFT(TRIM('Raw Sales'!G100),4)),VALUE(MID(TRIM('Raw Sales'!G100),6,2)),VALUE(RIGHT(TRIM('Raw Sales'!G100),2))),IF(LEN(TRIM('Raw Sales'!G100))=10,DATE(VALUE(RIGHT(TRIM('Raw Sales'!G100),4)),VALUE(MID(TRIM('Raw Sales'!G100),4,2)),VALUE(LEFT(TRIM('Raw Sales'!G100),2))),IF(LEN(TRIM('Raw Sales'!G100))=8,DATE(2000+VALUE(RIGHT(TRIM('Raw Sales'!G100),2)),VALUE(MID(TRIM('Raw Sales'!G100),4,2)),VALUE(LEFT(TRIM('Raw Sales'!G100),2))),""))),"")</x:f>
        <x:v>46256</x:v>
      </x:c>
      <x:c r="H100" t="str">
        <x:f>IF(TRIM('Raw Sales'!H100)="","Missing",PROPER(TRIM('Raw Sales'!H100)))</x:f>
        <x:v>Thabo Ndlovu</x:v>
      </x:c>
      <x:c r="I100" t="str">
        <x:f>IF(OR(UPPER(TRIM('Raw Sales'!I100))="PAID",UPPER(TRIM('Raw Sales'!I100))="SETTLED",UPPER(TRIM('Raw Sales'!I100))="COMPLETE"),"Paid",IF(UPPER(TRIM('Raw Sales'!I100))="PENDING","Pending","Review"))</x:f>
        <x:v>Paid</x:v>
      </x:c>
      <x:c r="J100" t="str">
        <x:f>IF(A100="","Missing",IF(COUNTIF($A$6:A100,A100)&gt;1,"Duplicate","Unique"))</x:f>
        <x:v>Unique</x:v>
      </x:c>
      <x:c r="K100" s="11" t="n">
        <x:f>IF(A100="",1,0)+IF(B100="",1,0)+IF(C100="Review",1,0)+IF(D100="",1,0)+IF(OR(E100="",E100&lt;=0),1,0)+IF(OR(F100="",F100&lt;=0),1,0)+IF(G100="",1,0)+IF(H100="Missing",1,0)+IF(I100="Review",1,0)+IF(J100="Duplicate",1,0)</x:f>
        <x:v>0</x:v>
      </x:c>
      <x:c r="L100" s="12" t="str">
        <x:f>IF(A100="","Missing order ID; ","")&amp;IF(B100="","Missing school; ","")&amp;IF(C100="Review","Unmapped region; ","")&amp;IF(D100="","Missing product; ","")&amp;IF(OR(E100="",E100&lt;=0),"Invalid units; ","")&amp;IF(OR(F100="",F100&lt;=0),"Invalid amount; ","")&amp;IF(G100="","Invalid date; ","")&amp;IF(H100="Missing","Missing sales rep; ","")&amp;IF(I100="Review","Unmapped payment status; ","")&amp;IF(J100="Duplicate","Duplicate ID; ","")</x:f>
      </x:c>
      <x:c r="M100" t="str">
        <x:f>IF(K100=0,"Ready","Review")</x:f>
        <x:v>Ready</x:v>
      </x:c>
    </x:row>
    <x:row r="101">
      <x:c r="A101" t="str">
        <x:f>UPPER(TRIM('Raw Sales'!A101))</x:f>
        <x:v>SAL-26-0096</x:v>
      </x:c>
      <x:c r="B101" t="str">
        <x:f>PROPER(TRIM('Raw Sales'!B101))</x:f>
        <x:v>Northstar Academy</x:v>
      </x:c>
      <x:c r="C101" t="str">
        <x:f>IF(OR(UPPER(TRIM('Raw Sales'!C101))="BOCHUM",UPPER(TRIM('Raw Sales'!C101))="BOCHUM REGION"),"Bochum",IF(OR(UPPER(TRIM('Raw Sales'!C101))="ELDORADO",UPPER(TRIM('Raw Sales'!C101))="ELDOS"),"Eldorado","Review"))</x:f>
        <x:v>Bochum</x:v>
      </x:c>
      <x:c r="D101" t="str">
        <x:f>PROPER(TRIM('Raw Sales'!D101))</x:f>
        <x:v>Notebooks</x:v>
      </x:c>
      <x:c r="E101" s="8" t="n">
        <x:f>IFERROR(VALUE('Raw Sales'!E101),"")</x:f>
        <x:v>25</x:v>
      </x:c>
      <x:c r="F101" s="9" t="n">
        <x:v>4550</x:v>
      </x:c>
      <x:c r="G101" s="10" t="n">
        <x:f>IFERROR(IF(OR(MID(TRIM('Raw Sales'!G101),5,1)="-",MID(TRIM('Raw Sales'!G101),5,1)="/"),DATE(VALUE(LEFT(TRIM('Raw Sales'!G101),4)),VALUE(MID(TRIM('Raw Sales'!G101),6,2)),VALUE(RIGHT(TRIM('Raw Sales'!G101),2))),IF(LEN(TRIM('Raw Sales'!G101))=10,DATE(VALUE(RIGHT(TRIM('Raw Sales'!G101),4)),VALUE(MID(TRIM('Raw Sales'!G101),4,2)),VALUE(LEFT(TRIM('Raw Sales'!G101),2))),IF(LEN(TRIM('Raw Sales'!G101))=8,DATE(2000+VALUE(RIGHT(TRIM('Raw Sales'!G101),2)),VALUE(MID(TRIM('Raw Sales'!G101),4,2)),VALUE(LEFT(TRIM('Raw Sales'!G101),2))),""))),"")</x:f>
        <x:v>46045</x:v>
      </x:c>
      <x:c r="H101" t="str">
        <x:f>IF(TRIM('Raw Sales'!H101)="","Missing",PROPER(TRIM('Raw Sales'!H101)))</x:f>
        <x:v>Lebo Nkosi</x:v>
      </x:c>
      <x:c r="I101" t="str">
        <x:f>IF(OR(UPPER(TRIM('Raw Sales'!I101))="PAID",UPPER(TRIM('Raw Sales'!I101))="SETTLED",UPPER(TRIM('Raw Sales'!I101))="COMPLETE"),"Paid",IF(UPPER(TRIM('Raw Sales'!I101))="PENDING","Pending","Review"))</x:f>
        <x:v>Paid</x:v>
      </x:c>
      <x:c r="J101" t="str">
        <x:f>IF(A101="","Missing",IF(COUNTIF($A$6:A101,A101)&gt;1,"Duplicate","Unique"))</x:f>
        <x:v>Unique</x:v>
      </x:c>
      <x:c r="K101" s="11" t="n">
        <x:f>IF(A101="",1,0)+IF(B101="",1,0)+IF(C101="Review",1,0)+IF(D101="",1,0)+IF(OR(E101="",E101&lt;=0),1,0)+IF(OR(F101="",F101&lt;=0),1,0)+IF(G101="",1,0)+IF(H101="Missing",1,0)+IF(I101="Review",1,0)+IF(J101="Duplicate",1,0)</x:f>
        <x:v>0</x:v>
      </x:c>
      <x:c r="L101" s="12" t="str">
        <x:f>IF(A101="","Missing order ID; ","")&amp;IF(B101="","Missing school; ","")&amp;IF(C101="Review","Unmapped region; ","")&amp;IF(D101="","Missing product; ","")&amp;IF(OR(E101="",E101&lt;=0),"Invalid units; ","")&amp;IF(OR(F101="",F101&lt;=0),"Invalid amount; ","")&amp;IF(G101="","Invalid date; ","")&amp;IF(H101="Missing","Missing sales rep; ","")&amp;IF(I101="Review","Unmapped payment status; ","")&amp;IF(J101="Duplicate","Duplicate ID; ","")</x:f>
      </x:c>
      <x:c r="M101" t="str">
        <x:f>IF(K101=0,"Ready","Review")</x:f>
        <x:v>Ready</x:v>
      </x:c>
    </x:row>
    <x:row r="102">
      <x:c r="A102" t="str">
        <x:f>UPPER(TRIM('Raw Sales'!A102))</x:f>
        <x:v>SAL-26-0097</x:v>
      </x:c>
      <x:c r="B102" t="str">
        <x:f>PROPER(TRIM('Raw Sales'!B102))</x:f>
        <x:v>Crescent Primary</x:v>
      </x:c>
      <x:c r="C102" t="str">
        <x:f>IF(OR(UPPER(TRIM('Raw Sales'!C102))="BOCHUM",UPPER(TRIM('Raw Sales'!C102))="BOCHUM REGION"),"Bochum",IF(OR(UPPER(TRIM('Raw Sales'!C102))="ELDORADO",UPPER(TRIM('Raw Sales'!C102))="ELDOS"),"Eldorado","Review"))</x:f>
        <x:v>Eldorado</x:v>
      </x:c>
      <x:c r="D102" t="str">
        <x:f>PROPER(TRIM('Raw Sales'!D102))</x:f>
        <x:v>Rulers</x:v>
      </x:c>
      <x:c r="E102" s="8" t="n">
        <x:f>IFERROR(VALUE('Raw Sales'!E102),"")</x:f>
        <x:v>32</x:v>
      </x:c>
      <x:c r="F102" s="9" t="n">
        <x:v>6240</x:v>
      </x:c>
      <x:c r="G102" s="10" t="n">
        <x:f>IFERROR(IF(OR(MID(TRIM('Raw Sales'!G102),5,1)="-",MID(TRIM('Raw Sales'!G102),5,1)="/"),DATE(VALUE(LEFT(TRIM('Raw Sales'!G102),4)),VALUE(MID(TRIM('Raw Sales'!G102),6,2)),VALUE(RIGHT(TRIM('Raw Sales'!G102),2))),IF(LEN(TRIM('Raw Sales'!G102))=10,DATE(VALUE(RIGHT(TRIM('Raw Sales'!G102),4)),VALUE(MID(TRIM('Raw Sales'!G102),4,2)),VALUE(LEFT(TRIM('Raw Sales'!G102),2))),IF(LEN(TRIM('Raw Sales'!G102))=8,DATE(2000+VALUE(RIGHT(TRIM('Raw Sales'!G102),2)),VALUE(MID(TRIM('Raw Sales'!G102),4,2)),VALUE(LEFT(TRIM('Raw Sales'!G102),2))),""))),"")</x:f>
        <x:v>46077</x:v>
      </x:c>
      <x:c r="H102" t="str">
        <x:f>IF(TRIM('Raw Sales'!H102)="","Missing",PROPER(TRIM('Raw Sales'!H102)))</x:f>
        <x:v>Thabo Ndlovu</x:v>
      </x:c>
      <x:c r="I102" t="str">
        <x:f>IF(OR(UPPER(TRIM('Raw Sales'!I102))="PAID",UPPER(TRIM('Raw Sales'!I102))="SETTLED",UPPER(TRIM('Raw Sales'!I102))="COMPLETE"),"Paid",IF(UPPER(TRIM('Raw Sales'!I102))="PENDING","Pending","Review"))</x:f>
        <x:v>Pending</x:v>
      </x:c>
      <x:c r="J102" t="str">
        <x:f>IF(A102="","Missing",IF(COUNTIF($A$6:A102,A102)&gt;1,"Duplicate","Unique"))</x:f>
        <x:v>Unique</x:v>
      </x:c>
      <x:c r="K102" s="11" t="n">
        <x:f>IF(A102="",1,0)+IF(B102="",1,0)+IF(C102="Review",1,0)+IF(D102="",1,0)+IF(OR(E102="",E102&lt;=0),1,0)+IF(OR(F102="",F102&lt;=0),1,0)+IF(G102="",1,0)+IF(H102="Missing",1,0)+IF(I102="Review",1,0)+IF(J102="Duplicate",1,0)</x:f>
        <x:v>0</x:v>
      </x:c>
      <x:c r="L102" s="12" t="str">
        <x:f>IF(A102="","Missing order ID; ","")&amp;IF(B102="","Missing school; ","")&amp;IF(C102="Review","Unmapped region; ","")&amp;IF(D102="","Missing product; ","")&amp;IF(OR(E102="",E102&lt;=0),"Invalid units; ","")&amp;IF(OR(F102="",F102&lt;=0),"Invalid amount; ","")&amp;IF(G102="","Invalid date; ","")&amp;IF(H102="Missing","Missing sales rep; ","")&amp;IF(I102="Review","Unmapped payment status; ","")&amp;IF(J102="Duplicate","Duplicate ID; ","")</x:f>
      </x:c>
      <x:c r="M102" t="str">
        <x:f>IF(K102=0,"Ready","Review")</x:f>
        <x:v>Ready</x:v>
      </x:c>
    </x:row>
    <x:row r="103">
      <x:c r="A103" t="str">
        <x:f>UPPER(TRIM('Raw Sales'!A103))</x:f>
        <x:v>SAL-26-0098</x:v>
      </x:c>
      <x:c r="B103" t="str">
        <x:f>PROPER(TRIM('Raw Sales'!B103))</x:f>
        <x:v>Hillview Primary</x:v>
      </x:c>
      <x:c r="C103" t="str">
        <x:f>IF(OR(UPPER(TRIM('Raw Sales'!C103))="BOCHUM",UPPER(TRIM('Raw Sales'!C103))="BOCHUM REGION"),"Bochum",IF(OR(UPPER(TRIM('Raw Sales'!C103))="ELDORADO",UPPER(TRIM('Raw Sales'!C103))="ELDOS"),"Eldorado","Review"))</x:f>
        <x:v>Bochum</x:v>
      </x:c>
      <x:c r="D103" t="str">
        <x:f>PROPER(TRIM('Raw Sales'!D103))</x:f>
        <x:v>Exercise Books</x:v>
      </x:c>
      <x:c r="E103" s="8" t="n">
        <x:f>IFERROR(VALUE('Raw Sales'!E103),"")</x:f>
        <x:v>3</x:v>
      </x:c>
      <x:c r="F103" s="9" t="n">
        <x:v>81</x:v>
      </x:c>
      <x:c r="G103" s="10" t="n">
        <x:f>IFERROR(IF(OR(MID(TRIM('Raw Sales'!G103),5,1)="-",MID(TRIM('Raw Sales'!G103),5,1)="/"),DATE(VALUE(LEFT(TRIM('Raw Sales'!G103),4)),VALUE(MID(TRIM('Raw Sales'!G103),6,2)),VALUE(RIGHT(TRIM('Raw Sales'!G103),2))),IF(LEN(TRIM('Raw Sales'!G103))=10,DATE(VALUE(RIGHT(TRIM('Raw Sales'!G103),4)),VALUE(MID(TRIM('Raw Sales'!G103),4,2)),VALUE(LEFT(TRIM('Raw Sales'!G103),2))),IF(LEN(TRIM('Raw Sales'!G103))=8,DATE(2000+VALUE(RIGHT(TRIM('Raw Sales'!G103),2)),VALUE(MID(TRIM('Raw Sales'!G103),4,2)),VALUE(LEFT(TRIM('Raw Sales'!G103),2))),""))),"")</x:f>
        <x:v>46106</x:v>
      </x:c>
      <x:c r="H103" t="str">
        <x:f>IF(TRIM('Raw Sales'!H103)="","Missing",PROPER(TRIM('Raw Sales'!H103)))</x:f>
        <x:v>Lebo Nkosi</x:v>
      </x:c>
      <x:c r="I103" t="str">
        <x:f>IF(OR(UPPER(TRIM('Raw Sales'!I103))="PAID",UPPER(TRIM('Raw Sales'!I103))="SETTLED",UPPER(TRIM('Raw Sales'!I103))="COMPLETE"),"Paid",IF(UPPER(TRIM('Raw Sales'!I103))="PENDING","Pending","Review"))</x:f>
        <x:v>Paid</x:v>
      </x:c>
      <x:c r="J103" t="str">
        <x:f>IF(A103="","Missing",IF(COUNTIF($A$6:A103,A103)&gt;1,"Duplicate","Unique"))</x:f>
        <x:v>Unique</x:v>
      </x:c>
      <x:c r="K103" s="11" t="n">
        <x:f>IF(A103="",1,0)+IF(B103="",1,0)+IF(C103="Review",1,0)+IF(D103="",1,0)+IF(OR(E103="",E103&lt;=0),1,0)+IF(OR(F103="",F103&lt;=0),1,0)+IF(G103="",1,0)+IF(H103="Missing",1,0)+IF(I103="Review",1,0)+IF(J103="Duplicate",1,0)</x:f>
        <x:v>0</x:v>
      </x:c>
      <x:c r="L103" s="12" t="str">
        <x:f>IF(A103="","Missing order ID; ","")&amp;IF(B103="","Missing school; ","")&amp;IF(C103="Review","Unmapped region; ","")&amp;IF(D103="","Missing product; ","")&amp;IF(OR(E103="",E103&lt;=0),"Invalid units; ","")&amp;IF(OR(F103="",F103&lt;=0),"Invalid amount; ","")&amp;IF(G103="","Invalid date; ","")&amp;IF(H103="Missing","Missing sales rep; ","")&amp;IF(I103="Review","Unmapped payment status; ","")&amp;IF(J103="Duplicate","Duplicate ID; ","")</x:f>
      </x:c>
      <x:c r="M103" t="str">
        <x:f>IF(K103=0,"Ready","Review")</x:f>
        <x:v>Ready</x:v>
      </x:c>
    </x:row>
    <x:row r="104">
      <x:c r="A104" t="str">
        <x:f>UPPER(TRIM('Raw Sales'!A104))</x:f>
        <x:v>SAL-26-0099</x:v>
      </x:c>
      <x:c r="B104" t="str">
        <x:f>PROPER(TRIM('Raw Sales'!B104))</x:f>
        <x:v>Eastwood Academy</x:v>
      </x:c>
      <x:c r="C104" t="str">
        <x:f>IF(OR(UPPER(TRIM('Raw Sales'!C104))="BOCHUM",UPPER(TRIM('Raw Sales'!C104))="BOCHUM REGION"),"Bochum",IF(OR(UPPER(TRIM('Raw Sales'!C104))="ELDORADO",UPPER(TRIM('Raw Sales'!C104))="ELDOS"),"Eldorado","Review"))</x:f>
        <x:v>Eldorado</x:v>
      </x:c>
      <x:c r="D104" t="str">
        <x:f>PROPER(TRIM('Raw Sales'!D104))</x:f>
        <x:v>Pencils</x:v>
      </x:c>
      <x:c r="E104" s="8" t="n">
        <x:f>IFERROR(VALUE('Raw Sales'!E104),"")</x:f>
        <x:v>10</x:v>
      </x:c>
      <x:c r="F104" s="9" t="n">
        <x:v>400</x:v>
      </x:c>
      <x:c r="G104" s="10" t="n">
        <x:f>IFERROR(IF(OR(MID(TRIM('Raw Sales'!G104),5,1)="-",MID(TRIM('Raw Sales'!G104),5,1)="/"),DATE(VALUE(LEFT(TRIM('Raw Sales'!G104),4)),VALUE(MID(TRIM('Raw Sales'!G104),6,2)),VALUE(RIGHT(TRIM('Raw Sales'!G104),2))),IF(LEN(TRIM('Raw Sales'!G104))=10,DATE(VALUE(RIGHT(TRIM('Raw Sales'!G104),4)),VALUE(MID(TRIM('Raw Sales'!G104),4,2)),VALUE(LEFT(TRIM('Raw Sales'!G104),2))),IF(LEN(TRIM('Raw Sales'!G104))=8,DATE(2000+VALUE(RIGHT(TRIM('Raw Sales'!G104),2)),VALUE(MID(TRIM('Raw Sales'!G104),4,2)),VALUE(LEFT(TRIM('Raw Sales'!G104),2))),""))),"")</x:f>
        <x:v>46138</x:v>
      </x:c>
      <x:c r="H104" t="str">
        <x:f>IF(TRIM('Raw Sales'!H104)="","Missing",PROPER(TRIM('Raw Sales'!H104)))</x:f>
        <x:v>Thabo Ndlovu</x:v>
      </x:c>
      <x:c r="I104" t="str">
        <x:f>IF(OR(UPPER(TRIM('Raw Sales'!I104))="PAID",UPPER(TRIM('Raw Sales'!I104))="SETTLED",UPPER(TRIM('Raw Sales'!I104))="COMPLETE"),"Paid",IF(UPPER(TRIM('Raw Sales'!I104))="PENDING","Pending","Review"))</x:f>
        <x:v>Paid</x:v>
      </x:c>
      <x:c r="J104" t="str">
        <x:f>IF(A104="","Missing",IF(COUNTIF($A$6:A104,A104)&gt;1,"Duplicate","Unique"))</x:f>
        <x:v>Unique</x:v>
      </x:c>
      <x:c r="K104" s="11" t="n">
        <x:f>IF(A104="",1,0)+IF(B104="",1,0)+IF(C104="Review",1,0)+IF(D104="",1,0)+IF(OR(E104="",E104&lt;=0),1,0)+IF(OR(F104="",F104&lt;=0),1,0)+IF(G104="",1,0)+IF(H104="Missing",1,0)+IF(I104="Review",1,0)+IF(J104="Duplicate",1,0)</x:f>
        <x:v>0</x:v>
      </x:c>
      <x:c r="L104" s="12" t="str">
        <x:f>IF(A104="","Missing order ID; ","")&amp;IF(B104="","Missing school; ","")&amp;IF(C104="Review","Unmapped region; ","")&amp;IF(D104="","Missing product; ","")&amp;IF(OR(E104="",E104&lt;=0),"Invalid units; ","")&amp;IF(OR(F104="",F104&lt;=0),"Invalid amount; ","")&amp;IF(G104="","Invalid date; ","")&amp;IF(H104="Missing","Missing sales rep; ","")&amp;IF(I104="Review","Unmapped payment status; ","")&amp;IF(J104="Duplicate","Duplicate ID; ","")</x:f>
      </x:c>
      <x:c r="M104" t="str">
        <x:f>IF(K104=0,"Ready","Review")</x:f>
        <x:v>Ready</x:v>
      </x:c>
    </x:row>
    <x:row r="105">
      <x:c r="A105" t="str">
        <x:f>UPPER(TRIM('Raw Sales'!A105))</x:f>
        <x:v>SAL-26-0100</x:v>
      </x:c>
      <x:c r="B105" t="str">
        <x:f>PROPER(TRIM('Raw Sales'!B105))</x:f>
        <x:v>Lakeside School</x:v>
      </x:c>
      <x:c r="C105" t="str">
        <x:f>IF(OR(UPPER(TRIM('Raw Sales'!C105))="BOCHUM",UPPER(TRIM('Raw Sales'!C105))="BOCHUM REGION"),"Bochum",IF(OR(UPPER(TRIM('Raw Sales'!C105))="ELDORADO",UPPER(TRIM('Raw Sales'!C105))="ELDOS"),"Eldorado","Review"))</x:f>
        <x:v>Bochum</x:v>
      </x:c>
      <x:c r="D105" t="str">
        <x:f>PROPER(TRIM('Raw Sales'!D105))</x:f>
        <x:v>Folders</x:v>
      </x:c>
      <x:c r="E105" s="8" t="n">
        <x:f>IFERROR(VALUE('Raw Sales'!E105),"")</x:f>
        <x:v>17</x:v>
      </x:c>
      <x:c r="F105" s="9" t="n">
        <x:v>901</x:v>
      </x:c>
      <x:c r="G105" s="10" t="n">
        <x:f>IFERROR(IF(OR(MID(TRIM('Raw Sales'!G105),5,1)="-",MID(TRIM('Raw Sales'!G105),5,1)="/"),DATE(VALUE(LEFT(TRIM('Raw Sales'!G105),4)),VALUE(MID(TRIM('Raw Sales'!G105),6,2)),VALUE(RIGHT(TRIM('Raw Sales'!G105),2))),IF(LEN(TRIM('Raw Sales'!G105))=10,DATE(VALUE(RIGHT(TRIM('Raw Sales'!G105),4)),VALUE(MID(TRIM('Raw Sales'!G105),4,2)),VALUE(LEFT(TRIM('Raw Sales'!G105),2))),IF(LEN(TRIM('Raw Sales'!G105))=8,DATE(2000+VALUE(RIGHT(TRIM('Raw Sales'!G105),2)),VALUE(MID(TRIM('Raw Sales'!G105),4,2)),VALUE(LEFT(TRIM('Raw Sales'!G105),2))),""))),"")</x:f>
        <x:v>46144</x:v>
      </x:c>
      <x:c r="H105" t="str">
        <x:f>IF(TRIM('Raw Sales'!H105)="","Missing",PROPER(TRIM('Raw Sales'!H105)))</x:f>
        <x:v>Lebo Nkosi</x:v>
      </x:c>
      <x:c r="I105" t="str">
        <x:f>IF(OR(UPPER(TRIM('Raw Sales'!I105))="PAID",UPPER(TRIM('Raw Sales'!I105))="SETTLED",UPPER(TRIM('Raw Sales'!I105))="COMPLETE"),"Paid",IF(UPPER(TRIM('Raw Sales'!I105))="PENDING","Pending","Review"))</x:f>
        <x:v>Pending</x:v>
      </x:c>
      <x:c r="J105" t="str">
        <x:f>IF(A105="","Missing",IF(COUNTIF($A$6:A105,A105)&gt;1,"Duplicate","Unique"))</x:f>
        <x:v>Unique</x:v>
      </x:c>
      <x:c r="K105" s="11" t="n">
        <x:f>IF(A105="",1,0)+IF(B105="",1,0)+IF(C105="Review",1,0)+IF(D105="",1,0)+IF(OR(E105="",E105&lt;=0),1,0)+IF(OR(F105="",F105&lt;=0),1,0)+IF(G105="",1,0)+IF(H105="Missing",1,0)+IF(I105="Review",1,0)+IF(J105="Duplicate",1,0)</x:f>
        <x:v>0</x:v>
      </x:c>
      <x:c r="L105" s="12" t="str">
        <x:f>IF(A105="","Missing order ID; ","")&amp;IF(B105="","Missing school; ","")&amp;IF(C105="Review","Unmapped region; ","")&amp;IF(D105="","Missing product; ","")&amp;IF(OR(E105="",E105&lt;=0),"Invalid units; ","")&amp;IF(OR(F105="",F105&lt;=0),"Invalid amount; ","")&amp;IF(G105="","Invalid date; ","")&amp;IF(H105="Missing","Missing sales rep; ","")&amp;IF(I105="Review","Unmapped payment status; ","")&amp;IF(J105="Duplicate","Duplicate ID; ","")</x:f>
      </x:c>
      <x:c r="M105" t="str">
        <x:f>IF(K105=0,"Ready","Review")</x:f>
        <x:v>Ready</x:v>
      </x:c>
    </x:row>
    <x:row r="106">
      <x:c r="A106" t="str">
        <x:f>UPPER(TRIM('Raw Sales'!A106))</x:f>
        <x:v>SAL-26-0101</x:v>
      </x:c>
      <x:c r="B106" t="str">
        <x:f>PROPER(TRIM('Raw Sales'!B106))</x:f>
        <x:v>Valley Primary</x:v>
      </x:c>
      <x:c r="C106" t="str">
        <x:f>IF(OR(UPPER(TRIM('Raw Sales'!C106))="BOCHUM",UPPER(TRIM('Raw Sales'!C106))="BOCHUM REGION"),"Bochum",IF(OR(UPPER(TRIM('Raw Sales'!C106))="ELDORADO",UPPER(TRIM('Raw Sales'!C106))="ELDOS"),"Eldorado","Review"))</x:f>
        <x:v>Eldorado</x:v>
      </x:c>
      <x:c r="D106" t="str">
        <x:f>PROPER(TRIM('Raw Sales'!D106))</x:f>
        <x:v>Pens</x:v>
      </x:c>
      <x:c r="E106" s="8" t="n">
        <x:f>IFERROR(VALUE('Raw Sales'!E106),"")</x:f>
        <x:v>24</x:v>
      </x:c>
      <x:c r="F106" s="9" t="n">
        <x:v>1584</x:v>
      </x:c>
      <x:c r="G106" s="10" t="n">
        <x:f>IFERROR(IF(OR(MID(TRIM('Raw Sales'!G106),5,1)="-",MID(TRIM('Raw Sales'!G106),5,1)="/"),DATE(VALUE(LEFT(TRIM('Raw Sales'!G106),4)),VALUE(MID(TRIM('Raw Sales'!G106),6,2)),VALUE(RIGHT(TRIM('Raw Sales'!G106),2))),IF(LEN(TRIM('Raw Sales'!G106))=10,DATE(VALUE(RIGHT(TRIM('Raw Sales'!G106),4)),VALUE(MID(TRIM('Raw Sales'!G106),4,2)),VALUE(LEFT(TRIM('Raw Sales'!G106),2))),IF(LEN(TRIM('Raw Sales'!G106))=8,DATE(2000+VALUE(RIGHT(TRIM('Raw Sales'!G106),2)),VALUE(MID(TRIM('Raw Sales'!G106),4,2)),VALUE(LEFT(TRIM('Raw Sales'!G106),2))),""))),"")</x:f>
        <x:v>46176</x:v>
      </x:c>
      <x:c r="H106" t="str">
        <x:f>IF(TRIM('Raw Sales'!H106)="","Missing",PROPER(TRIM('Raw Sales'!H106)))</x:f>
        <x:v>Thabo Ndlovu</x:v>
      </x:c>
      <x:c r="I106" t="str">
        <x:f>IF(OR(UPPER(TRIM('Raw Sales'!I106))="PAID",UPPER(TRIM('Raw Sales'!I106))="SETTLED",UPPER(TRIM('Raw Sales'!I106))="COMPLETE"),"Paid",IF(UPPER(TRIM('Raw Sales'!I106))="PENDING","Pending","Review"))</x:f>
        <x:v>Paid</x:v>
      </x:c>
      <x:c r="J106" t="str">
        <x:f>IF(A106="","Missing",IF(COUNTIF($A$6:A106,A106)&gt;1,"Duplicate","Unique"))</x:f>
        <x:v>Unique</x:v>
      </x:c>
      <x:c r="K106" s="11" t="n">
        <x:f>IF(A106="",1,0)+IF(B106="",1,0)+IF(C106="Review",1,0)+IF(D106="",1,0)+IF(OR(E106="",E106&lt;=0),1,0)+IF(OR(F106="",F106&lt;=0),1,0)+IF(G106="",1,0)+IF(H106="Missing",1,0)+IF(I106="Review",1,0)+IF(J106="Duplicate",1,0)</x:f>
        <x:v>0</x:v>
      </x:c>
      <x:c r="L106" s="12" t="str">
        <x:f>IF(A106="","Missing order ID; ","")&amp;IF(B106="","Missing school; ","")&amp;IF(C106="Review","Unmapped region; ","")&amp;IF(D106="","Missing product; ","")&amp;IF(OR(E106="",E106&lt;=0),"Invalid units; ","")&amp;IF(OR(F106="",F106&lt;=0),"Invalid amount; ","")&amp;IF(G106="","Invalid date; ","")&amp;IF(H106="Missing","Missing sales rep; ","")&amp;IF(I106="Review","Unmapped payment status; ","")&amp;IF(J106="Duplicate","Duplicate ID; ","")</x:f>
      </x:c>
      <x:c r="M106" t="str">
        <x:f>IF(K106=0,"Ready","Review")</x:f>
        <x:v>Ready</x:v>
      </x:c>
    </x:row>
    <x:row r="107">
      <x:c r="A107" t="str">
        <x:f>UPPER(TRIM('Raw Sales'!A107))</x:f>
        <x:v>SAL-26-0102</x:v>
      </x:c>
      <x:c r="B107" t="str">
        <x:f>PROPER(TRIM('Raw Sales'!B107))</x:f>
        <x:v>Mhlabeni Secondary</x:v>
      </x:c>
      <x:c r="C107" t="str">
        <x:f>IF(OR(UPPER(TRIM('Raw Sales'!C107))="BOCHUM",UPPER(TRIM('Raw Sales'!C107))="BOCHUM REGION"),"Bochum",IF(OR(UPPER(TRIM('Raw Sales'!C107))="ELDORADO",UPPER(TRIM('Raw Sales'!C107))="ELDOS"),"Eldorado","Review"))</x:f>
        <x:v>Eldorado</x:v>
      </x:c>
      <x:c r="D107" t="str">
        <x:f>PROPER(TRIM('Raw Sales'!D107))</x:f>
        <x:v>Glue Sticks</x:v>
      </x:c>
      <x:c r="E107" s="8" t="n">
        <x:f>IFERROR(VALUE('Raw Sales'!E107),"")</x:f>
        <x:v>31</x:v>
      </x:c>
      <x:c r="F107" s="9"/>
      <x:c r="G107" s="10" t="n">
        <x:f>IFERROR(IF(OR(MID(TRIM('Raw Sales'!G107),5,1)="-",MID(TRIM('Raw Sales'!G107),5,1)="/"),DATE(VALUE(LEFT(TRIM('Raw Sales'!G107),4)),VALUE(MID(TRIM('Raw Sales'!G107),6,2)),VALUE(RIGHT(TRIM('Raw Sales'!G107),2))),IF(LEN(TRIM('Raw Sales'!G107))=10,DATE(VALUE(RIGHT(TRIM('Raw Sales'!G107),4)),VALUE(MID(TRIM('Raw Sales'!G107),4,2)),VALUE(LEFT(TRIM('Raw Sales'!G107),2))),IF(LEN(TRIM('Raw Sales'!G107))=8,DATE(2000+VALUE(RIGHT(TRIM('Raw Sales'!G107),2)),VALUE(MID(TRIM('Raw Sales'!G107),4,2)),VALUE(LEFT(TRIM('Raw Sales'!G107),2))),""))),"")</x:f>
        <x:v>46207</x:v>
      </x:c>
      <x:c r="H107" t="str">
        <x:f>IF(TRIM('Raw Sales'!H107)="","Missing",PROPER(TRIM('Raw Sales'!H107)))</x:f>
        <x:v>Lebo Nkosi</x:v>
      </x:c>
      <x:c r="I107" t="str">
        <x:f>IF(OR(UPPER(TRIM('Raw Sales'!I107))="PAID",UPPER(TRIM('Raw Sales'!I107))="SETTLED",UPPER(TRIM('Raw Sales'!I107))="COMPLETE"),"Paid",IF(UPPER(TRIM('Raw Sales'!I107))="PENDING","Pending","Review"))</x:f>
        <x:v>Paid</x:v>
      </x:c>
      <x:c r="J107" t="str">
        <x:f>IF(A107="","Missing",IF(COUNTIF($A$6:A107,A107)&gt;1,"Duplicate","Unique"))</x:f>
        <x:v>Unique</x:v>
      </x:c>
      <x:c r="K107" s="11" t="n">
        <x:f>IF(A107="",1,0)+IF(B107="",1,0)+IF(C107="Review",1,0)+IF(D107="",1,0)+IF(OR(E107="",E107&lt;=0),1,0)+IF(OR(F107="",F107&lt;=0),1,0)+IF(G107="",1,0)+IF(H107="Missing",1,0)+IF(I107="Review",1,0)+IF(J107="Duplicate",1,0)</x:f>
        <x:v>1</x:v>
      </x:c>
      <x:c r="L107" s="12" t="str">
        <x:f>IF(A107="","Missing order ID; ","")&amp;IF(B107="","Missing school; ","")&amp;IF(C107="Review","Unmapped region; ","")&amp;IF(D107="","Missing product; ","")&amp;IF(OR(E107="",E107&lt;=0),"Invalid units; ","")&amp;IF(OR(F107="",F107&lt;=0),"Invalid amount; ","")&amp;IF(G107="","Invalid date; ","")&amp;IF(H107="Missing","Missing sales rep; ","")&amp;IF(I107="Review","Unmapped payment status; ","")&amp;IF(J107="Duplicate","Duplicate ID; ","")</x:f>
        <x:v>Invalid amount; </x:v>
      </x:c>
      <x:c r="M107" t="str">
        <x:f>IF(K107=0,"Ready","Review")</x:f>
        <x:v>Review</x:v>
      </x:c>
    </x:row>
    <x:row r="108">
      <x:c r="A108" t="str">
        <x:f>UPPER(TRIM('Raw Sales'!A108))</x:f>
        <x:v>SAL-26-0103</x:v>
      </x:c>
      <x:c r="B108" t="str">
        <x:f>PROPER(TRIM('Raw Sales'!B108))</x:f>
        <x:v>Meadowlands School</x:v>
      </x:c>
      <x:c r="C108" t="str">
        <x:f>IF(OR(UPPER(TRIM('Raw Sales'!C108))="BOCHUM",UPPER(TRIM('Raw Sales'!C108))="BOCHUM REGION"),"Bochum",IF(OR(UPPER(TRIM('Raw Sales'!C108))="ELDORADO",UPPER(TRIM('Raw Sales'!C108))="ELDOS"),"Eldorado","Review"))</x:f>
        <x:v>Bochum</x:v>
      </x:c>
      <x:c r="D108" t="str">
        <x:f>PROPER(TRIM('Raw Sales'!D108))</x:f>
        <x:v>Markers</x:v>
      </x:c>
      <x:c r="E108" s="8" t="n">
        <x:f>IFERROR(VALUE('Raw Sales'!E108),"")</x:f>
        <x:v>2</x:v>
      </x:c>
      <x:c r="F108" s="9" t="n">
        <x:v>184</x:v>
      </x:c>
      <x:c r="G108" s="10" t="n">
        <x:f>IFERROR(IF(OR(MID(TRIM('Raw Sales'!G108),5,1)="-",MID(TRIM('Raw Sales'!G108),5,1)="/"),DATE(VALUE(LEFT(TRIM('Raw Sales'!G108),4)),VALUE(MID(TRIM('Raw Sales'!G108),6,2)),VALUE(RIGHT(TRIM('Raw Sales'!G108),2))),IF(LEN(TRIM('Raw Sales'!G108))=10,DATE(VALUE(RIGHT(TRIM('Raw Sales'!G108),4)),VALUE(MID(TRIM('Raw Sales'!G108),4,2)),VALUE(LEFT(TRIM('Raw Sales'!G108),2))),IF(LEN(TRIM('Raw Sales'!G108))=8,DATE(2000+VALUE(RIGHT(TRIM('Raw Sales'!G108),2)),VALUE(MID(TRIM('Raw Sales'!G108),4,2)),VALUE(LEFT(TRIM('Raw Sales'!G108),2))),""))),"")</x:f>
        <x:v>46239</x:v>
      </x:c>
      <x:c r="H108" t="str">
        <x:f>IF(TRIM('Raw Sales'!H108)="","Missing",PROPER(TRIM('Raw Sales'!H108)))</x:f>
        <x:v>Thabo Ndlovu</x:v>
      </x:c>
      <x:c r="I108" t="str">
        <x:f>IF(OR(UPPER(TRIM('Raw Sales'!I108))="PAID",UPPER(TRIM('Raw Sales'!I108))="SETTLED",UPPER(TRIM('Raw Sales'!I108))="COMPLETE"),"Paid",IF(UPPER(TRIM('Raw Sales'!I108))="PENDING","Pending","Review"))</x:f>
        <x:v>Pending</x:v>
      </x:c>
      <x:c r="J108" t="str">
        <x:f>IF(A108="","Missing",IF(COUNTIF($A$6:A108,A108)&gt;1,"Duplicate","Unique"))</x:f>
        <x:v>Unique</x:v>
      </x:c>
      <x:c r="K108" s="11" t="n">
        <x:f>IF(A108="",1,0)+IF(B108="",1,0)+IF(C108="Review",1,0)+IF(D108="",1,0)+IF(OR(E108="",E108&lt;=0),1,0)+IF(OR(F108="",F108&lt;=0),1,0)+IF(G108="",1,0)+IF(H108="Missing",1,0)+IF(I108="Review",1,0)+IF(J108="Duplicate",1,0)</x:f>
        <x:v>0</x:v>
      </x:c>
      <x:c r="L108" s="12" t="str">
        <x:f>IF(A108="","Missing order ID; ","")&amp;IF(B108="","Missing school; ","")&amp;IF(C108="Review","Unmapped region; ","")&amp;IF(D108="","Missing product; ","")&amp;IF(OR(E108="",E108&lt;=0),"Invalid units; ","")&amp;IF(OR(F108="",F108&lt;=0),"Invalid amount; ","")&amp;IF(G108="","Invalid date; ","")&amp;IF(H108="Missing","Missing sales rep; ","")&amp;IF(I108="Review","Unmapped payment status; ","")&amp;IF(J108="Duplicate","Duplicate ID; ","")</x:f>
      </x:c>
      <x:c r="M108" t="str">
        <x:f>IF(K108=0,"Ready","Review")</x:f>
        <x:v>Ready</x:v>
      </x:c>
    </x:row>
    <x:row r="109">
      <x:c r="A109" t="str">
        <x:f>UPPER(TRIM('Raw Sales'!A109))</x:f>
        <x:v>SAL-26-0104</x:v>
      </x:c>
      <x:c r="B109" t="str">
        <x:f>PROPER(TRIM('Raw Sales'!B109))</x:f>
        <x:v>Gardenview School</x:v>
      </x:c>
      <x:c r="C109" t="str">
        <x:f>IF(OR(UPPER(TRIM('Raw Sales'!C109))="BOCHUM",UPPER(TRIM('Raw Sales'!C109))="BOCHUM REGION"),"Bochum",IF(OR(UPPER(TRIM('Raw Sales'!C109))="ELDORADO",UPPER(TRIM('Raw Sales'!C109))="ELDOS"),"Eldorado","Review"))</x:f>
        <x:v>Eldorado</x:v>
      </x:c>
      <x:c r="D109" t="str">
        <x:f>PROPER(TRIM('Raw Sales'!D109))</x:f>
        <x:v>Notebooks</x:v>
      </x:c>
      <x:c r="E109" s="8" t="n">
        <x:f>IFERROR(VALUE('Raw Sales'!E109),"")</x:f>
        <x:v>9</x:v>
      </x:c>
      <x:c r="F109" s="9" t="n">
        <x:v>945</x:v>
      </x:c>
      <x:c r="G109" s="10" t="n">
        <x:f>IFERROR(IF(OR(MID(TRIM('Raw Sales'!G109),5,1)="-",MID(TRIM('Raw Sales'!G109),5,1)="/"),DATE(VALUE(LEFT(TRIM('Raw Sales'!G109),4)),VALUE(MID(TRIM('Raw Sales'!G109),6,2)),VALUE(RIGHT(TRIM('Raw Sales'!G109),2))),IF(LEN(TRIM('Raw Sales'!G109))=10,DATE(VALUE(RIGHT(TRIM('Raw Sales'!G109),4)),VALUE(MID(TRIM('Raw Sales'!G109),4,2)),VALUE(LEFT(TRIM('Raw Sales'!G109),2))),IF(LEN(TRIM('Raw Sales'!G109))=8,DATE(2000+VALUE(RIGHT(TRIM('Raw Sales'!G109),2)),VALUE(MID(TRIM('Raw Sales'!G109),4,2)),VALUE(LEFT(TRIM('Raw Sales'!G109),2))),""))),"")</x:f>
        <x:v>46028</x:v>
      </x:c>
      <x:c r="H109" t="str">
        <x:f>IF(TRIM('Raw Sales'!H109)="","Missing",PROPER(TRIM('Raw Sales'!H109)))</x:f>
        <x:v>Lebo Nkosi</x:v>
      </x:c>
      <x:c r="I109" t="str">
        <x:f>IF(OR(UPPER(TRIM('Raw Sales'!I109))="PAID",UPPER(TRIM('Raw Sales'!I109))="SETTLED",UPPER(TRIM('Raw Sales'!I109))="COMPLETE"),"Paid",IF(UPPER(TRIM('Raw Sales'!I109))="PENDING","Pending","Review"))</x:f>
        <x:v>Paid</x:v>
      </x:c>
      <x:c r="J109" t="str">
        <x:f>IF(A109="","Missing",IF(COUNTIF($A$6:A109,A109)&gt;1,"Duplicate","Unique"))</x:f>
        <x:v>Unique</x:v>
      </x:c>
      <x:c r="K109" s="11" t="n">
        <x:f>IF(A109="",1,0)+IF(B109="",1,0)+IF(C109="Review",1,0)+IF(D109="",1,0)+IF(OR(E109="",E109&lt;=0),1,0)+IF(OR(F109="",F109&lt;=0),1,0)+IF(G109="",1,0)+IF(H109="Missing",1,0)+IF(I109="Review",1,0)+IF(J109="Duplicate",1,0)</x:f>
        <x:v>0</x:v>
      </x:c>
      <x:c r="L109" s="12" t="str">
        <x:f>IF(A109="","Missing order ID; ","")&amp;IF(B109="","Missing school; ","")&amp;IF(C109="Review","Unmapped region; ","")&amp;IF(D109="","Missing product; ","")&amp;IF(OR(E109="",E109&lt;=0),"Invalid units; ","")&amp;IF(OR(F109="",F109&lt;=0),"Invalid amount; ","")&amp;IF(G109="","Invalid date; ","")&amp;IF(H109="Missing","Missing sales rep; ","")&amp;IF(I109="Review","Unmapped payment status; ","")&amp;IF(J109="Duplicate","Duplicate ID; ","")</x:f>
      </x:c>
      <x:c r="M109" t="str">
        <x:f>IF(K109=0,"Ready","Review")</x:f>
        <x:v>Ready</x:v>
      </x:c>
    </x:row>
    <x:row r="110">
      <x:c r="A110" t="str">
        <x:f>UPPER(TRIM('Raw Sales'!A110))</x:f>
        <x:v>SAL-26-0105</x:v>
      </x:c>
      <x:c r="B110" t="str">
        <x:f>PROPER(TRIM('Raw Sales'!B110))</x:f>
        <x:v>Riverside Academy</x:v>
      </x:c>
      <x:c r="C110" t="str">
        <x:f>IF(OR(UPPER(TRIM('Raw Sales'!C110))="BOCHUM",UPPER(TRIM('Raw Sales'!C110))="BOCHUM REGION"),"Bochum",IF(OR(UPPER(TRIM('Raw Sales'!C110))="ELDORADO",UPPER(TRIM('Raw Sales'!C110))="ELDOS"),"Eldorado","Review"))</x:f>
        <x:v>Bochum</x:v>
      </x:c>
      <x:c r="D110" t="str">
        <x:f>PROPER(TRIM('Raw Sales'!D110))</x:f>
        <x:v>Rulers</x:v>
      </x:c>
      <x:c r="E110" s="8" t="n">
        <x:f>IFERROR(VALUE('Raw Sales'!E110),"")</x:f>
        <x:v>16</x:v>
      </x:c>
      <x:c r="F110" s="9" t="n">
        <x:v>1888</x:v>
      </x:c>
      <x:c r="G110" s="10" t="n">
        <x:f>IFERROR(IF(OR(MID(TRIM('Raw Sales'!G110),5,1)="-",MID(TRIM('Raw Sales'!G110),5,1)="/"),DATE(VALUE(LEFT(TRIM('Raw Sales'!G110),4)),VALUE(MID(TRIM('Raw Sales'!G110),6,2)),VALUE(RIGHT(TRIM('Raw Sales'!G110),2))),IF(LEN(TRIM('Raw Sales'!G110))=10,DATE(VALUE(RIGHT(TRIM('Raw Sales'!G110),4)),VALUE(MID(TRIM('Raw Sales'!G110),4,2)),VALUE(LEFT(TRIM('Raw Sales'!G110),2))),IF(LEN(TRIM('Raw Sales'!G110))=8,DATE(2000+VALUE(RIGHT(TRIM('Raw Sales'!G110),2)),VALUE(MID(TRIM('Raw Sales'!G110),4,2)),VALUE(LEFT(TRIM('Raw Sales'!G110),2))),""))),"")</x:f>
        <x:v>46060</x:v>
      </x:c>
      <x:c r="H110" t="str">
        <x:f>IF(TRIM('Raw Sales'!H110)="","Missing",PROPER(TRIM('Raw Sales'!H110)))</x:f>
        <x:v>Thabo Ndlovu</x:v>
      </x:c>
      <x:c r="I110" t="str">
        <x:f>IF(OR(UPPER(TRIM('Raw Sales'!I110))="PAID",UPPER(TRIM('Raw Sales'!I110))="SETTLED",UPPER(TRIM('Raw Sales'!I110))="COMPLETE"),"Paid",IF(UPPER(TRIM('Raw Sales'!I110))="PENDING","Pending","Review"))</x:f>
        <x:v>Paid</x:v>
      </x:c>
      <x:c r="J110" t="str">
        <x:f>IF(A110="","Missing",IF(COUNTIF($A$6:A110,A110)&gt;1,"Duplicate","Unique"))</x:f>
        <x:v>Unique</x:v>
      </x:c>
      <x:c r="K110" s="11" t="n">
        <x:f>IF(A110="",1,0)+IF(B110="",1,0)+IF(C110="Review",1,0)+IF(D110="",1,0)+IF(OR(E110="",E110&lt;=0),1,0)+IF(OR(F110="",F110&lt;=0),1,0)+IF(G110="",1,0)+IF(H110="Missing",1,0)+IF(I110="Review",1,0)+IF(J110="Duplicate",1,0)</x:f>
        <x:v>0</x:v>
      </x:c>
      <x:c r="L110" s="12" t="str">
        <x:f>IF(A110="","Missing order ID; ","")&amp;IF(B110="","Missing school; ","")&amp;IF(C110="Review","Unmapped region; ","")&amp;IF(D110="","Missing product; ","")&amp;IF(OR(E110="",E110&lt;=0),"Invalid units; ","")&amp;IF(OR(F110="",F110&lt;=0),"Invalid amount; ","")&amp;IF(G110="","Invalid date; ","")&amp;IF(H110="Missing","Missing sales rep; ","")&amp;IF(I110="Review","Unmapped payment status; ","")&amp;IF(J110="Duplicate","Duplicate ID; ","")</x:f>
      </x:c>
      <x:c r="M110" t="str">
        <x:f>IF(K110=0,"Ready","Review")</x:f>
        <x:v>Ready</x:v>
      </x:c>
    </x:row>
    <x:row r="111">
      <x:c r="A111" t="str">
        <x:f>UPPER(TRIM('Raw Sales'!A111))</x:f>
        <x:v>SAL-26-0106</x:v>
      </x:c>
      <x:c r="B111" t="str">
        <x:f>PROPER(TRIM('Raw Sales'!B111))</x:f>
        <x:v>Maple Secondary</x:v>
      </x:c>
      <x:c r="C111" t="str">
        <x:f>IF(OR(UPPER(TRIM('Raw Sales'!C111))="BOCHUM",UPPER(TRIM('Raw Sales'!C111))="BOCHUM REGION"),"Bochum",IF(OR(UPPER(TRIM('Raw Sales'!C111))="ELDORADO",UPPER(TRIM('Raw Sales'!C111))="ELDOS"),"Eldorado","Review"))</x:f>
        <x:v>Eldorado</x:v>
      </x:c>
      <x:c r="D111" t="str">
        <x:f>PROPER(TRIM('Raw Sales'!D111))</x:f>
        <x:v>Exercise Books</x:v>
      </x:c>
      <x:c r="E111" s="8" t="n">
        <x:f>IFERROR(VALUE('Raw Sales'!E111),"")</x:f>
        <x:v>23</x:v>
      </x:c>
      <x:c r="F111" s="9" t="n">
        <x:v>3013</x:v>
      </x:c>
      <x:c r="G111" s="10" t="n">
        <x:f>IFERROR(IF(OR(MID(TRIM('Raw Sales'!G111),5,1)="-",MID(TRIM('Raw Sales'!G111),5,1)="/"),DATE(VALUE(LEFT(TRIM('Raw Sales'!G111),4)),VALUE(MID(TRIM('Raw Sales'!G111),6,2)),VALUE(RIGHT(TRIM('Raw Sales'!G111),2))),IF(LEN(TRIM('Raw Sales'!G111))=10,DATE(VALUE(RIGHT(TRIM('Raw Sales'!G111),4)),VALUE(MID(TRIM('Raw Sales'!G111),4,2)),VALUE(LEFT(TRIM('Raw Sales'!G111),2))),IF(LEN(TRIM('Raw Sales'!G111))=8,DATE(2000+VALUE(RIGHT(TRIM('Raw Sales'!G111),2)),VALUE(MID(TRIM('Raw Sales'!G111),4,2)),VALUE(LEFT(TRIM('Raw Sales'!G111),2))),""))),"")</x:f>
        <x:v>46612</x:v>
      </x:c>
      <x:c r="H111" t="str">
        <x:f>IF(TRIM('Raw Sales'!H111)="","Missing",PROPER(TRIM('Raw Sales'!H111)))</x:f>
        <x:v>Lebo Nkosi</x:v>
      </x:c>
      <x:c r="I111" t="str">
        <x:f>IF(OR(UPPER(TRIM('Raw Sales'!I111))="PAID",UPPER(TRIM('Raw Sales'!I111))="SETTLED",UPPER(TRIM('Raw Sales'!I111))="COMPLETE"),"Paid",IF(UPPER(TRIM('Raw Sales'!I111))="PENDING","Pending","Review"))</x:f>
        <x:v>Pending</x:v>
      </x:c>
      <x:c r="J111" t="str">
        <x:f>IF(A111="","Missing",IF(COUNTIF($A$6:A111,A111)&gt;1,"Duplicate","Unique"))</x:f>
        <x:v>Unique</x:v>
      </x:c>
      <x:c r="K111" s="11" t="n">
        <x:f>IF(A111="",1,0)+IF(B111="",1,0)+IF(C111="Review",1,0)+IF(D111="",1,0)+IF(OR(E111="",E111&lt;=0),1,0)+IF(OR(F111="",F111&lt;=0),1,0)+IF(G111="",1,0)+IF(H111="Missing",1,0)+IF(I111="Review",1,0)+IF(J111="Duplicate",1,0)</x:f>
        <x:v>0</x:v>
      </x:c>
      <x:c r="L111" s="12" t="str">
        <x:f>IF(A111="","Missing order ID; ","")&amp;IF(B111="","Missing school; ","")&amp;IF(C111="Review","Unmapped region; ","")&amp;IF(D111="","Missing product; ","")&amp;IF(OR(E111="",E111&lt;=0),"Invalid units; ","")&amp;IF(OR(F111="",F111&lt;=0),"Invalid amount; ","")&amp;IF(G111="","Invalid date; ","")&amp;IF(H111="Missing","Missing sales rep; ","")&amp;IF(I111="Review","Unmapped payment status; ","")&amp;IF(J111="Duplicate","Duplicate ID; ","")</x:f>
      </x:c>
      <x:c r="M111" t="str">
        <x:f>IF(K111=0,"Ready","Review")</x:f>
        <x:v>Ready</x:v>
      </x:c>
    </x:row>
    <x:row r="112">
      <x:c r="A112" t="str">
        <x:f>UPPER(TRIM('Raw Sales'!A112))</x:f>
        <x:v>SAL-26-0107</x:v>
      </x:c>
      <x:c r="B112" t="str">
        <x:f>PROPER(TRIM('Raw Sales'!B112))</x:f>
        <x:v>Pinecrest School</x:v>
      </x:c>
      <x:c r="C112" t="str">
        <x:f>IF(OR(UPPER(TRIM('Raw Sales'!C112))="BOCHUM",UPPER(TRIM('Raw Sales'!C112))="BOCHUM REGION"),"Bochum",IF(OR(UPPER(TRIM('Raw Sales'!C112))="ELDORADO",UPPER(TRIM('Raw Sales'!C112))="ELDOS"),"Eldorado","Review"))</x:f>
        <x:v>Bochum</x:v>
      </x:c>
      <x:c r="D112" t="str">
        <x:f>PROPER(TRIM('Raw Sales'!D112))</x:f>
        <x:v>Pencils</x:v>
      </x:c>
      <x:c r="E112" s="8" t="n">
        <x:f>IFERROR(VALUE('Raw Sales'!E112),"")</x:f>
        <x:v>30</x:v>
      </x:c>
      <x:c r="F112" s="9" t="n">
        <x:v>4320</x:v>
      </x:c>
      <x:c r="G112" s="10" t="n">
        <x:f>IFERROR(IF(OR(MID(TRIM('Raw Sales'!G112),5,1)="-",MID(TRIM('Raw Sales'!G112),5,1)="/"),DATE(VALUE(LEFT(TRIM('Raw Sales'!G112),4)),VALUE(MID(TRIM('Raw Sales'!G112),6,2)),VALUE(RIGHT(TRIM('Raw Sales'!G112),2))),IF(LEN(TRIM('Raw Sales'!G112))=10,DATE(VALUE(RIGHT(TRIM('Raw Sales'!G112),4)),VALUE(MID(TRIM('Raw Sales'!G112),4,2)),VALUE(LEFT(TRIM('Raw Sales'!G112),2))),IF(LEN(TRIM('Raw Sales'!G112))=8,DATE(2000+VALUE(RIGHT(TRIM('Raw Sales'!G112),2)),VALUE(MID(TRIM('Raw Sales'!G112),4,2)),VALUE(LEFT(TRIM('Raw Sales'!G112),2))),""))),"")</x:f>
        <x:v>46121</x:v>
      </x:c>
      <x:c r="H112" t="str">
        <x:f>IF(TRIM('Raw Sales'!H112)="","Missing",PROPER(TRIM('Raw Sales'!H112)))</x:f>
        <x:v>Thabo Ndlovu</x:v>
      </x:c>
      <x:c r="I112" t="str">
        <x:f>IF(OR(UPPER(TRIM('Raw Sales'!I112))="PAID",UPPER(TRIM('Raw Sales'!I112))="SETTLED",UPPER(TRIM('Raw Sales'!I112))="COMPLETE"),"Paid",IF(UPPER(TRIM('Raw Sales'!I112))="PENDING","Pending","Review"))</x:f>
        <x:v>Paid</x:v>
      </x:c>
      <x:c r="J112" t="str">
        <x:f>IF(A112="","Missing",IF(COUNTIF($A$6:A112,A112)&gt;1,"Duplicate","Unique"))</x:f>
        <x:v>Unique</x:v>
      </x:c>
      <x:c r="K112" s="11" t="n">
        <x:f>IF(A112="",1,0)+IF(B112="",1,0)+IF(C112="Review",1,0)+IF(D112="",1,0)+IF(OR(E112="",E112&lt;=0),1,0)+IF(OR(F112="",F112&lt;=0),1,0)+IF(G112="",1,0)+IF(H112="Missing",1,0)+IF(I112="Review",1,0)+IF(J112="Duplicate",1,0)</x:f>
        <x:v>0</x:v>
      </x:c>
      <x:c r="L112" s="12" t="str">
        <x:f>IF(A112="","Missing order ID; ","")&amp;IF(B112="","Missing school; ","")&amp;IF(C112="Review","Unmapped region; ","")&amp;IF(D112="","Missing product; ","")&amp;IF(OR(E112="",E112&lt;=0),"Invalid units; ","")&amp;IF(OR(F112="",F112&lt;=0),"Invalid amount; ","")&amp;IF(G112="","Invalid date; ","")&amp;IF(H112="Missing","Missing sales rep; ","")&amp;IF(I112="Review","Unmapped payment status; ","")&amp;IF(J112="Duplicate","Duplicate ID; ","")</x:f>
      </x:c>
      <x:c r="M112" t="str">
        <x:f>IF(K112=0,"Ready","Review")</x:f>
        <x:v>Ready</x:v>
      </x:c>
    </x:row>
    <x:row r="113">
      <x:c r="A113" t="str">
        <x:f>UPPER(TRIM('Raw Sales'!A113))</x:f>
        <x:v>SAL-26-0108</x:v>
      </x:c>
      <x:c r="B113" t="str">
        <x:f>PROPER(TRIM('Raw Sales'!B113))</x:f>
        <x:v>Northstar Academy</x:v>
      </x:c>
      <x:c r="C113" t="str">
        <x:f>IF(OR(UPPER(TRIM('Raw Sales'!C113))="BOCHUM",UPPER(TRIM('Raw Sales'!C113))="BOCHUM REGION"),"Bochum",IF(OR(UPPER(TRIM('Raw Sales'!C113))="ELDORADO",UPPER(TRIM('Raw Sales'!C113))="ELDOS"),"Eldorado","Review"))</x:f>
        <x:v>Bochum</x:v>
      </x:c>
      <x:c r="D113" t="str">
        <x:f>PROPER(TRIM('Raw Sales'!D113))</x:f>
        <x:v>Folders</x:v>
      </x:c>
      <x:c r="E113" s="8" t="n">
        <x:f>IFERROR(VALUE('Raw Sales'!E113),"")</x:f>
        <x:v>1</x:v>
      </x:c>
      <x:c r="F113" s="9" t="n">
        <x:v>157</x:v>
      </x:c>
      <x:c r="G113" s="10" t="n">
        <x:f>IFERROR(IF(OR(MID(TRIM('Raw Sales'!G113),5,1)="-",MID(TRIM('Raw Sales'!G113),5,1)="/"),DATE(VALUE(LEFT(TRIM('Raw Sales'!G113),4)),VALUE(MID(TRIM('Raw Sales'!G113),6,2)),VALUE(RIGHT(TRIM('Raw Sales'!G113),2))),IF(LEN(TRIM('Raw Sales'!G113))=10,DATE(VALUE(RIGHT(TRIM('Raw Sales'!G113),4)),VALUE(MID(TRIM('Raw Sales'!G113),4,2)),VALUE(LEFT(TRIM('Raw Sales'!G113),2))),IF(LEN(TRIM('Raw Sales'!G113))=8,DATE(2000+VALUE(RIGHT(TRIM('Raw Sales'!G113),2)),VALUE(MID(TRIM('Raw Sales'!G113),4,2)),VALUE(LEFT(TRIM('Raw Sales'!G113),2))),""))),"")</x:f>
        <x:v>46152</x:v>
      </x:c>
      <x:c r="H113" t="str">
        <x:f>IF(TRIM('Raw Sales'!H113)="","Missing",PROPER(TRIM('Raw Sales'!H113)))</x:f>
        <x:v>Lebo Nkosi</x:v>
      </x:c>
      <x:c r="I113" t="str">
        <x:f>IF(OR(UPPER(TRIM('Raw Sales'!I113))="PAID",UPPER(TRIM('Raw Sales'!I113))="SETTLED",UPPER(TRIM('Raw Sales'!I113))="COMPLETE"),"Paid",IF(UPPER(TRIM('Raw Sales'!I113))="PENDING","Pending","Review"))</x:f>
        <x:v>Pending</x:v>
      </x:c>
      <x:c r="J113" t="str">
        <x:f>IF(A113="","Missing",IF(COUNTIF($A$6:A113,A113)&gt;1,"Duplicate","Unique"))</x:f>
        <x:v>Unique</x:v>
      </x:c>
      <x:c r="K113" s="11" t="n">
        <x:f>IF(A113="",1,0)+IF(B113="",1,0)+IF(C113="Review",1,0)+IF(D113="",1,0)+IF(OR(E113="",E113&lt;=0),1,0)+IF(OR(F113="",F113&lt;=0),1,0)+IF(G113="",1,0)+IF(H113="Missing",1,0)+IF(I113="Review",1,0)+IF(J113="Duplicate",1,0)</x:f>
        <x:v>0</x:v>
      </x:c>
      <x:c r="L113" s="12" t="str">
        <x:f>IF(A113="","Missing order ID; ","")&amp;IF(B113="","Missing school; ","")&amp;IF(C113="Review","Unmapped region; ","")&amp;IF(D113="","Missing product; ","")&amp;IF(OR(E113="",E113&lt;=0),"Invalid units; ","")&amp;IF(OR(F113="",F113&lt;=0),"Invalid amount; ","")&amp;IF(G113="","Invalid date; ","")&amp;IF(H113="Missing","Missing sales rep; ","")&amp;IF(I113="Review","Unmapped payment status; ","")&amp;IF(J113="Duplicate","Duplicate ID; ","")</x:f>
      </x:c>
      <x:c r="M113" t="str">
        <x:f>IF(K113=0,"Ready","Review")</x:f>
        <x:v>Ready</x:v>
      </x:c>
    </x:row>
    <x:row r="114">
      <x:c r="A114" t="str">
        <x:f>UPPER(TRIM('Raw Sales'!A114))</x:f>
        <x:v>SAL-26-0109</x:v>
      </x:c>
      <x:c r="B114" t="str">
        <x:f>PROPER(TRIM('Raw Sales'!B114))</x:f>
        <x:v>Crescent Primary</x:v>
      </x:c>
      <x:c r="C114" t="str">
        <x:f>IF(OR(UPPER(TRIM('Raw Sales'!C114))="BOCHUM",UPPER(TRIM('Raw Sales'!C114))="BOCHUM REGION"),"Bochum",IF(OR(UPPER(TRIM('Raw Sales'!C114))="ELDORADO",UPPER(TRIM('Raw Sales'!C114))="ELDOS"),"Eldorado","Review"))</x:f>
        <x:v>Eldorado</x:v>
      </x:c>
      <x:c r="D114" t="str">
        <x:f>PROPER(TRIM('Raw Sales'!D114))</x:f>
        <x:v>Pens</x:v>
      </x:c>
      <x:c r="E114" s="8" t="n">
        <x:f>IFERROR(VALUE('Raw Sales'!E114),"")</x:f>
        <x:v>8</x:v>
      </x:c>
      <x:c r="F114" s="9" t="n">
        <x:v>1360</x:v>
      </x:c>
      <x:c r="G114" s="10" t="n">
        <x:f>IFERROR(IF(OR(MID(TRIM('Raw Sales'!G114),5,1)="-",MID(TRIM('Raw Sales'!G114),5,1)="/"),DATE(VALUE(LEFT(TRIM('Raw Sales'!G114),4)),VALUE(MID(TRIM('Raw Sales'!G114),6,2)),VALUE(RIGHT(TRIM('Raw Sales'!G114),2))),IF(LEN(TRIM('Raw Sales'!G114))=10,DATE(VALUE(RIGHT(TRIM('Raw Sales'!G114),4)),VALUE(MID(TRIM('Raw Sales'!G114),4,2)),VALUE(LEFT(TRIM('Raw Sales'!G114),2))),IF(LEN(TRIM('Raw Sales'!G114))=8,DATE(2000+VALUE(RIGHT(TRIM('Raw Sales'!G114),2)),VALUE(MID(TRIM('Raw Sales'!G114),4,2)),VALUE(LEFT(TRIM('Raw Sales'!G114),2))),""))),"")</x:f>
        <x:v>46184</x:v>
      </x:c>
      <x:c r="H114" t="str">
        <x:f>IF(TRIM('Raw Sales'!H114)="","Missing",PROPER(TRIM('Raw Sales'!H114)))</x:f>
        <x:v>Thabo Ndlovu</x:v>
      </x:c>
      <x:c r="I114" t="str">
        <x:f>IF(OR(UPPER(TRIM('Raw Sales'!I114))="PAID",UPPER(TRIM('Raw Sales'!I114))="SETTLED",UPPER(TRIM('Raw Sales'!I114))="COMPLETE"),"Paid",IF(UPPER(TRIM('Raw Sales'!I114))="PENDING","Pending","Review"))</x:f>
        <x:v>Pending</x:v>
      </x:c>
      <x:c r="J114" t="str">
        <x:f>IF(A114="","Missing",IF(COUNTIF($A$6:A114,A114)&gt;1,"Duplicate","Unique"))</x:f>
        <x:v>Unique</x:v>
      </x:c>
      <x:c r="K114" s="11" t="n">
        <x:f>IF(A114="",1,0)+IF(B114="",1,0)+IF(C114="Review",1,0)+IF(D114="",1,0)+IF(OR(E114="",E114&lt;=0),1,0)+IF(OR(F114="",F114&lt;=0),1,0)+IF(G114="",1,0)+IF(H114="Missing",1,0)+IF(I114="Review",1,0)+IF(J114="Duplicate",1,0)</x:f>
        <x:v>0</x:v>
      </x:c>
      <x:c r="L114" s="12" t="str">
        <x:f>IF(A114="","Missing order ID; ","")&amp;IF(B114="","Missing school; ","")&amp;IF(C114="Review","Unmapped region; ","")&amp;IF(D114="","Missing product; ","")&amp;IF(OR(E114="",E114&lt;=0),"Invalid units; ","")&amp;IF(OR(F114="",F114&lt;=0),"Invalid amount; ","")&amp;IF(G114="","Invalid date; ","")&amp;IF(H114="Missing","Missing sales rep; ","")&amp;IF(I114="Review","Unmapped payment status; ","")&amp;IF(J114="Duplicate","Duplicate ID; ","")</x:f>
      </x:c>
      <x:c r="M114" t="str">
        <x:f>IF(K114=0,"Ready","Review")</x:f>
        <x:v>Ready</x:v>
      </x:c>
    </x:row>
    <x:row r="115">
      <x:c r="A115" t="str">
        <x:f>UPPER(TRIM('Raw Sales'!A115))</x:f>
        <x:v>SAL-26-0110</x:v>
      </x:c>
      <x:c r="B115" t="str">
        <x:f>PROPER(TRIM('Raw Sales'!B115))</x:f>
        <x:v>Hillview Primary</x:v>
      </x:c>
      <x:c r="C115" t="str">
        <x:f>IF(OR(UPPER(TRIM('Raw Sales'!C115))="BOCHUM",UPPER(TRIM('Raw Sales'!C115))="BOCHUM REGION"),"Bochum",IF(OR(UPPER(TRIM('Raw Sales'!C115))="ELDORADO",UPPER(TRIM('Raw Sales'!C115))="ELDOS"),"Eldorado","Review"))</x:f>
        <x:v>Bochum</x:v>
      </x:c>
      <x:c r="D115" t="str">
        <x:f>PROPER(TRIM('Raw Sales'!D115))</x:f>
        <x:v>Glue Sticks</x:v>
      </x:c>
      <x:c r="E115" s="8" t="n">
        <x:f>IFERROR(VALUE('Raw Sales'!E115),"")</x:f>
        <x:v>15</x:v>
      </x:c>
      <x:c r="F115" s="9" t="n">
        <x:v>2745</x:v>
      </x:c>
      <x:c r="G115" s="10" t="n">
        <x:f>IFERROR(IF(OR(MID(TRIM('Raw Sales'!G115),5,1)="-",MID(TRIM('Raw Sales'!G115),5,1)="/"),DATE(VALUE(LEFT(TRIM('Raw Sales'!G115),4)),VALUE(MID(TRIM('Raw Sales'!G115),6,2)),VALUE(RIGHT(TRIM('Raw Sales'!G115),2))),IF(LEN(TRIM('Raw Sales'!G115))=10,DATE(VALUE(RIGHT(TRIM('Raw Sales'!G115),4)),VALUE(MID(TRIM('Raw Sales'!G115),4,2)),VALUE(LEFT(TRIM('Raw Sales'!G115),2))),IF(LEN(TRIM('Raw Sales'!G115))=8,DATE(2000+VALUE(RIGHT(TRIM('Raw Sales'!G115),2)),VALUE(MID(TRIM('Raw Sales'!G115),4,2)),VALUE(LEFT(TRIM('Raw Sales'!G115),2))),""))),"")</x:f>
        <x:v>46215</x:v>
      </x:c>
      <x:c r="H115" t="str">
        <x:f>IF(TRIM('Raw Sales'!H115)="","Missing",PROPER(TRIM('Raw Sales'!H115)))</x:f>
        <x:v>Lebo Nkosi</x:v>
      </x:c>
      <x:c r="I115" t="str">
        <x:f>IF(OR(UPPER(TRIM('Raw Sales'!I115))="PAID",UPPER(TRIM('Raw Sales'!I115))="SETTLED",UPPER(TRIM('Raw Sales'!I115))="COMPLETE"),"Paid",IF(UPPER(TRIM('Raw Sales'!I115))="PENDING","Pending","Review"))</x:f>
        <x:v>Paid</x:v>
      </x:c>
      <x:c r="J115" t="str">
        <x:f>IF(A115="","Missing",IF(COUNTIF($A$6:A115,A115)&gt;1,"Duplicate","Unique"))</x:f>
        <x:v>Unique</x:v>
      </x:c>
      <x:c r="K115" s="11" t="n">
        <x:f>IF(A115="",1,0)+IF(B115="",1,0)+IF(C115="Review",1,0)+IF(D115="",1,0)+IF(OR(E115="",E115&lt;=0),1,0)+IF(OR(F115="",F115&lt;=0),1,0)+IF(G115="",1,0)+IF(H115="Missing",1,0)+IF(I115="Review",1,0)+IF(J115="Duplicate",1,0)</x:f>
        <x:v>0</x:v>
      </x:c>
      <x:c r="L115" s="12" t="str">
        <x:f>IF(A115="","Missing order ID; ","")&amp;IF(B115="","Missing school; ","")&amp;IF(C115="Review","Unmapped region; ","")&amp;IF(D115="","Missing product; ","")&amp;IF(OR(E115="",E115&lt;=0),"Invalid units; ","")&amp;IF(OR(F115="",F115&lt;=0),"Invalid amount; ","")&amp;IF(G115="","Invalid date; ","")&amp;IF(H115="Missing","Missing sales rep; ","")&amp;IF(I115="Review","Unmapped payment status; ","")&amp;IF(J115="Duplicate","Duplicate ID; ","")</x:f>
      </x:c>
      <x:c r="M115" t="str">
        <x:f>IF(K115=0,"Ready","Review")</x:f>
        <x:v>Ready</x:v>
      </x:c>
    </x:row>
    <x:row r="116">
      <x:c r="A116" t="str">
        <x:f>UPPER(TRIM('Raw Sales'!A116))</x:f>
        <x:v>SAL-26-0110</x:v>
      </x:c>
      <x:c r="B116" t="str">
        <x:f>PROPER(TRIM('Raw Sales'!B116))</x:f>
        <x:v>Eastwood Academy</x:v>
      </x:c>
      <x:c r="C116" t="str">
        <x:f>IF(OR(UPPER(TRIM('Raw Sales'!C116))="BOCHUM",UPPER(TRIM('Raw Sales'!C116))="BOCHUM REGION"),"Bochum",IF(OR(UPPER(TRIM('Raw Sales'!C116))="ELDORADO",UPPER(TRIM('Raw Sales'!C116))="ELDOS"),"Eldorado","Review"))</x:f>
        <x:v>Eldorado</x:v>
      </x:c>
      <x:c r="D116" t="str">
        <x:f>PROPER(TRIM('Raw Sales'!D116))</x:f>
        <x:v>Markers</x:v>
      </x:c>
      <x:c r="E116" s="8" t="n">
        <x:f>IFERROR(VALUE('Raw Sales'!E116),"")</x:f>
        <x:v>22</x:v>
      </x:c>
      <x:c r="F116" s="9" t="n">
        <x:v>4312</x:v>
      </x:c>
      <x:c r="G116" s="10" t="n">
        <x:f>IFERROR(IF(OR(MID(TRIM('Raw Sales'!G116),5,1)="-",MID(TRIM('Raw Sales'!G116),5,1)="/"),DATE(VALUE(LEFT(TRIM('Raw Sales'!G116),4)),VALUE(MID(TRIM('Raw Sales'!G116),6,2)),VALUE(RIGHT(TRIM('Raw Sales'!G116),2))),IF(LEN(TRIM('Raw Sales'!G116))=10,DATE(VALUE(RIGHT(TRIM('Raw Sales'!G116),4)),VALUE(MID(TRIM('Raw Sales'!G116),4,2)),VALUE(LEFT(TRIM('Raw Sales'!G116),2))),IF(LEN(TRIM('Raw Sales'!G116))=8,DATE(2000+VALUE(RIGHT(TRIM('Raw Sales'!G116),2)),VALUE(MID(TRIM('Raw Sales'!G116),4,2)),VALUE(LEFT(TRIM('Raw Sales'!G116),2))),""))),"")</x:f>
        <x:v>46247</x:v>
      </x:c>
      <x:c r="H116" t="str">
        <x:f>IF(TRIM('Raw Sales'!H116)="","Missing",PROPER(TRIM('Raw Sales'!H116)))</x:f>
        <x:v>Thabo Ndlovu</x:v>
      </x:c>
      <x:c r="I116" t="str">
        <x:f>IF(OR(UPPER(TRIM('Raw Sales'!I116))="PAID",UPPER(TRIM('Raw Sales'!I116))="SETTLED",UPPER(TRIM('Raw Sales'!I116))="COMPLETE"),"Paid",IF(UPPER(TRIM('Raw Sales'!I116))="PENDING","Pending","Review"))</x:f>
        <x:v>Paid</x:v>
      </x:c>
      <x:c r="J116" t="str">
        <x:f>IF(A116="","Missing",IF(COUNTIF($A$6:A116,A116)&gt;1,"Duplicate","Unique"))</x:f>
        <x:v>Duplicate</x:v>
      </x:c>
      <x:c r="K116" s="11" t="n">
        <x:f>IF(A116="",1,0)+IF(B116="",1,0)+IF(C116="Review",1,0)+IF(D116="",1,0)+IF(OR(E116="",E116&lt;=0),1,0)+IF(OR(F116="",F116&lt;=0),1,0)+IF(G116="",1,0)+IF(H116="Missing",1,0)+IF(I116="Review",1,0)+IF(J116="Duplicate",1,0)</x:f>
        <x:v>1</x:v>
      </x:c>
      <x:c r="L116" s="12" t="str">
        <x:f>IF(A116="","Missing order ID; ","")&amp;IF(B116="","Missing school; ","")&amp;IF(C116="Review","Unmapped region; ","")&amp;IF(D116="","Missing product; ","")&amp;IF(OR(E116="",E116&lt;=0),"Invalid units; ","")&amp;IF(OR(F116="",F116&lt;=0),"Invalid amount; ","")&amp;IF(G116="","Invalid date; ","")&amp;IF(H116="Missing","Missing sales rep; ","")&amp;IF(I116="Review","Unmapped payment status; ","")&amp;IF(J116="Duplicate","Duplicate ID; ","")</x:f>
        <x:v>Duplicate ID; </x:v>
      </x:c>
      <x:c r="M116" t="str">
        <x:f>IF(K116=0,"Ready","Review")</x:f>
        <x:v>Review</x:v>
      </x:c>
    </x:row>
    <x:row r="117">
      <x:c r="A117" t="str">
        <x:f>UPPER(TRIM('Raw Sales'!A117))</x:f>
        <x:v>SAL-26-0112</x:v>
      </x:c>
      <x:c r="B117" t="str">
        <x:f>PROPER(TRIM('Raw Sales'!B117))</x:f>
        <x:v>Lakeside School</x:v>
      </x:c>
      <x:c r="C117" t="str">
        <x:f>IF(OR(UPPER(TRIM('Raw Sales'!C117))="BOCHUM",UPPER(TRIM('Raw Sales'!C117))="BOCHUM REGION"),"Bochum",IF(OR(UPPER(TRIM('Raw Sales'!C117))="ELDORADO",UPPER(TRIM('Raw Sales'!C117))="ELDOS"),"Eldorado","Review"))</x:f>
        <x:v>Bochum</x:v>
      </x:c>
      <x:c r="D117" t="str">
        <x:f>PROPER(TRIM('Raw Sales'!D117))</x:f>
        <x:v>Notebooks</x:v>
      </x:c>
      <x:c r="E117" s="8" t="n">
        <x:f>IFERROR(VALUE('Raw Sales'!E117),"")</x:f>
        <x:v>29</x:v>
      </x:c>
      <x:c r="F117" s="9" t="n">
        <x:v>812</x:v>
      </x:c>
      <x:c r="G117" s="10" t="n">
        <x:f>IFERROR(IF(OR(MID(TRIM('Raw Sales'!G117),5,1)="-",MID(TRIM('Raw Sales'!G117),5,1)="/"),DATE(VALUE(LEFT(TRIM('Raw Sales'!G117),4)),VALUE(MID(TRIM('Raw Sales'!G117),6,2)),VALUE(RIGHT(TRIM('Raw Sales'!G117),2))),IF(LEN(TRIM('Raw Sales'!G117))=10,DATE(VALUE(RIGHT(TRIM('Raw Sales'!G117),4)),VALUE(MID(TRIM('Raw Sales'!G117),4,2)),VALUE(LEFT(TRIM('Raw Sales'!G117),2))),IF(LEN(TRIM('Raw Sales'!G117))=8,DATE(2000+VALUE(RIGHT(TRIM('Raw Sales'!G117),2)),VALUE(MID(TRIM('Raw Sales'!G117),4,2)),VALUE(LEFT(TRIM('Raw Sales'!G117),2))),""))),"")</x:f>
        <x:v>46036</x:v>
      </x:c>
      <x:c r="H117" t="str">
        <x:f>IF(TRIM('Raw Sales'!H117)="","Missing",PROPER(TRIM('Raw Sales'!H117)))</x:f>
        <x:v>Lebo Nkosi</x:v>
      </x:c>
      <x:c r="I117" t="str">
        <x:f>IF(OR(UPPER(TRIM('Raw Sales'!I117))="PAID",UPPER(TRIM('Raw Sales'!I117))="SETTLED",UPPER(TRIM('Raw Sales'!I117))="COMPLETE"),"Paid",IF(UPPER(TRIM('Raw Sales'!I117))="PENDING","Pending","Review"))</x:f>
        <x:v>Pending</x:v>
      </x:c>
      <x:c r="J117" t="str">
        <x:f>IF(A117="","Missing",IF(COUNTIF($A$6:A117,A117)&gt;1,"Duplicate","Unique"))</x:f>
        <x:v>Unique</x:v>
      </x:c>
      <x:c r="K117" s="11" t="n">
        <x:f>IF(A117="",1,0)+IF(B117="",1,0)+IF(C117="Review",1,0)+IF(D117="",1,0)+IF(OR(E117="",E117&lt;=0),1,0)+IF(OR(F117="",F117&lt;=0),1,0)+IF(G117="",1,0)+IF(H117="Missing",1,0)+IF(I117="Review",1,0)+IF(J117="Duplicate",1,0)</x:f>
        <x:v>0</x:v>
      </x:c>
      <x:c r="L117" s="12" t="str">
        <x:f>IF(A117="","Missing order ID; ","")&amp;IF(B117="","Missing school; ","")&amp;IF(C117="Review","Unmapped region; ","")&amp;IF(D117="","Missing product; ","")&amp;IF(OR(E117="",E117&lt;=0),"Invalid units; ","")&amp;IF(OR(F117="",F117&lt;=0),"Invalid amount; ","")&amp;IF(G117="","Invalid date; ","")&amp;IF(H117="Missing","Missing sales rep; ","")&amp;IF(I117="Review","Unmapped payment status; ","")&amp;IF(J117="Duplicate","Duplicate ID; ","")</x:f>
      </x:c>
      <x:c r="M117" t="str">
        <x:f>IF(K117=0,"Ready","Review")</x:f>
        <x:v>Ready</x:v>
      </x:c>
    </x:row>
    <x:row r="118">
      <x:c r="A118" t="str">
        <x:f>UPPER(TRIM('Raw Sales'!A118))</x:f>
        <x:v>SAL-26-0113</x:v>
      </x:c>
      <x:c r="B118" t="str">
        <x:f>PROPER(TRIM('Raw Sales'!B118))</x:f>
        <x:v>Valley Primary</x:v>
      </x:c>
      <x:c r="C118" t="str">
        <x:f>IF(OR(UPPER(TRIM('Raw Sales'!C118))="BOCHUM",UPPER(TRIM('Raw Sales'!C118))="BOCHUM REGION"),"Bochum",IF(OR(UPPER(TRIM('Raw Sales'!C118))="ELDORADO",UPPER(TRIM('Raw Sales'!C118))="ELDOS"),"Eldorado","Review"))</x:f>
        <x:v>Eldorado</x:v>
      </x:c>
      <x:c r="D118" t="str">
        <x:f>PROPER(TRIM('Raw Sales'!D118))</x:f>
        <x:v>Rulers</x:v>
      </x:c>
      <x:c r="E118" s="8" t="n">
        <x:f>IFERROR(VALUE('Raw Sales'!E118),"")</x:f>
        <x:v>36</x:v>
      </x:c>
      <x:c r="F118" s="9" t="n">
        <x:v>1476</x:v>
      </x:c>
      <x:c r="G118" s="10" t="n">
        <x:f>IFERROR(IF(OR(MID(TRIM('Raw Sales'!G118),5,1)="-",MID(TRIM('Raw Sales'!G118),5,1)="/"),DATE(VALUE(LEFT(TRIM('Raw Sales'!G118),4)),VALUE(MID(TRIM('Raw Sales'!G118),6,2)),VALUE(RIGHT(TRIM('Raw Sales'!G118),2))),IF(LEN(TRIM('Raw Sales'!G118))=10,DATE(VALUE(RIGHT(TRIM('Raw Sales'!G118),4)),VALUE(MID(TRIM('Raw Sales'!G118),4,2)),VALUE(LEFT(TRIM('Raw Sales'!G118),2))),IF(LEN(TRIM('Raw Sales'!G118))=8,DATE(2000+VALUE(RIGHT(TRIM('Raw Sales'!G118),2)),VALUE(MID(TRIM('Raw Sales'!G118),4,2)),VALUE(LEFT(TRIM('Raw Sales'!G118),2))),""))),"")</x:f>
        <x:v>46068</x:v>
      </x:c>
      <x:c r="H118" t="str">
        <x:f>IF(TRIM('Raw Sales'!H118)="","Missing",PROPER(TRIM('Raw Sales'!H118)))</x:f>
        <x:v>Thabo Ndlovu</x:v>
      </x:c>
      <x:c r="I118" t="str">
        <x:f>IF(OR(UPPER(TRIM('Raw Sales'!I118))="PAID",UPPER(TRIM('Raw Sales'!I118))="SETTLED",UPPER(TRIM('Raw Sales'!I118))="COMPLETE"),"Paid",IF(UPPER(TRIM('Raw Sales'!I118))="PENDING","Pending","Review"))</x:f>
        <x:v>Paid</x:v>
      </x:c>
      <x:c r="J118" t="str">
        <x:f>IF(A118="","Missing",IF(COUNTIF($A$6:A118,A118)&gt;1,"Duplicate","Unique"))</x:f>
        <x:v>Unique</x:v>
      </x:c>
      <x:c r="K118" s="11" t="n">
        <x:f>IF(A118="",1,0)+IF(B118="",1,0)+IF(C118="Review",1,0)+IF(D118="",1,0)+IF(OR(E118="",E118&lt;=0),1,0)+IF(OR(F118="",F118&lt;=0),1,0)+IF(G118="",1,0)+IF(H118="Missing",1,0)+IF(I118="Review",1,0)+IF(J118="Duplicate",1,0)</x:f>
        <x:v>0</x:v>
      </x:c>
      <x:c r="L118" s="12" t="str">
        <x:f>IF(A118="","Missing order ID; ","")&amp;IF(B118="","Missing school; ","")&amp;IF(C118="Review","Unmapped region; ","")&amp;IF(D118="","Missing product; ","")&amp;IF(OR(E118="",E118&lt;=0),"Invalid units; ","")&amp;IF(OR(F118="",F118&lt;=0),"Invalid amount; ","")&amp;IF(G118="","Invalid date; ","")&amp;IF(H118="Missing","Missing sales rep; ","")&amp;IF(I118="Review","Unmapped payment status; ","")&amp;IF(J118="Duplicate","Duplicate ID; ","")</x:f>
      </x:c>
      <x:c r="M118" t="str">
        <x:f>IF(K118=0,"Ready","Review")</x:f>
        <x:v>Ready</x:v>
      </x:c>
    </x:row>
    <x:row r="119">
      <x:c r="A119" t="str">
        <x:f>UPPER(TRIM('Raw Sales'!A119))</x:f>
        <x:v>SAL-26-0114</x:v>
      </x:c>
      <x:c r="B119" t="str">
        <x:f>PROPER(TRIM('Raw Sales'!B119))</x:f>
        <x:v>Mhlabeni Secondary</x:v>
      </x:c>
      <x:c r="C119" t="str">
        <x:f>IF(OR(UPPER(TRIM('Raw Sales'!C119))="BOCHUM",UPPER(TRIM('Raw Sales'!C119))="BOCHUM REGION"),"Bochum",IF(OR(UPPER(TRIM('Raw Sales'!C119))="ELDORADO",UPPER(TRIM('Raw Sales'!C119))="ELDOS"),"Eldorado","Review"))</x:f>
        <x:v>Eldorado</x:v>
      </x:c>
      <x:c r="D119" t="str">
        <x:f>PROPER(TRIM('Raw Sales'!D119))</x:f>
        <x:v>Exercise Books</x:v>
      </x:c>
      <x:c r="E119" s="8" t="n">
        <x:f>IFERROR(VALUE('Raw Sales'!E119),"")</x:f>
        <x:v>7</x:v>
      </x:c>
      <x:c r="F119" s="9" t="n">
        <x:v>378</x:v>
      </x:c>
      <x:c r="G119" s="10" t="n">
        <x:f>IFERROR(IF(OR(MID(TRIM('Raw Sales'!G119),5,1)="-",MID(TRIM('Raw Sales'!G119),5,1)="/"),DATE(VALUE(LEFT(TRIM('Raw Sales'!G119),4)),VALUE(MID(TRIM('Raw Sales'!G119),6,2)),VALUE(RIGHT(TRIM('Raw Sales'!G119),2))),IF(LEN(TRIM('Raw Sales'!G119))=10,DATE(VALUE(RIGHT(TRIM('Raw Sales'!G119),4)),VALUE(MID(TRIM('Raw Sales'!G119),4,2)),VALUE(LEFT(TRIM('Raw Sales'!G119),2))),IF(LEN(TRIM('Raw Sales'!G119))=8,DATE(2000+VALUE(RIGHT(TRIM('Raw Sales'!G119),2)),VALUE(MID(TRIM('Raw Sales'!G119),4,2)),VALUE(LEFT(TRIM('Raw Sales'!G119),2))),""))),"")</x:f>
        <x:v>46097</x:v>
      </x:c>
      <x:c r="H119" t="str">
        <x:f>IF(TRIM('Raw Sales'!H119)="","Missing",PROPER(TRIM('Raw Sales'!H119)))</x:f>
        <x:v>Lebo Nkosi</x:v>
      </x:c>
      <x:c r="I119" t="str">
        <x:f>IF(OR(UPPER(TRIM('Raw Sales'!I119))="PAID",UPPER(TRIM('Raw Sales'!I119))="SETTLED",UPPER(TRIM('Raw Sales'!I119))="COMPLETE"),"Paid",IF(UPPER(TRIM('Raw Sales'!I119))="PENDING","Pending","Review"))</x:f>
        <x:v>Paid</x:v>
      </x:c>
      <x:c r="J119" t="str">
        <x:f>IF(A119="","Missing",IF(COUNTIF($A$6:A119,A119)&gt;1,"Duplicate","Unique"))</x:f>
        <x:v>Unique</x:v>
      </x:c>
      <x:c r="K119" s="11" t="n">
        <x:f>IF(A119="",1,0)+IF(B119="",1,0)+IF(C119="Review",1,0)+IF(D119="",1,0)+IF(OR(E119="",E119&lt;=0),1,0)+IF(OR(F119="",F119&lt;=0),1,0)+IF(G119="",1,0)+IF(H119="Missing",1,0)+IF(I119="Review",1,0)+IF(J119="Duplicate",1,0)</x:f>
        <x:v>0</x:v>
      </x:c>
      <x:c r="L119" s="12" t="str">
        <x:f>IF(A119="","Missing order ID; ","")&amp;IF(B119="","Missing school; ","")&amp;IF(C119="Review","Unmapped region; ","")&amp;IF(D119="","Missing product; ","")&amp;IF(OR(E119="",E119&lt;=0),"Invalid units; ","")&amp;IF(OR(F119="",F119&lt;=0),"Invalid amount; ","")&amp;IF(G119="","Invalid date; ","")&amp;IF(H119="Missing","Missing sales rep; ","")&amp;IF(I119="Review","Unmapped payment status; ","")&amp;IF(J119="Duplicate","Duplicate ID; ","")</x:f>
      </x:c>
      <x:c r="M119" t="str">
        <x:f>IF(K119=0,"Ready","Review")</x:f>
        <x:v>Ready</x:v>
      </x:c>
    </x:row>
    <x:row r="120">
      <x:c r="A120" t="str">
        <x:f>UPPER(TRIM('Raw Sales'!A120))</x:f>
        <x:v>SAL-26-0115</x:v>
      </x:c>
      <x:c r="B120" t="str">
        <x:f>PROPER(TRIM('Raw Sales'!B120))</x:f>
        <x:v>Meadowlands School</x:v>
      </x:c>
      <x:c r="C120" t="str">
        <x:f>IF(OR(UPPER(TRIM('Raw Sales'!C120))="BOCHUM",UPPER(TRIM('Raw Sales'!C120))="BOCHUM REGION"),"Bochum",IF(OR(UPPER(TRIM('Raw Sales'!C120))="ELDORADO",UPPER(TRIM('Raw Sales'!C120))="ELDOS"),"Eldorado","Review"))</x:f>
        <x:v>Bochum</x:v>
      </x:c>
      <x:c r="D120" t="str">
        <x:f>PROPER(TRIM('Raw Sales'!D120))</x:f>
        <x:v>Pencils</x:v>
      </x:c>
      <x:c r="E120" s="8" t="n">
        <x:f>IFERROR(VALUE('Raw Sales'!E120),"")</x:f>
        <x:v>14</x:v>
      </x:c>
      <x:c r="F120" s="9" t="n">
        <x:v>938</x:v>
      </x:c>
      <x:c r="G120" s="10" t="n">
        <x:f>IFERROR(IF(OR(MID(TRIM('Raw Sales'!G120),5,1)="-",MID(TRIM('Raw Sales'!G120),5,1)="/"),DATE(VALUE(LEFT(TRIM('Raw Sales'!G120),4)),VALUE(MID(TRIM('Raw Sales'!G120),6,2)),VALUE(RIGHT(TRIM('Raw Sales'!G120),2))),IF(LEN(TRIM('Raw Sales'!G120))=10,DATE(VALUE(RIGHT(TRIM('Raw Sales'!G120),4)),VALUE(MID(TRIM('Raw Sales'!G120),4,2)),VALUE(LEFT(TRIM('Raw Sales'!G120),2))),IF(LEN(TRIM('Raw Sales'!G120))=8,DATE(2000+VALUE(RIGHT(TRIM('Raw Sales'!G120),2)),VALUE(MID(TRIM('Raw Sales'!G120),4,2)),VALUE(LEFT(TRIM('Raw Sales'!G120),2))),""))),"")</x:f>
        <x:v>46129</x:v>
      </x:c>
      <x:c r="H120" t="str">
        <x:f>IF(TRIM('Raw Sales'!H120)="","Missing",PROPER(TRIM('Raw Sales'!H120)))</x:f>
        <x:v>Missing</x:v>
      </x:c>
      <x:c r="I120" t="str">
        <x:f>IF(OR(UPPER(TRIM('Raw Sales'!I120))="PAID",UPPER(TRIM('Raw Sales'!I120))="SETTLED",UPPER(TRIM('Raw Sales'!I120))="COMPLETE"),"Paid",IF(UPPER(TRIM('Raw Sales'!I120))="PENDING","Pending","Review"))</x:f>
        <x:v>Pending</x:v>
      </x:c>
      <x:c r="J120" t="str">
        <x:f>IF(A120="","Missing",IF(COUNTIF($A$6:A120,A120)&gt;1,"Duplicate","Unique"))</x:f>
        <x:v>Unique</x:v>
      </x:c>
      <x:c r="K120" s="11" t="n">
        <x:f>IF(A120="",1,0)+IF(B120="",1,0)+IF(C120="Review",1,0)+IF(D120="",1,0)+IF(OR(E120="",E120&lt;=0),1,0)+IF(OR(F120="",F120&lt;=0),1,0)+IF(G120="",1,0)+IF(H120="Missing",1,0)+IF(I120="Review",1,0)+IF(J120="Duplicate",1,0)</x:f>
        <x:v>1</x:v>
      </x:c>
      <x:c r="L120" s="12" t="str">
        <x:f>IF(A120="","Missing order ID; ","")&amp;IF(B120="","Missing school; ","")&amp;IF(C120="Review","Unmapped region; ","")&amp;IF(D120="","Missing product; ","")&amp;IF(OR(E120="",E120&lt;=0),"Invalid units; ","")&amp;IF(OR(F120="",F120&lt;=0),"Invalid amount; ","")&amp;IF(G120="","Invalid date; ","")&amp;IF(H120="Missing","Missing sales rep; ","")&amp;IF(I120="Review","Unmapped payment status; ","")&amp;IF(J120="Duplicate","Duplicate ID; ","")</x:f>
        <x:v>Missing sales rep; </x:v>
      </x:c>
      <x:c r="M120" t="str">
        <x:f>IF(K120=0,"Ready","Review")</x:f>
        <x:v>Review</x:v>
      </x:c>
    </x:row>
    <x:row r="121">
      <x:c r="A121" t="str">
        <x:f>UPPER(TRIM('Raw Sales'!A121))</x:f>
        <x:v>SAL-26-0116</x:v>
      </x:c>
      <x:c r="B121" t="str">
        <x:f>PROPER(TRIM('Raw Sales'!B121))</x:f>
        <x:v>Gardenview School</x:v>
      </x:c>
      <x:c r="C121" t="str">
        <x:f>IF(OR(UPPER(TRIM('Raw Sales'!C121))="BOCHUM",UPPER(TRIM('Raw Sales'!C121))="BOCHUM REGION"),"Bochum",IF(OR(UPPER(TRIM('Raw Sales'!C121))="ELDORADO",UPPER(TRIM('Raw Sales'!C121))="ELDOS"),"Eldorado","Review"))</x:f>
        <x:v>Eldorado</x:v>
      </x:c>
      <x:c r="D121" t="str">
        <x:f>PROPER(TRIM('Raw Sales'!D121))</x:f>
        <x:v>Folders</x:v>
      </x:c>
      <x:c r="E121" s="8" t="str">
        <x:f>IFERROR(VALUE('Raw Sales'!E121),"")</x:f>
      </x:c>
      <x:c r="F121" s="9" t="n">
        <x:v>1680</x:v>
      </x:c>
      <x:c r="G121" s="10" t="n">
        <x:f>IFERROR(IF(OR(MID(TRIM('Raw Sales'!G121),5,1)="-",MID(TRIM('Raw Sales'!G121),5,1)="/"),DATE(VALUE(LEFT(TRIM('Raw Sales'!G121),4)),VALUE(MID(TRIM('Raw Sales'!G121),6,2)),VALUE(RIGHT(TRIM('Raw Sales'!G121),2))),IF(LEN(TRIM('Raw Sales'!G121))=10,DATE(VALUE(RIGHT(TRIM('Raw Sales'!G121),4)),VALUE(MID(TRIM('Raw Sales'!G121),4,2)),VALUE(LEFT(TRIM('Raw Sales'!G121),2))),IF(LEN(TRIM('Raw Sales'!G121))=8,DATE(2000+VALUE(RIGHT(TRIM('Raw Sales'!G121),2)),VALUE(MID(TRIM('Raw Sales'!G121),4,2)),VALUE(LEFT(TRIM('Raw Sales'!G121),2))),""))),"")</x:f>
        <x:v>46160</x:v>
      </x:c>
      <x:c r="H121" t="str">
        <x:f>IF(TRIM('Raw Sales'!H121)="","Missing",PROPER(TRIM('Raw Sales'!H121)))</x:f>
        <x:v>Lebo Nkosi</x:v>
      </x:c>
      <x:c r="I121" t="str">
        <x:f>IF(OR(UPPER(TRIM('Raw Sales'!I121))="PAID",UPPER(TRIM('Raw Sales'!I121))="SETTLED",UPPER(TRIM('Raw Sales'!I121))="COMPLETE"),"Paid",IF(UPPER(TRIM('Raw Sales'!I121))="PENDING","Pending","Review"))</x:f>
        <x:v>Paid</x:v>
      </x:c>
      <x:c r="J121" t="str">
        <x:f>IF(A121="","Missing",IF(COUNTIF($A$6:A121,A121)&gt;1,"Duplicate","Unique"))</x:f>
        <x:v>Unique</x:v>
      </x:c>
      <x:c r="K121" s="11" t="n">
        <x:f>IF(A121="",1,0)+IF(B121="",1,0)+IF(C121="Review",1,0)+IF(D121="",1,0)+IF(OR(E121="",E121&lt;=0),1,0)+IF(OR(F121="",F121&lt;=0),1,0)+IF(G121="",1,0)+IF(H121="Missing",1,0)+IF(I121="Review",1,0)+IF(J121="Duplicate",1,0)</x:f>
        <x:v>1</x:v>
      </x:c>
      <x:c r="L121" s="12" t="str">
        <x:f>IF(A121="","Missing order ID; ","")&amp;IF(B121="","Missing school; ","")&amp;IF(C121="Review","Unmapped region; ","")&amp;IF(D121="","Missing product; ","")&amp;IF(OR(E121="",E121&lt;=0),"Invalid units; ","")&amp;IF(OR(F121="",F121&lt;=0),"Invalid amount; ","")&amp;IF(G121="","Invalid date; ","")&amp;IF(H121="Missing","Missing sales rep; ","")&amp;IF(I121="Review","Unmapped payment status; ","")&amp;IF(J121="Duplicate","Duplicate ID; ","")</x:f>
        <x:v>Invalid units; </x:v>
      </x:c>
      <x:c r="M121" t="str">
        <x:f>IF(K121=0,"Ready","Review")</x:f>
        <x:v>Review</x:v>
      </x:c>
    </x:row>
    <x:row r="122">
      <x:c r="A122" t="str">
        <x:f>UPPER(TRIM('Raw Sales'!A122))</x:f>
        <x:v>SAL-26-0117</x:v>
      </x:c>
      <x:c r="B122" t="str">
        <x:f>PROPER(TRIM('Raw Sales'!B122))</x:f>
        <x:v>Riverside Academy</x:v>
      </x:c>
      <x:c r="C122" t="str">
        <x:f>IF(OR(UPPER(TRIM('Raw Sales'!C122))="BOCHUM",UPPER(TRIM('Raw Sales'!C122))="BOCHUM REGION"),"Bochum",IF(OR(UPPER(TRIM('Raw Sales'!C122))="ELDORADO",UPPER(TRIM('Raw Sales'!C122))="ELDOS"),"Eldorado","Review"))</x:f>
        <x:v>Bochum</x:v>
      </x:c>
      <x:c r="D122" t="str">
        <x:f>PROPER(TRIM('Raw Sales'!D122))</x:f>
        <x:v>Pens</x:v>
      </x:c>
      <x:c r="E122" s="8" t="n">
        <x:f>IFERROR(VALUE('Raw Sales'!E122),"")</x:f>
        <x:v>28</x:v>
      </x:c>
      <x:c r="F122" s="9" t="n">
        <x:v>2604</x:v>
      </x:c>
      <x:c r="G122" s="10" t="n">
        <x:f>IFERROR(IF(OR(MID(TRIM('Raw Sales'!G122),5,1)="-",MID(TRIM('Raw Sales'!G122),5,1)="/"),DATE(VALUE(LEFT(TRIM('Raw Sales'!G122),4)),VALUE(MID(TRIM('Raw Sales'!G122),6,2)),VALUE(RIGHT(TRIM('Raw Sales'!G122),2))),IF(LEN(TRIM('Raw Sales'!G122))=10,DATE(VALUE(RIGHT(TRIM('Raw Sales'!G122),4)),VALUE(MID(TRIM('Raw Sales'!G122),4,2)),VALUE(LEFT(TRIM('Raw Sales'!G122),2))),IF(LEN(TRIM('Raw Sales'!G122))=8,DATE(2000+VALUE(RIGHT(TRIM('Raw Sales'!G122),2)),VALUE(MID(TRIM('Raw Sales'!G122),4,2)),VALUE(LEFT(TRIM('Raw Sales'!G122),2))),""))),"")</x:f>
        <x:v>46192</x:v>
      </x:c>
      <x:c r="H122" t="str">
        <x:f>IF(TRIM('Raw Sales'!H122)="","Missing",PROPER(TRIM('Raw Sales'!H122)))</x:f>
        <x:v>Thabo Ndlovu</x:v>
      </x:c>
      <x:c r="I122" t="str">
        <x:f>IF(OR(UPPER(TRIM('Raw Sales'!I122))="PAID",UPPER(TRIM('Raw Sales'!I122))="SETTLED",UPPER(TRIM('Raw Sales'!I122))="COMPLETE"),"Paid",IF(UPPER(TRIM('Raw Sales'!I122))="PENDING","Pending","Review"))</x:f>
        <x:v>Paid</x:v>
      </x:c>
      <x:c r="J122" t="str">
        <x:f>IF(A122="","Missing",IF(COUNTIF($A$6:A122,A122)&gt;1,"Duplicate","Unique"))</x:f>
        <x:v>Unique</x:v>
      </x:c>
      <x:c r="K122" s="11" t="n">
        <x:f>IF(A122="",1,0)+IF(B122="",1,0)+IF(C122="Review",1,0)+IF(D122="",1,0)+IF(OR(E122="",E122&lt;=0),1,0)+IF(OR(F122="",F122&lt;=0),1,0)+IF(G122="",1,0)+IF(H122="Missing",1,0)+IF(I122="Review",1,0)+IF(J122="Duplicate",1,0)</x:f>
        <x:v>0</x:v>
      </x:c>
      <x:c r="L122" s="12" t="str">
        <x:f>IF(A122="","Missing order ID; ","")&amp;IF(B122="","Missing school; ","")&amp;IF(C122="Review","Unmapped region; ","")&amp;IF(D122="","Missing product; ","")&amp;IF(OR(E122="",E122&lt;=0),"Invalid units; ","")&amp;IF(OR(F122="",F122&lt;=0),"Invalid amount; ","")&amp;IF(G122="","Invalid date; ","")&amp;IF(H122="Missing","Missing sales rep; ","")&amp;IF(I122="Review","Unmapped payment status; ","")&amp;IF(J122="Duplicate","Duplicate ID; ","")</x:f>
      </x:c>
      <x:c r="M122" t="str">
        <x:f>IF(K122=0,"Ready","Review")</x:f>
        <x:v>Ready</x:v>
      </x:c>
    </x:row>
    <x:row r="123">
      <x:c r="A123" t="str">
        <x:f>UPPER(TRIM('Raw Sales'!A123))</x:f>
        <x:v>SAL-26-0118</x:v>
      </x:c>
      <x:c r="B123" t="str">
        <x:f>PROPER(TRIM('Raw Sales'!B123))</x:f>
        <x:v>Maple Secondary</x:v>
      </x:c>
      <x:c r="C123" t="str">
        <x:f>IF(OR(UPPER(TRIM('Raw Sales'!C123))="BOCHUM",UPPER(TRIM('Raw Sales'!C123))="BOCHUM REGION"),"Bochum",IF(OR(UPPER(TRIM('Raw Sales'!C123))="ELDORADO",UPPER(TRIM('Raw Sales'!C123))="ELDOS"),"Eldorado","Review"))</x:f>
        <x:v>Eldorado</x:v>
      </x:c>
      <x:c r="D123" t="str">
        <x:f>PROPER(TRIM('Raw Sales'!D123))</x:f>
        <x:v>Glue Sticks</x:v>
      </x:c>
      <x:c r="E123" s="8" t="n">
        <x:f>IFERROR(VALUE('Raw Sales'!E123),"")</x:f>
        <x:v>35</x:v>
      </x:c>
      <x:c r="F123" s="9" t="n">
        <x:v>3710</x:v>
      </x:c>
      <x:c r="G123" s="10" t="n">
        <x:f>IFERROR(IF(OR(MID(TRIM('Raw Sales'!G123),5,1)="-",MID(TRIM('Raw Sales'!G123),5,1)="/"),DATE(VALUE(LEFT(TRIM('Raw Sales'!G123),4)),VALUE(MID(TRIM('Raw Sales'!G123),6,2)),VALUE(RIGHT(TRIM('Raw Sales'!G123),2))),IF(LEN(TRIM('Raw Sales'!G123))=10,DATE(VALUE(RIGHT(TRIM('Raw Sales'!G123),4)),VALUE(MID(TRIM('Raw Sales'!G123),4,2)),VALUE(LEFT(TRIM('Raw Sales'!G123),2))),IF(LEN(TRIM('Raw Sales'!G123))=8,DATE(2000+VALUE(RIGHT(TRIM('Raw Sales'!G123),2)),VALUE(MID(TRIM('Raw Sales'!G123),4,2)),VALUE(LEFT(TRIM('Raw Sales'!G123),2))),""))),"")</x:f>
        <x:v>46223</x:v>
      </x:c>
      <x:c r="H123" t="str">
        <x:f>IF(TRIM('Raw Sales'!H123)="","Missing",PROPER(TRIM('Raw Sales'!H123)))</x:f>
        <x:v>Lebo Nkosi</x:v>
      </x:c>
      <x:c r="I123" t="str">
        <x:f>IF(OR(UPPER(TRIM('Raw Sales'!I123))="PAID",UPPER(TRIM('Raw Sales'!I123))="SETTLED",UPPER(TRIM('Raw Sales'!I123))="COMPLETE"),"Paid",IF(UPPER(TRIM('Raw Sales'!I123))="PENDING","Pending","Review"))</x:f>
        <x:v>Pending</x:v>
      </x:c>
      <x:c r="J123" t="str">
        <x:f>IF(A123="","Missing",IF(COUNTIF($A$6:A123,A123)&gt;1,"Duplicate","Unique"))</x:f>
        <x:v>Unique</x:v>
      </x:c>
      <x:c r="K123" s="11" t="n">
        <x:f>IF(A123="",1,0)+IF(B123="",1,0)+IF(C123="Review",1,0)+IF(D123="",1,0)+IF(OR(E123="",E123&lt;=0),1,0)+IF(OR(F123="",F123&lt;=0),1,0)+IF(G123="",1,0)+IF(H123="Missing",1,0)+IF(I123="Review",1,0)+IF(J123="Duplicate",1,0)</x:f>
        <x:v>0</x:v>
      </x:c>
      <x:c r="L123" s="12" t="str">
        <x:f>IF(A123="","Missing order ID; ","")&amp;IF(B123="","Missing school; ","")&amp;IF(C123="Review","Unmapped region; ","")&amp;IF(D123="","Missing product; ","")&amp;IF(OR(E123="",E123&lt;=0),"Invalid units; ","")&amp;IF(OR(F123="",F123&lt;=0),"Invalid amount; ","")&amp;IF(G123="","Invalid date; ","")&amp;IF(H123="Missing","Missing sales rep; ","")&amp;IF(I123="Review","Unmapped payment status; ","")&amp;IF(J123="Duplicate","Duplicate ID; ","")</x:f>
      </x:c>
      <x:c r="M123" t="str">
        <x:f>IF(K123=0,"Ready","Review")</x:f>
        <x:v>Ready</x:v>
      </x:c>
    </x:row>
    <x:row r="124">
      <x:c r="A124" t="str">
        <x:f>UPPER(TRIM('Raw Sales'!A124))</x:f>
        <x:v>SAL-26-0119</x:v>
      </x:c>
      <x:c r="B124" t="str">
        <x:f>PROPER(TRIM('Raw Sales'!B124))</x:f>
        <x:v>Pinecrest School</x:v>
      </x:c>
      <x:c r="C124" t="str">
        <x:f>IF(OR(UPPER(TRIM('Raw Sales'!C124))="BOCHUM",UPPER(TRIM('Raw Sales'!C124))="BOCHUM REGION"),"Bochum",IF(OR(UPPER(TRIM('Raw Sales'!C124))="ELDORADO",UPPER(TRIM('Raw Sales'!C124))="ELDOS"),"Eldorado","Review"))</x:f>
        <x:v>Bochum</x:v>
      </x:c>
      <x:c r="D124" t="str">
        <x:f>PROPER(TRIM('Raw Sales'!D124))</x:f>
        <x:v>Markers</x:v>
      </x:c>
      <x:c r="E124" s="8" t="n">
        <x:f>IFERROR(VALUE('Raw Sales'!E124),"")</x:f>
        <x:v>6</x:v>
      </x:c>
      <x:c r="F124" s="9"/>
      <x:c r="G124" s="10" t="n">
        <x:f>IFERROR(IF(OR(MID(TRIM('Raw Sales'!G124),5,1)="-",MID(TRIM('Raw Sales'!G124),5,1)="/"),DATE(VALUE(LEFT(TRIM('Raw Sales'!G124),4)),VALUE(MID(TRIM('Raw Sales'!G124),6,2)),VALUE(RIGHT(TRIM('Raw Sales'!G124),2))),IF(LEN(TRIM('Raw Sales'!G124))=10,DATE(VALUE(RIGHT(TRIM('Raw Sales'!G124),4)),VALUE(MID(TRIM('Raw Sales'!G124),4,2)),VALUE(LEFT(TRIM('Raw Sales'!G124),2))),IF(LEN(TRIM('Raw Sales'!G124))=8,DATE(2000+VALUE(RIGHT(TRIM('Raw Sales'!G124),2)),VALUE(MID(TRIM('Raw Sales'!G124),4,2)),VALUE(LEFT(TRIM('Raw Sales'!G124),2))),""))),"")</x:f>
        <x:v>46255</x:v>
      </x:c>
      <x:c r="H124" t="str">
        <x:f>IF(TRIM('Raw Sales'!H124)="","Missing",PROPER(TRIM('Raw Sales'!H124)))</x:f>
        <x:v>Thabo Ndlovu</x:v>
      </x:c>
      <x:c r="I124" t="str">
        <x:f>IF(OR(UPPER(TRIM('Raw Sales'!I124))="PAID",UPPER(TRIM('Raw Sales'!I124))="SETTLED",UPPER(TRIM('Raw Sales'!I124))="COMPLETE"),"Paid",IF(UPPER(TRIM('Raw Sales'!I124))="PENDING","Pending","Review"))</x:f>
        <x:v>Paid</x:v>
      </x:c>
      <x:c r="J124" t="str">
        <x:f>IF(A124="","Missing",IF(COUNTIF($A$6:A124,A124)&gt;1,"Duplicate","Unique"))</x:f>
        <x:v>Unique</x:v>
      </x:c>
      <x:c r="K124" s="11" t="n">
        <x:f>IF(A124="",1,0)+IF(B124="",1,0)+IF(C124="Review",1,0)+IF(D124="",1,0)+IF(OR(E124="",E124&lt;=0),1,0)+IF(OR(F124="",F124&lt;=0),1,0)+IF(G124="",1,0)+IF(H124="Missing",1,0)+IF(I124="Review",1,0)+IF(J124="Duplicate",1,0)</x:f>
        <x:v>1</x:v>
      </x:c>
      <x:c r="L124" s="12" t="str">
        <x:f>IF(A124="","Missing order ID; ","")&amp;IF(B124="","Missing school; ","")&amp;IF(C124="Review","Unmapped region; ","")&amp;IF(D124="","Missing product; ","")&amp;IF(OR(E124="",E124&lt;=0),"Invalid units; ","")&amp;IF(OR(F124="",F124&lt;=0),"Invalid amount; ","")&amp;IF(G124="","Invalid date; ","")&amp;IF(H124="Missing","Missing sales rep; ","")&amp;IF(I124="Review","Unmapped payment status; ","")&amp;IF(J124="Duplicate","Duplicate ID; ","")</x:f>
        <x:v>Invalid amount; </x:v>
      </x:c>
      <x:c r="M124" t="str">
        <x:f>IF(K124=0,"Ready","Review")</x:f>
        <x:v>Review</x:v>
      </x:c>
    </x:row>
    <x:row r="125">
      <x:c r="A125" t="str">
        <x:f>UPPER(TRIM('Raw Sales'!A125))</x:f>
        <x:v>SAL-26-0120</x:v>
      </x:c>
      <x:c r="B125" t="str">
        <x:f>PROPER(TRIM('Raw Sales'!B125))</x:f>
        <x:v>Northstar Academy</x:v>
      </x:c>
      <x:c r="C125" t="str">
        <x:f>IF(OR(UPPER(TRIM('Raw Sales'!C125))="BOCHUM",UPPER(TRIM('Raw Sales'!C125))="BOCHUM REGION"),"Bochum",IF(OR(UPPER(TRIM('Raw Sales'!C125))="ELDORADO",UPPER(TRIM('Raw Sales'!C125))="ELDOS"),"Eldorado","Review"))</x:f>
        <x:v>Bochum</x:v>
      </x:c>
      <x:c r="D125" t="str">
        <x:f>PROPER(TRIM('Raw Sales'!D125))</x:f>
        <x:v>Notebooks</x:v>
      </x:c>
      <x:c r="E125" s="8" t="n">
        <x:f>IFERROR(VALUE('Raw Sales'!E125),"")</x:f>
        <x:v>13</x:v>
      </x:c>
      <x:c r="F125" s="9" t="n">
        <x:v>1716</x:v>
      </x:c>
      <x:c r="G125" s="10" t="n">
        <x:f>IFERROR(IF(OR(MID(TRIM('Raw Sales'!G125),5,1)="-",MID(TRIM('Raw Sales'!G125),5,1)="/"),DATE(VALUE(LEFT(TRIM('Raw Sales'!G125),4)),VALUE(MID(TRIM('Raw Sales'!G125),6,2)),VALUE(RIGHT(TRIM('Raw Sales'!G125),2))),IF(LEN(TRIM('Raw Sales'!G125))=10,DATE(VALUE(RIGHT(TRIM('Raw Sales'!G125),4)),VALUE(MID(TRIM('Raw Sales'!G125),4,2)),VALUE(LEFT(TRIM('Raw Sales'!G125),2))),IF(LEN(TRIM('Raw Sales'!G125))=8,DATE(2000+VALUE(RIGHT(TRIM('Raw Sales'!G125),2)),VALUE(MID(TRIM('Raw Sales'!G125),4,2)),VALUE(LEFT(TRIM('Raw Sales'!G125),2))),""))),"")</x:f>
        <x:v>46044</x:v>
      </x:c>
      <x:c r="H125" t="str">
        <x:f>IF(TRIM('Raw Sales'!H125)="","Missing",PROPER(TRIM('Raw Sales'!H125)))</x:f>
        <x:v>Lebo Nkosi</x:v>
      </x:c>
      <x:c r="I125" t="str">
        <x:f>IF(OR(UPPER(TRIM('Raw Sales'!I125))="PAID",UPPER(TRIM('Raw Sales'!I125))="SETTLED",UPPER(TRIM('Raw Sales'!I125))="COMPLETE"),"Paid",IF(UPPER(TRIM('Raw Sales'!I125))="PENDING","Pending","Review"))</x:f>
        <x:v>Paid</x:v>
      </x:c>
      <x:c r="J125" t="str">
        <x:f>IF(A125="","Missing",IF(COUNTIF($A$6:A125,A125)&gt;1,"Duplicate","Unique"))</x:f>
        <x:v>Unique</x:v>
      </x:c>
      <x:c r="K125" s="11" t="n">
        <x:f>IF(A125="",1,0)+IF(B125="",1,0)+IF(C125="Review",1,0)+IF(D125="",1,0)+IF(OR(E125="",E125&lt;=0),1,0)+IF(OR(F125="",F125&lt;=0),1,0)+IF(G125="",1,0)+IF(H125="Missing",1,0)+IF(I125="Review",1,0)+IF(J125="Duplicate",1,0)</x:f>
        <x:v>0</x:v>
      </x:c>
      <x:c r="L125" s="12" t="str">
        <x:f>IF(A125="","Missing order ID; ","")&amp;IF(B125="","Missing school; ","")&amp;IF(C125="Review","Unmapped region; ","")&amp;IF(D125="","Missing product; ","")&amp;IF(OR(E125="",E125&lt;=0),"Invalid units; ","")&amp;IF(OR(F125="",F125&lt;=0),"Invalid amount; ","")&amp;IF(G125="","Invalid date; ","")&amp;IF(H125="Missing","Missing sales rep; ","")&amp;IF(I125="Review","Unmapped payment status; ","")&amp;IF(J125="Duplicate","Duplicate ID; ","")</x:f>
      </x:c>
      <x:c r="M125" t="str">
        <x:f>IF(K125=0,"Ready","Review")</x:f>
        <x:v>Ready</x:v>
      </x:c>
    </x:row>
    <x:row r="126">
      <x:c r="A126" t="str">
        <x:f>UPPER(TRIM('Raw Sales'!A126))</x:f>
        <x:v>SAL-26-0121</x:v>
      </x:c>
      <x:c r="B126" t="str">
        <x:f>PROPER(TRIM('Raw Sales'!B126))</x:f>
        <x:v>Crescent Primary</x:v>
      </x:c>
      <x:c r="C126" t="str">
        <x:f>IF(OR(UPPER(TRIM('Raw Sales'!C126))="BOCHUM",UPPER(TRIM('Raw Sales'!C126))="BOCHUM REGION"),"Bochum",IF(OR(UPPER(TRIM('Raw Sales'!C126))="ELDORADO",UPPER(TRIM('Raw Sales'!C126))="ELDOS"),"Eldorado","Review"))</x:f>
        <x:v>Eldorado</x:v>
      </x:c>
      <x:c r="D126" t="str">
        <x:f>PROPER(TRIM('Raw Sales'!D126))</x:f>
        <x:v>Rulers</x:v>
      </x:c>
      <x:c r="E126" s="8" t="n">
        <x:f>IFERROR(VALUE('Raw Sales'!E126),"")</x:f>
        <x:v>20</x:v>
      </x:c>
      <x:c r="F126" s="9" t="n">
        <x:v>2900</x:v>
      </x:c>
      <x:c r="G126" s="10" t="n">
        <x:f>IFERROR(IF(OR(MID(TRIM('Raw Sales'!G126),5,1)="-",MID(TRIM('Raw Sales'!G126),5,1)="/"),DATE(VALUE(LEFT(TRIM('Raw Sales'!G126),4)),VALUE(MID(TRIM('Raw Sales'!G126),6,2)),VALUE(RIGHT(TRIM('Raw Sales'!G126),2))),IF(LEN(TRIM('Raw Sales'!G126))=10,DATE(VALUE(RIGHT(TRIM('Raw Sales'!G126),4)),VALUE(MID(TRIM('Raw Sales'!G126),4,2)),VALUE(LEFT(TRIM('Raw Sales'!G126),2))),IF(LEN(TRIM('Raw Sales'!G126))=8,DATE(2000+VALUE(RIGHT(TRIM('Raw Sales'!G126),2)),VALUE(MID(TRIM('Raw Sales'!G126),4,2)),VALUE(LEFT(TRIM('Raw Sales'!G126),2))),""))),"")</x:f>
        <x:v>46076</x:v>
      </x:c>
      <x:c r="H126" t="str">
        <x:f>IF(TRIM('Raw Sales'!H126)="","Missing",PROPER(TRIM('Raw Sales'!H126)))</x:f>
        <x:v>Thabo Ndlovu</x:v>
      </x:c>
      <x:c r="I126" t="str">
        <x:f>IF(OR(UPPER(TRIM('Raw Sales'!I126))="PAID",UPPER(TRIM('Raw Sales'!I126))="SETTLED",UPPER(TRIM('Raw Sales'!I126))="COMPLETE"),"Paid",IF(UPPER(TRIM('Raw Sales'!I126))="PENDING","Pending","Review"))</x:f>
        <x:v>Pending</x:v>
      </x:c>
      <x:c r="J126" t="str">
        <x:f>IF(A126="","Missing",IF(COUNTIF($A$6:A126,A126)&gt;1,"Duplicate","Unique"))</x:f>
        <x:v>Unique</x:v>
      </x:c>
      <x:c r="K126" s="11" t="n">
        <x:f>IF(A126="",1,0)+IF(B126="",1,0)+IF(C126="Review",1,0)+IF(D126="",1,0)+IF(OR(E126="",E126&lt;=0),1,0)+IF(OR(F126="",F126&lt;=0),1,0)+IF(G126="",1,0)+IF(H126="Missing",1,0)+IF(I126="Review",1,0)+IF(J126="Duplicate",1,0)</x:f>
        <x:v>0</x:v>
      </x:c>
      <x:c r="L126" s="12" t="str">
        <x:f>IF(A126="","Missing order ID; ","")&amp;IF(B126="","Missing school; ","")&amp;IF(C126="Review","Unmapped region; ","")&amp;IF(D126="","Missing product; ","")&amp;IF(OR(E126="",E126&lt;=0),"Invalid units; ","")&amp;IF(OR(F126="",F126&lt;=0),"Invalid amount; ","")&amp;IF(G126="","Invalid date; ","")&amp;IF(H126="Missing","Missing sales rep; ","")&amp;IF(I126="Review","Unmapped payment status; ","")&amp;IF(J126="Duplicate","Duplicate ID; ","")</x:f>
      </x:c>
      <x:c r="M126" t="str">
        <x:f>IF(K126=0,"Ready","Review")</x:f>
        <x:v>Ready</x:v>
      </x:c>
    </x:row>
    <x:row r="127">
      <x:c r="A127" t="str">
        <x:f>UPPER(TRIM('Raw Sales'!A127))</x:f>
        <x:v>SAL-26-0122</x:v>
      </x:c>
      <x:c r="B127" t="str">
        <x:f>PROPER(TRIM('Raw Sales'!B127))</x:f>
        <x:v>Hillview Primary</x:v>
      </x:c>
      <x:c r="C127" t="str">
        <x:f>IF(OR(UPPER(TRIM('Raw Sales'!C127))="BOCHUM",UPPER(TRIM('Raw Sales'!C127))="BOCHUM REGION"),"Bochum",IF(OR(UPPER(TRIM('Raw Sales'!C127))="ELDORADO",UPPER(TRIM('Raw Sales'!C127))="ELDOS"),"Eldorado","Review"))</x:f>
        <x:v>Bochum</x:v>
      </x:c>
      <x:c r="D127" t="str">
        <x:f>PROPER(TRIM('Raw Sales'!D127))</x:f>
        <x:v>Exercise Books</x:v>
      </x:c>
      <x:c r="E127" s="8" t="n">
        <x:f>IFERROR(VALUE('Raw Sales'!E127),"")</x:f>
        <x:v>27</x:v>
      </x:c>
      <x:c r="F127" s="9" t="n">
        <x:v>4266</x:v>
      </x:c>
      <x:c r="G127" s="10" t="n">
        <x:f>IFERROR(IF(OR(MID(TRIM('Raw Sales'!G127),5,1)="-",MID(TRIM('Raw Sales'!G127),5,1)="/"),DATE(VALUE(LEFT(TRIM('Raw Sales'!G127),4)),VALUE(MID(TRIM('Raw Sales'!G127),6,2)),VALUE(RIGHT(TRIM('Raw Sales'!G127),2))),IF(LEN(TRIM('Raw Sales'!G127))=10,DATE(VALUE(RIGHT(TRIM('Raw Sales'!G127),4)),VALUE(MID(TRIM('Raw Sales'!G127),4,2)),VALUE(LEFT(TRIM('Raw Sales'!G127),2))),IF(LEN(TRIM('Raw Sales'!G127))=8,DATE(2000+VALUE(RIGHT(TRIM('Raw Sales'!G127),2)),VALUE(MID(TRIM('Raw Sales'!G127),4,2)),VALUE(LEFT(TRIM('Raw Sales'!G127),2))),""))),"")</x:f>
        <x:v>46105</x:v>
      </x:c>
      <x:c r="H127" t="str">
        <x:f>IF(TRIM('Raw Sales'!H127)="","Missing",PROPER(TRIM('Raw Sales'!H127)))</x:f>
        <x:v>Lebo Nkosi</x:v>
      </x:c>
      <x:c r="I127" t="str">
        <x:f>IF(OR(UPPER(TRIM('Raw Sales'!I127))="PAID",UPPER(TRIM('Raw Sales'!I127))="SETTLED",UPPER(TRIM('Raw Sales'!I127))="COMPLETE"),"Paid",IF(UPPER(TRIM('Raw Sales'!I127))="PENDING","Pending","Review"))</x:f>
        <x:v>Paid</x:v>
      </x:c>
      <x:c r="J127" t="str">
        <x:f>IF(A127="","Missing",IF(COUNTIF($A$6:A127,A127)&gt;1,"Duplicate","Unique"))</x:f>
        <x:v>Unique</x:v>
      </x:c>
      <x:c r="K127" s="11" t="n">
        <x:f>IF(A127="",1,0)+IF(B127="",1,0)+IF(C127="Review",1,0)+IF(D127="",1,0)+IF(OR(E127="",E127&lt;=0),1,0)+IF(OR(F127="",F127&lt;=0),1,0)+IF(G127="",1,0)+IF(H127="Missing",1,0)+IF(I127="Review",1,0)+IF(J127="Duplicate",1,0)</x:f>
        <x:v>0</x:v>
      </x:c>
      <x:c r="L127" s="12" t="str">
        <x:f>IF(A127="","Missing order ID; ","")&amp;IF(B127="","Missing school; ","")&amp;IF(C127="Review","Unmapped region; ","")&amp;IF(D127="","Missing product; ","")&amp;IF(OR(E127="",E127&lt;=0),"Invalid units; ","")&amp;IF(OR(F127="",F127&lt;=0),"Invalid amount; ","")&amp;IF(G127="","Invalid date; ","")&amp;IF(H127="Missing","Missing sales rep; ","")&amp;IF(I127="Review","Unmapped payment status; ","")&amp;IF(J127="Duplicate","Duplicate ID; ","")</x:f>
      </x:c>
      <x:c r="M127" t="str">
        <x:f>IF(K127=0,"Ready","Review")</x:f>
        <x:v>Ready</x:v>
      </x:c>
    </x:row>
    <x:row r="128">
      <x:c r="A128" t="str">
        <x:f>UPPER(TRIM('Raw Sales'!A128))</x:f>
        <x:v>SAL-26-0123</x:v>
      </x:c>
      <x:c r="B128" t="str">
        <x:f>PROPER(TRIM('Raw Sales'!B128))</x:f>
        <x:v>Eastwood Academy</x:v>
      </x:c>
      <x:c r="C128" t="str">
        <x:f>IF(OR(UPPER(TRIM('Raw Sales'!C128))="BOCHUM",UPPER(TRIM('Raw Sales'!C128))="BOCHUM REGION"),"Bochum",IF(OR(UPPER(TRIM('Raw Sales'!C128))="ELDORADO",UPPER(TRIM('Raw Sales'!C128))="ELDOS"),"Eldorado","Review"))</x:f>
        <x:v>Eldorado</x:v>
      </x:c>
      <x:c r="D128" t="str">
        <x:f>PROPER(TRIM('Raw Sales'!D128))</x:f>
        <x:v>Pencils</x:v>
      </x:c>
      <x:c r="E128" s="8" t="n">
        <x:f>IFERROR(VALUE('Raw Sales'!E128),"")</x:f>
        <x:v>34</x:v>
      </x:c>
      <x:c r="F128" s="9" t="n">
        <x:v>5814</x:v>
      </x:c>
      <x:c r="G128" s="10" t="n">
        <x:f>IFERROR(IF(OR(MID(TRIM('Raw Sales'!G128),5,1)="-",MID(TRIM('Raw Sales'!G128),5,1)="/"),DATE(VALUE(LEFT(TRIM('Raw Sales'!G128),4)),VALUE(MID(TRIM('Raw Sales'!G128),6,2)),VALUE(RIGHT(TRIM('Raw Sales'!G128),2))),IF(LEN(TRIM('Raw Sales'!G128))=10,DATE(VALUE(RIGHT(TRIM('Raw Sales'!G128),4)),VALUE(MID(TRIM('Raw Sales'!G128),4,2)),VALUE(LEFT(TRIM('Raw Sales'!G128),2))),IF(LEN(TRIM('Raw Sales'!G128))=8,DATE(2000+VALUE(RIGHT(TRIM('Raw Sales'!G128),2)),VALUE(MID(TRIM('Raw Sales'!G128),4,2)),VALUE(LEFT(TRIM('Raw Sales'!G128),2))),""))),"")</x:f>
        <x:v>46137</x:v>
      </x:c>
      <x:c r="H128" t="str">
        <x:f>IF(TRIM('Raw Sales'!H128)="","Missing",PROPER(TRIM('Raw Sales'!H128)))</x:f>
        <x:v>Thabo Ndlovu</x:v>
      </x:c>
      <x:c r="I128" t="str">
        <x:f>IF(OR(UPPER(TRIM('Raw Sales'!I128))="PAID",UPPER(TRIM('Raw Sales'!I128))="SETTLED",UPPER(TRIM('Raw Sales'!I128))="COMPLETE"),"Paid",IF(UPPER(TRIM('Raw Sales'!I128))="PENDING","Pending","Review"))</x:f>
        <x:v>Paid</x:v>
      </x:c>
      <x:c r="J128" t="str">
        <x:f>IF(A128="","Missing",IF(COUNTIF($A$6:A128,A128)&gt;1,"Duplicate","Unique"))</x:f>
        <x:v>Unique</x:v>
      </x:c>
      <x:c r="K128" s="11" t="n">
        <x:f>IF(A128="",1,0)+IF(B128="",1,0)+IF(C128="Review",1,0)+IF(D128="",1,0)+IF(OR(E128="",E128&lt;=0),1,0)+IF(OR(F128="",F128&lt;=0),1,0)+IF(G128="",1,0)+IF(H128="Missing",1,0)+IF(I128="Review",1,0)+IF(J128="Duplicate",1,0)</x:f>
        <x:v>0</x:v>
      </x:c>
      <x:c r="L128" s="12" t="str">
        <x:f>IF(A128="","Missing order ID; ","")&amp;IF(B128="","Missing school; ","")&amp;IF(C128="Review","Unmapped region; ","")&amp;IF(D128="","Missing product; ","")&amp;IF(OR(E128="",E128&lt;=0),"Invalid units; ","")&amp;IF(OR(F128="",F128&lt;=0),"Invalid amount; ","")&amp;IF(G128="","Invalid date; ","")&amp;IF(H128="Missing","Missing sales rep; ","")&amp;IF(I128="Review","Unmapped payment status; ","")&amp;IF(J128="Duplicate","Duplicate ID; ","")</x:f>
      </x:c>
      <x:c r="M128" t="str">
        <x:f>IF(K128=0,"Ready","Review")</x:f>
        <x:v>Ready</x:v>
      </x:c>
    </x:row>
    <x:row r="129">
      <x:c r="A129" t="str">
        <x:f>UPPER(TRIM('Raw Sales'!A129))</x:f>
        <x:v>SAL-26-0124</x:v>
      </x:c>
      <x:c r="B129" t="str">
        <x:f>PROPER(TRIM('Raw Sales'!B129))</x:f>
        <x:v>Lakeside School</x:v>
      </x:c>
      <x:c r="C129" t="str">
        <x:f>IF(OR(UPPER(TRIM('Raw Sales'!C129))="BOCHUM",UPPER(TRIM('Raw Sales'!C129))="BOCHUM REGION"),"Bochum",IF(OR(UPPER(TRIM('Raw Sales'!C129))="ELDORADO",UPPER(TRIM('Raw Sales'!C129))="ELDOS"),"Eldorado","Review"))</x:f>
        <x:v>Bochum</x:v>
      </x:c>
      <x:c r="D129" t="str">
        <x:f>PROPER(TRIM('Raw Sales'!D129))</x:f>
        <x:v>Folders</x:v>
      </x:c>
      <x:c r="E129" s="8" t="n">
        <x:f>IFERROR(VALUE('Raw Sales'!E129),"")</x:f>
        <x:v>0</x:v>
      </x:c>
      <x:c r="F129" s="9" t="n">
        <x:v>920</x:v>
      </x:c>
      <x:c r="G129" s="10" t="str">
        <x:f>IFERROR(IF(OR(MID(TRIM('Raw Sales'!G129),5,1)="-",MID(TRIM('Raw Sales'!G129),5,1)="/"),DATE(VALUE(LEFT(TRIM('Raw Sales'!G129),4)),VALUE(MID(TRIM('Raw Sales'!G129),6,2)),VALUE(RIGHT(TRIM('Raw Sales'!G129),2))),IF(LEN(TRIM('Raw Sales'!G129))=10,DATE(VALUE(RIGHT(TRIM('Raw Sales'!G129),4)),VALUE(MID(TRIM('Raw Sales'!G129),4,2)),VALUE(LEFT(TRIM('Raw Sales'!G129),2))),IF(LEN(TRIM('Raw Sales'!G129))=8,DATE(2000+VALUE(RIGHT(TRIM('Raw Sales'!G129),2)),VALUE(MID(TRIM('Raw Sales'!G129),4,2)),VALUE(LEFT(TRIM('Raw Sales'!G129),2))),""))),"")</x:f>
      </x:c>
      <x:c r="H129" t="str">
        <x:f>IF(TRIM('Raw Sales'!H129)="","Missing",PROPER(TRIM('Raw Sales'!H129)))</x:f>
        <x:v>Lebo Nkosi</x:v>
      </x:c>
      <x:c r="I129" t="str">
        <x:f>IF(OR(UPPER(TRIM('Raw Sales'!I129))="PAID",UPPER(TRIM('Raw Sales'!I129))="SETTLED",UPPER(TRIM('Raw Sales'!I129))="COMPLETE"),"Paid",IF(UPPER(TRIM('Raw Sales'!I129))="PENDING","Pending","Review"))</x:f>
        <x:v>Pending</x:v>
      </x:c>
      <x:c r="J129" t="str">
        <x:f>IF(A129="","Missing",IF(COUNTIF($A$6:A129,A129)&gt;1,"Duplicate","Unique"))</x:f>
        <x:v>Unique</x:v>
      </x:c>
      <x:c r="K129" s="11" t="n">
        <x:f>IF(A129="",1,0)+IF(B129="",1,0)+IF(C129="Review",1,0)+IF(D129="",1,0)+IF(OR(E129="",E129&lt;=0),1,0)+IF(OR(F129="",F129&lt;=0),1,0)+IF(G129="",1,0)+IF(H129="Missing",1,0)+IF(I129="Review",1,0)+IF(J129="Duplicate",1,0)</x:f>
        <x:v>2</x:v>
      </x:c>
      <x:c r="L129" s="12" t="str">
        <x:f>IF(A129="","Missing order ID; ","")&amp;IF(B129="","Missing school; ","")&amp;IF(C129="Review","Unmapped region; ","")&amp;IF(D129="","Missing product; ","")&amp;IF(OR(E129="",E129&lt;=0),"Invalid units; ","")&amp;IF(OR(F129="",F129&lt;=0),"Invalid amount; ","")&amp;IF(G129="","Invalid date; ","")&amp;IF(H129="Missing","Missing sales rep; ","")&amp;IF(I129="Review","Unmapped payment status; ","")&amp;IF(J129="Duplicate","Duplicate ID; ","")</x:f>
        <x:v>Invalid units; Invalid date; </x:v>
      </x:c>
      <x:c r="M129" t="str">
        <x:f>IF(K129=0,"Ready","Review")</x:f>
        <x:v>Review</x:v>
      </x:c>
    </x:row>
    <x:row r="130">
      <x:c r="A130" t="str">
        <x:f>UPPER(TRIM('Raw Sales'!A130))</x:f>
        <x:v>SAL-26-0125</x:v>
      </x:c>
      <x:c r="B130" t="str">
        <x:f>PROPER(TRIM('Raw Sales'!B130))</x:f>
        <x:v>Valley Primary</x:v>
      </x:c>
      <x:c r="C130" t="str">
        <x:f>IF(OR(UPPER(TRIM('Raw Sales'!C130))="BOCHUM",UPPER(TRIM('Raw Sales'!C130))="BOCHUM REGION"),"Bochum",IF(OR(UPPER(TRIM('Raw Sales'!C130))="ELDORADO",UPPER(TRIM('Raw Sales'!C130))="ELDOS"),"Eldorado","Review"))</x:f>
        <x:v>Eldorado</x:v>
      </x:c>
      <x:c r="D130" t="str">
        <x:f>PROPER(TRIM('Raw Sales'!D130))</x:f>
        <x:v>Pens</x:v>
      </x:c>
      <x:c r="E130" s="8" t="n">
        <x:f>IFERROR(VALUE('Raw Sales'!E130),"")</x:f>
        <x:v>12</x:v>
      </x:c>
      <x:c r="F130" s="9" t="n">
        <x:v>2364</x:v>
      </x:c>
      <x:c r="G130" s="10" t="n">
        <x:f>IFERROR(IF(OR(MID(TRIM('Raw Sales'!G130),5,1)="-",MID(TRIM('Raw Sales'!G130),5,1)="/"),DATE(VALUE(LEFT(TRIM('Raw Sales'!G130),4)),VALUE(MID(TRIM('Raw Sales'!G130),6,2)),VALUE(RIGHT(TRIM('Raw Sales'!G130),2))),IF(LEN(TRIM('Raw Sales'!G130))=10,DATE(VALUE(RIGHT(TRIM('Raw Sales'!G130),4)),VALUE(MID(TRIM('Raw Sales'!G130),4,2)),VALUE(LEFT(TRIM('Raw Sales'!G130),2))),IF(LEN(TRIM('Raw Sales'!G130))=8,DATE(2000+VALUE(RIGHT(TRIM('Raw Sales'!G130),2)),VALUE(MID(TRIM('Raw Sales'!G130),4,2)),VALUE(LEFT(TRIM('Raw Sales'!G130),2))),""))),"")</x:f>
        <x:v>46175</x:v>
      </x:c>
      <x:c r="H130" t="str">
        <x:f>IF(TRIM('Raw Sales'!H130)="","Missing",PROPER(TRIM('Raw Sales'!H130)))</x:f>
        <x:v>Thabo Ndlovu</x:v>
      </x:c>
      <x:c r="I130" t="str">
        <x:f>IF(OR(UPPER(TRIM('Raw Sales'!I130))="PAID",UPPER(TRIM('Raw Sales'!I130))="SETTLED",UPPER(TRIM('Raw Sales'!I130))="COMPLETE"),"Paid",IF(UPPER(TRIM('Raw Sales'!I130))="PENDING","Pending","Review"))</x:f>
        <x:v>Paid</x:v>
      </x:c>
      <x:c r="J130" t="str">
        <x:f>IF(A130="","Missing",IF(COUNTIF($A$6:A130,A130)&gt;1,"Duplicate","Unique"))</x:f>
        <x:v>Unique</x:v>
      </x:c>
      <x:c r="K130" s="11" t="n">
        <x:f>IF(A130="",1,0)+IF(B130="",1,0)+IF(C130="Review",1,0)+IF(D130="",1,0)+IF(OR(E130="",E130&lt;=0),1,0)+IF(OR(F130="",F130&lt;=0),1,0)+IF(G130="",1,0)+IF(H130="Missing",1,0)+IF(I130="Review",1,0)+IF(J130="Duplicate",1,0)</x:f>
        <x:v>0</x:v>
      </x:c>
      <x:c r="L130" s="12" t="str">
        <x:f>IF(A130="","Missing order ID; ","")&amp;IF(B130="","Missing school; ","")&amp;IF(C130="Review","Unmapped region; ","")&amp;IF(D130="","Missing product; ","")&amp;IF(OR(E130="",E130&lt;=0),"Invalid units; ","")&amp;IF(OR(F130="",F130&lt;=0),"Invalid amount; ","")&amp;IF(G130="","Invalid date; ","")&amp;IF(H130="Missing","Missing sales rep; ","")&amp;IF(I130="Review","Unmapped payment status; ","")&amp;IF(J130="Duplicate","Duplicate ID; ","")</x:f>
      </x:c>
      <x:c r="M130" t="str">
        <x:f>IF(K130=0,"Ready","Review")</x:f>
        <x:v>Ready</x:v>
      </x:c>
    </x:row>
    <x:row r="131">
      <x:c r="A131" t="str">
        <x:f>UPPER(TRIM('Raw Sales'!A131))</x:f>
        <x:v>SAL-26-0126</x:v>
      </x:c>
      <x:c r="B131" t="str">
        <x:f>PROPER(TRIM('Raw Sales'!B131))</x:f>
        <x:v>Mhlabeni Secondary</x:v>
      </x:c>
      <x:c r="C131" t="str">
        <x:f>IF(OR(UPPER(TRIM('Raw Sales'!C131))="BOCHUM",UPPER(TRIM('Raw Sales'!C131))="BOCHUM REGION"),"Bochum",IF(OR(UPPER(TRIM('Raw Sales'!C131))="ELDORADO",UPPER(TRIM('Raw Sales'!C131))="ELDOS"),"Eldorado","Review"))</x:f>
        <x:v>Eldorado</x:v>
      </x:c>
      <x:c r="D131" t="str">
        <x:f>PROPER(TRIM('Raw Sales'!D131))</x:f>
        <x:v>Glue Sticks</x:v>
      </x:c>
      <x:c r="E131" s="8" t="n">
        <x:f>IFERROR(VALUE('Raw Sales'!E131),"")</x:f>
        <x:v>19</x:v>
      </x:c>
      <x:c r="F131" s="9" t="n">
        <x:v>551</x:v>
      </x:c>
      <x:c r="G131" s="10" t="n">
        <x:f>IFERROR(IF(OR(MID(TRIM('Raw Sales'!G131),5,1)="-",MID(TRIM('Raw Sales'!G131),5,1)="/"),DATE(VALUE(LEFT(TRIM('Raw Sales'!G131),4)),VALUE(MID(TRIM('Raw Sales'!G131),6,2)),VALUE(RIGHT(TRIM('Raw Sales'!G131),2))),IF(LEN(TRIM('Raw Sales'!G131))=10,DATE(VALUE(RIGHT(TRIM('Raw Sales'!G131),4)),VALUE(MID(TRIM('Raw Sales'!G131),4,2)),VALUE(LEFT(TRIM('Raw Sales'!G131),2))),IF(LEN(TRIM('Raw Sales'!G131))=8,DATE(2000+VALUE(RIGHT(TRIM('Raw Sales'!G131),2)),VALUE(MID(TRIM('Raw Sales'!G131),4,2)),VALUE(LEFT(TRIM('Raw Sales'!G131),2))),""))),"")</x:f>
        <x:v>46206</x:v>
      </x:c>
      <x:c r="H131" t="str">
        <x:f>IF(TRIM('Raw Sales'!H131)="","Missing",PROPER(TRIM('Raw Sales'!H131)))</x:f>
        <x:v>Lebo Nkosi</x:v>
      </x:c>
      <x:c r="I131" t="str">
        <x:f>IF(OR(UPPER(TRIM('Raw Sales'!I131))="PAID",UPPER(TRIM('Raw Sales'!I131))="SETTLED",UPPER(TRIM('Raw Sales'!I131))="COMPLETE"),"Paid",IF(UPPER(TRIM('Raw Sales'!I131))="PENDING","Pending","Review"))</x:f>
        <x:v>Paid</x:v>
      </x:c>
      <x:c r="J131" t="str">
        <x:f>IF(A131="","Missing",IF(COUNTIF($A$6:A131,A131)&gt;1,"Duplicate","Unique"))</x:f>
        <x:v>Unique</x:v>
      </x:c>
      <x:c r="K131" s="11" t="n">
        <x:f>IF(A131="",1,0)+IF(B131="",1,0)+IF(C131="Review",1,0)+IF(D131="",1,0)+IF(OR(E131="",E131&lt;=0),1,0)+IF(OR(F131="",F131&lt;=0),1,0)+IF(G131="",1,0)+IF(H131="Missing",1,0)+IF(I131="Review",1,0)+IF(J131="Duplicate",1,0)</x:f>
        <x:v>0</x:v>
      </x:c>
      <x:c r="L131" s="12" t="str">
        <x:f>IF(A131="","Missing order ID; ","")&amp;IF(B131="","Missing school; ","")&amp;IF(C131="Review","Unmapped region; ","")&amp;IF(D131="","Missing product; ","")&amp;IF(OR(E131="",E131&lt;=0),"Invalid units; ","")&amp;IF(OR(F131="",F131&lt;=0),"Invalid amount; ","")&amp;IF(G131="","Invalid date; ","")&amp;IF(H131="Missing","Missing sales rep; ","")&amp;IF(I131="Review","Unmapped payment status; ","")&amp;IF(J131="Duplicate","Duplicate ID; ","")</x:f>
      </x:c>
      <x:c r="M131" t="str">
        <x:f>IF(K131=0,"Ready","Review")</x:f>
        <x:v>Ready</x:v>
      </x:c>
    </x:row>
    <x:row r="132">
      <x:c r="A132" t="str">
        <x:f>UPPER(TRIM('Raw Sales'!A132))</x:f>
        <x:v>SAL-26-0127</x:v>
      </x:c>
      <x:c r="B132" t="str">
        <x:f>PROPER(TRIM('Raw Sales'!B132))</x:f>
        <x:v>Meadowlands School</x:v>
      </x:c>
      <x:c r="C132" t="str">
        <x:f>IF(OR(UPPER(TRIM('Raw Sales'!C132))="BOCHUM",UPPER(TRIM('Raw Sales'!C132))="BOCHUM REGION"),"Bochum",IF(OR(UPPER(TRIM('Raw Sales'!C132))="ELDORADO",UPPER(TRIM('Raw Sales'!C132))="ELDOS"),"Eldorado","Review"))</x:f>
        <x:v>Bochum</x:v>
      </x:c>
      <x:c r="D132" t="str">
        <x:f>PROPER(TRIM('Raw Sales'!D132))</x:f>
        <x:v>Markers</x:v>
      </x:c>
      <x:c r="E132" s="8" t="n">
        <x:f>IFERROR(VALUE('Raw Sales'!E132),"")</x:f>
        <x:v>26</x:v>
      </x:c>
      <x:c r="F132" s="9" t="n">
        <x:v>1092</x:v>
      </x:c>
      <x:c r="G132" s="10" t="n">
        <x:f>IFERROR(IF(OR(MID(TRIM('Raw Sales'!G132),5,1)="-",MID(TRIM('Raw Sales'!G132),5,1)="/"),DATE(VALUE(LEFT(TRIM('Raw Sales'!G132),4)),VALUE(MID(TRIM('Raw Sales'!G132),6,2)),VALUE(RIGHT(TRIM('Raw Sales'!G132),2))),IF(LEN(TRIM('Raw Sales'!G132))=10,DATE(VALUE(RIGHT(TRIM('Raw Sales'!G132),4)),VALUE(MID(TRIM('Raw Sales'!G132),4,2)),VALUE(LEFT(TRIM('Raw Sales'!G132),2))),IF(LEN(TRIM('Raw Sales'!G132))=8,DATE(2000+VALUE(RIGHT(TRIM('Raw Sales'!G132),2)),VALUE(MID(TRIM('Raw Sales'!G132),4,2)),VALUE(LEFT(TRIM('Raw Sales'!G132),2))),""))),"")</x:f>
        <x:v>46238</x:v>
      </x:c>
      <x:c r="H132" t="str">
        <x:f>IF(TRIM('Raw Sales'!H132)="","Missing",PROPER(TRIM('Raw Sales'!H132)))</x:f>
        <x:v>Thabo Ndlovu</x:v>
      </x:c>
      <x:c r="I132" t="str">
        <x:f>IF(OR(UPPER(TRIM('Raw Sales'!I132))="PAID",UPPER(TRIM('Raw Sales'!I132))="SETTLED",UPPER(TRIM('Raw Sales'!I132))="COMPLETE"),"Paid",IF(UPPER(TRIM('Raw Sales'!I132))="PENDING","Pending","Review"))</x:f>
        <x:v>Pending</x:v>
      </x:c>
      <x:c r="J132" t="str">
        <x:f>IF(A132="","Missing",IF(COUNTIF($A$6:A132,A132)&gt;1,"Duplicate","Unique"))</x:f>
        <x:v>Unique</x:v>
      </x:c>
      <x:c r="K132" s="11" t="n">
        <x:f>IF(A132="",1,0)+IF(B132="",1,0)+IF(C132="Review",1,0)+IF(D132="",1,0)+IF(OR(E132="",E132&lt;=0),1,0)+IF(OR(F132="",F132&lt;=0),1,0)+IF(G132="",1,0)+IF(H132="Missing",1,0)+IF(I132="Review",1,0)+IF(J132="Duplicate",1,0)</x:f>
        <x:v>0</x:v>
      </x:c>
      <x:c r="L132" s="12" t="str">
        <x:f>IF(A132="","Missing order ID; ","")&amp;IF(B132="","Missing school; ","")&amp;IF(C132="Review","Unmapped region; ","")&amp;IF(D132="","Missing product; ","")&amp;IF(OR(E132="",E132&lt;=0),"Invalid units; ","")&amp;IF(OR(F132="",F132&lt;=0),"Invalid amount; ","")&amp;IF(G132="","Invalid date; ","")&amp;IF(H132="Missing","Missing sales rep; ","")&amp;IF(I132="Review","Unmapped payment status; ","")&amp;IF(J132="Duplicate","Duplicate ID; ","")</x:f>
      </x:c>
      <x:c r="M132" t="str">
        <x:f>IF(K132=0,"Ready","Review")</x:f>
        <x:v>Ready</x:v>
      </x:c>
    </x:row>
    <x:row r="133">
      <x:c r="A133" t="str">
        <x:f>UPPER(TRIM('Raw Sales'!A133))</x:f>
        <x:v>SAL-26-0128</x:v>
      </x:c>
      <x:c r="B133" t="str">
        <x:f>PROPER(TRIM('Raw Sales'!B133))</x:f>
        <x:v>Gardenview School</x:v>
      </x:c>
      <x:c r="C133" t="str">
        <x:f>IF(OR(UPPER(TRIM('Raw Sales'!C133))="BOCHUM",UPPER(TRIM('Raw Sales'!C133))="BOCHUM REGION"),"Bochum",IF(OR(UPPER(TRIM('Raw Sales'!C133))="ELDORADO",UPPER(TRIM('Raw Sales'!C133))="ELDOS"),"Eldorado","Review"))</x:f>
        <x:v>Eldorado</x:v>
      </x:c>
      <x:c r="D133" t="str">
        <x:f>PROPER(TRIM('Raw Sales'!D133))</x:f>
        <x:v>Notebooks</x:v>
      </x:c>
      <x:c r="E133" s="8" t="n">
        <x:f>IFERROR(VALUE('Raw Sales'!E133),"")</x:f>
        <x:v>33</x:v>
      </x:c>
      <x:c r="F133" s="9" t="n">
        <x:v>1815</x:v>
      </x:c>
      <x:c r="G133" s="10" t="n">
        <x:f>IFERROR(IF(OR(MID(TRIM('Raw Sales'!G133),5,1)="-",MID(TRIM('Raw Sales'!G133),5,1)="/"),DATE(VALUE(LEFT(TRIM('Raw Sales'!G133),4)),VALUE(MID(TRIM('Raw Sales'!G133),6,2)),VALUE(RIGHT(TRIM('Raw Sales'!G133),2))),IF(LEN(TRIM('Raw Sales'!G133))=10,DATE(VALUE(RIGHT(TRIM('Raw Sales'!G133),4)),VALUE(MID(TRIM('Raw Sales'!G133),4,2)),VALUE(LEFT(TRIM('Raw Sales'!G133),2))),IF(LEN(TRIM('Raw Sales'!G133))=8,DATE(2000+VALUE(RIGHT(TRIM('Raw Sales'!G133),2)),VALUE(MID(TRIM('Raw Sales'!G133),4,2)),VALUE(LEFT(TRIM('Raw Sales'!G133),2))),""))),"")</x:f>
        <x:v>46027</x:v>
      </x:c>
      <x:c r="H133" t="str">
        <x:f>IF(TRIM('Raw Sales'!H133)="","Missing",PROPER(TRIM('Raw Sales'!H133)))</x:f>
        <x:v>Lebo Nkosi</x:v>
      </x:c>
      <x:c r="I133" t="str">
        <x:f>IF(OR(UPPER(TRIM('Raw Sales'!I133))="PAID",UPPER(TRIM('Raw Sales'!I133))="SETTLED",UPPER(TRIM('Raw Sales'!I133))="COMPLETE"),"Paid",IF(UPPER(TRIM('Raw Sales'!I133))="PENDING","Pending","Review"))</x:f>
        <x:v>Paid</x:v>
      </x:c>
      <x:c r="J133" t="str">
        <x:f>IF(A133="","Missing",IF(COUNTIF($A$6:A133,A133)&gt;1,"Duplicate","Unique"))</x:f>
        <x:v>Unique</x:v>
      </x:c>
      <x:c r="K133" s="11" t="n">
        <x:f>IF(A133="",1,0)+IF(B133="",1,0)+IF(C133="Review",1,0)+IF(D133="",1,0)+IF(OR(E133="",E133&lt;=0),1,0)+IF(OR(F133="",F133&lt;=0),1,0)+IF(G133="",1,0)+IF(H133="Missing",1,0)+IF(I133="Review",1,0)+IF(J133="Duplicate",1,0)</x:f>
        <x:v>0</x:v>
      </x:c>
      <x:c r="L133" s="12" t="str">
        <x:f>IF(A133="","Missing order ID; ","")&amp;IF(B133="","Missing school; ","")&amp;IF(C133="Review","Unmapped region; ","")&amp;IF(D133="","Missing product; ","")&amp;IF(OR(E133="",E133&lt;=0),"Invalid units; ","")&amp;IF(OR(F133="",F133&lt;=0),"Invalid amount; ","")&amp;IF(G133="","Invalid date; ","")&amp;IF(H133="Missing","Missing sales rep; ","")&amp;IF(I133="Review","Unmapped payment status; ","")&amp;IF(J133="Duplicate","Duplicate ID; ","")</x:f>
      </x:c>
      <x:c r="M133" t="str">
        <x:f>IF(K133=0,"Ready","Review")</x:f>
        <x:v>Ready</x:v>
      </x:c>
    </x:row>
    <x:row r="134">
      <x:c r="A134" t="str">
        <x:f>UPPER(TRIM('Raw Sales'!A134))</x:f>
        <x:v>SAL-26-0129</x:v>
      </x:c>
      <x:c r="B134" t="str">
        <x:f>PROPER(TRIM('Raw Sales'!B134))</x:f>
        <x:v>Riverside Academy</x:v>
      </x:c>
      <x:c r="C134" t="str">
        <x:f>IF(OR(UPPER(TRIM('Raw Sales'!C134))="BOCHUM",UPPER(TRIM('Raw Sales'!C134))="BOCHUM REGION"),"Bochum",IF(OR(UPPER(TRIM('Raw Sales'!C134))="ELDORADO",UPPER(TRIM('Raw Sales'!C134))="ELDOS"),"Eldorado","Review"))</x:f>
        <x:v>Bochum</x:v>
      </x:c>
      <x:c r="D134" t="str">
        <x:f>PROPER(TRIM('Raw Sales'!D134))</x:f>
        <x:v>Rulers</x:v>
      </x:c>
      <x:c r="E134" s="8" t="n">
        <x:f>IFERROR(VALUE('Raw Sales'!E134),"")</x:f>
        <x:v>4</x:v>
      </x:c>
      <x:c r="F134" s="9"/>
      <x:c r="G134" s="10" t="n">
        <x:f>IFERROR(IF(OR(MID(TRIM('Raw Sales'!G134),5,1)="-",MID(TRIM('Raw Sales'!G134),5,1)="/"),DATE(VALUE(LEFT(TRIM('Raw Sales'!G134),4)),VALUE(MID(TRIM('Raw Sales'!G134),6,2)),VALUE(RIGHT(TRIM('Raw Sales'!G134),2))),IF(LEN(TRIM('Raw Sales'!G134))=10,DATE(VALUE(RIGHT(TRIM('Raw Sales'!G134),4)),VALUE(MID(TRIM('Raw Sales'!G134),4,2)),VALUE(LEFT(TRIM('Raw Sales'!G134),2))),IF(LEN(TRIM('Raw Sales'!G134))=8,DATE(2000+VALUE(RIGHT(TRIM('Raw Sales'!G134),2)),VALUE(MID(TRIM('Raw Sales'!G134),4,2)),VALUE(LEFT(TRIM('Raw Sales'!G134),2))),""))),"")</x:f>
        <x:v>46059</x:v>
      </x:c>
      <x:c r="H134" t="str">
        <x:f>IF(TRIM('Raw Sales'!H134)="","Missing",PROPER(TRIM('Raw Sales'!H134)))</x:f>
        <x:v>Thabo Ndlovu</x:v>
      </x:c>
      <x:c r="I134" t="str">
        <x:f>IF(OR(UPPER(TRIM('Raw Sales'!I134))="PAID",UPPER(TRIM('Raw Sales'!I134))="SETTLED",UPPER(TRIM('Raw Sales'!I134))="COMPLETE"),"Paid",IF(UPPER(TRIM('Raw Sales'!I134))="PENDING","Pending","Review"))</x:f>
        <x:v>Paid</x:v>
      </x:c>
      <x:c r="J134" t="str">
        <x:f>IF(A134="","Missing",IF(COUNTIF($A$6:A134,A134)&gt;1,"Duplicate","Unique"))</x:f>
        <x:v>Unique</x:v>
      </x:c>
      <x:c r="K134" s="11" t="n">
        <x:f>IF(A134="",1,0)+IF(B134="",1,0)+IF(C134="Review",1,0)+IF(D134="",1,0)+IF(OR(E134="",E134&lt;=0),1,0)+IF(OR(F134="",F134&lt;=0),1,0)+IF(G134="",1,0)+IF(H134="Missing",1,0)+IF(I134="Review",1,0)+IF(J134="Duplicate",1,0)</x:f>
        <x:v>1</x:v>
      </x:c>
      <x:c r="L134" s="12" t="str">
        <x:f>IF(A134="","Missing order ID; ","")&amp;IF(B134="","Missing school; ","")&amp;IF(C134="Review","Unmapped region; ","")&amp;IF(D134="","Missing product; ","")&amp;IF(OR(E134="",E134&lt;=0),"Invalid units; ","")&amp;IF(OR(F134="",F134&lt;=0),"Invalid amount; ","")&amp;IF(G134="","Invalid date; ","")&amp;IF(H134="Missing","Missing sales rep; ","")&amp;IF(I134="Review","Unmapped payment status; ","")&amp;IF(J134="Duplicate","Duplicate ID; ","")</x:f>
        <x:v>Invalid amount; </x:v>
      </x:c>
      <x:c r="M134" t="str">
        <x:f>IF(K134=0,"Ready","Review")</x:f>
        <x:v>Review</x:v>
      </x:c>
    </x:row>
    <x:row r="135">
      <x:c r="A135" t="str">
        <x:f>UPPER(TRIM('Raw Sales'!A135))</x:f>
        <x:v>SAL-26-0130</x:v>
      </x:c>
      <x:c r="B135" t="str">
        <x:f>PROPER(TRIM('Raw Sales'!B135))</x:f>
        <x:v>Maple Secondary</x:v>
      </x:c>
      <x:c r="C135" t="str">
        <x:f>IF(OR(UPPER(TRIM('Raw Sales'!C135))="BOCHUM",UPPER(TRIM('Raw Sales'!C135))="BOCHUM REGION"),"Bochum",IF(OR(UPPER(TRIM('Raw Sales'!C135))="ELDORADO",UPPER(TRIM('Raw Sales'!C135))="ELDOS"),"Eldorado","Review"))</x:f>
        <x:v>Eldorado</x:v>
      </x:c>
      <x:c r="D135" t="str">
        <x:f>PROPER(TRIM('Raw Sales'!D135))</x:f>
        <x:v>Exercise Books</x:v>
      </x:c>
      <x:c r="E135" s="8" t="n">
        <x:f>IFERROR(VALUE('Raw Sales'!E135),"")</x:f>
        <x:v>11</x:v>
      </x:c>
      <x:c r="F135" s="9" t="n">
        <x:v>891</x:v>
      </x:c>
      <x:c r="G135" s="10" t="n">
        <x:f>IFERROR(IF(OR(MID(TRIM('Raw Sales'!G135),5,1)="-",MID(TRIM('Raw Sales'!G135),5,1)="/"),DATE(VALUE(LEFT(TRIM('Raw Sales'!G135),4)),VALUE(MID(TRIM('Raw Sales'!G135),6,2)),VALUE(RIGHT(TRIM('Raw Sales'!G135),2))),IF(LEN(TRIM('Raw Sales'!G135))=10,DATE(VALUE(RIGHT(TRIM('Raw Sales'!G135),4)),VALUE(MID(TRIM('Raw Sales'!G135),4,2)),VALUE(LEFT(TRIM('Raw Sales'!G135),2))),IF(LEN(TRIM('Raw Sales'!G135))=8,DATE(2000+VALUE(RIGHT(TRIM('Raw Sales'!G135),2)),VALUE(MID(TRIM('Raw Sales'!G135),4,2)),VALUE(LEFT(TRIM('Raw Sales'!G135),2))),""))),"")</x:f>
        <x:v>46088</x:v>
      </x:c>
      <x:c r="H135" t="str">
        <x:f>IF(TRIM('Raw Sales'!H135)="","Missing",PROPER(TRIM('Raw Sales'!H135)))</x:f>
        <x:v>Lebo Nkosi</x:v>
      </x:c>
      <x:c r="I135" t="str">
        <x:f>IF(OR(UPPER(TRIM('Raw Sales'!I135))="PAID",UPPER(TRIM('Raw Sales'!I135))="SETTLED",UPPER(TRIM('Raw Sales'!I135))="COMPLETE"),"Paid",IF(UPPER(TRIM('Raw Sales'!I135))="PENDING","Pending","Review"))</x:f>
        <x:v>Pending</x:v>
      </x:c>
      <x:c r="J135" t="str">
        <x:f>IF(A135="","Missing",IF(COUNTIF($A$6:A135,A135)&gt;1,"Duplicate","Unique"))</x:f>
        <x:v>Unique</x:v>
      </x:c>
      <x:c r="K135" s="11" t="n">
        <x:f>IF(A135="",1,0)+IF(B135="",1,0)+IF(C135="Review",1,0)+IF(D135="",1,0)+IF(OR(E135="",E135&lt;=0),1,0)+IF(OR(F135="",F135&lt;=0),1,0)+IF(G135="",1,0)+IF(H135="Missing",1,0)+IF(I135="Review",1,0)+IF(J135="Duplicate",1,0)</x:f>
        <x:v>0</x:v>
      </x:c>
      <x:c r="L135" s="12" t="str">
        <x:f>IF(A135="","Missing order ID; ","")&amp;IF(B135="","Missing school; ","")&amp;IF(C135="Review","Unmapped region; ","")&amp;IF(D135="","Missing product; ","")&amp;IF(OR(E135="",E135&lt;=0),"Invalid units; ","")&amp;IF(OR(F135="",F135&lt;=0),"Invalid amount; ","")&amp;IF(G135="","Invalid date; ","")&amp;IF(H135="Missing","Missing sales rep; ","")&amp;IF(I135="Review","Unmapped payment status; ","")&amp;IF(J135="Duplicate","Duplicate ID; ","")</x:f>
      </x:c>
      <x:c r="M135" t="str">
        <x:f>IF(K135=0,"Ready","Review")</x:f>
        <x:v>Ready</x:v>
      </x:c>
    </x:row>
    <x:row r="136">
      <x:c r="A136" t="str">
        <x:f>UPPER(TRIM('Raw Sales'!A136))</x:f>
        <x:v>SAL-26-0131</x:v>
      </x:c>
      <x:c r="B136" t="str">
        <x:f>PROPER(TRIM('Raw Sales'!B136))</x:f>
        <x:v>Pinecrest School</x:v>
      </x:c>
      <x:c r="C136" t="str">
        <x:f>IF(OR(UPPER(TRIM('Raw Sales'!C136))="BOCHUM",UPPER(TRIM('Raw Sales'!C136))="BOCHUM REGION"),"Bochum",IF(OR(UPPER(TRIM('Raw Sales'!C136))="ELDORADO",UPPER(TRIM('Raw Sales'!C136))="ELDOS"),"Eldorado","Review"))</x:f>
        <x:v>Bochum</x:v>
      </x:c>
      <x:c r="D136" t="str">
        <x:f>PROPER(TRIM('Raw Sales'!D136))</x:f>
        <x:v>Pencils</x:v>
      </x:c>
      <x:c r="E136" s="8" t="n">
        <x:f>IFERROR(VALUE('Raw Sales'!E136),"")</x:f>
        <x:v>18</x:v>
      </x:c>
      <x:c r="F136" s="9" t="n">
        <x:v>1692</x:v>
      </x:c>
      <x:c r="G136" s="10" t="n">
        <x:f>IFERROR(IF(OR(MID(TRIM('Raw Sales'!G136),5,1)="-",MID(TRIM('Raw Sales'!G136),5,1)="/"),DATE(VALUE(LEFT(TRIM('Raw Sales'!G136),4)),VALUE(MID(TRIM('Raw Sales'!G136),6,2)),VALUE(RIGHT(TRIM('Raw Sales'!G136),2))),IF(LEN(TRIM('Raw Sales'!G136))=10,DATE(VALUE(RIGHT(TRIM('Raw Sales'!G136),4)),VALUE(MID(TRIM('Raw Sales'!G136),4,2)),VALUE(LEFT(TRIM('Raw Sales'!G136),2))),IF(LEN(TRIM('Raw Sales'!G136))=8,DATE(2000+VALUE(RIGHT(TRIM('Raw Sales'!G136),2)),VALUE(MID(TRIM('Raw Sales'!G136),4,2)),VALUE(LEFT(TRIM('Raw Sales'!G136),2))),""))),"")</x:f>
        <x:v>46120</x:v>
      </x:c>
      <x:c r="H136" t="str">
        <x:f>IF(TRIM('Raw Sales'!H136)="","Missing",PROPER(TRIM('Raw Sales'!H136)))</x:f>
        <x:v>Thabo Ndlovu</x:v>
      </x:c>
      <x:c r="I136" t="str">
        <x:f>IF(OR(UPPER(TRIM('Raw Sales'!I136))="PAID",UPPER(TRIM('Raw Sales'!I136))="SETTLED",UPPER(TRIM('Raw Sales'!I136))="COMPLETE"),"Paid",IF(UPPER(TRIM('Raw Sales'!I136))="PENDING","Pending","Review"))</x:f>
        <x:v>Paid</x:v>
      </x:c>
      <x:c r="J136" t="str">
        <x:f>IF(A136="","Missing",IF(COUNTIF($A$6:A136,A136)&gt;1,"Duplicate","Unique"))</x:f>
        <x:v>Unique</x:v>
      </x:c>
      <x:c r="K136" s="11" t="n">
        <x:f>IF(A136="",1,0)+IF(B136="",1,0)+IF(C136="Review",1,0)+IF(D136="",1,0)+IF(OR(E136="",E136&lt;=0),1,0)+IF(OR(F136="",F136&lt;=0),1,0)+IF(G136="",1,0)+IF(H136="Missing",1,0)+IF(I136="Review",1,0)+IF(J136="Duplicate",1,0)</x:f>
        <x:v>0</x:v>
      </x:c>
      <x:c r="L136" s="12" t="str">
        <x:f>IF(A136="","Missing order ID; ","")&amp;IF(B136="","Missing school; ","")&amp;IF(C136="Review","Unmapped region; ","")&amp;IF(D136="","Missing product; ","")&amp;IF(OR(E136="",E136&lt;=0),"Invalid units; ","")&amp;IF(OR(F136="",F136&lt;=0),"Invalid amount; ","")&amp;IF(G136="","Invalid date; ","")&amp;IF(H136="Missing","Missing sales rep; ","")&amp;IF(I136="Review","Unmapped payment status; ","")&amp;IF(J136="Duplicate","Duplicate ID; ","")</x:f>
      </x:c>
      <x:c r="M136" t="str">
        <x:f>IF(K136=0,"Ready","Review")</x:f>
        <x:v>Ready</x:v>
      </x:c>
    </x:row>
    <x:row r="137">
      <x:c r="A137" t="str">
        <x:f>UPPER(TRIM('Raw Sales'!A137))</x:f>
        <x:v>SAL-26-0132</x:v>
      </x:c>
      <x:c r="B137" t="str">
        <x:f>PROPER(TRIM('Raw Sales'!B137))</x:f>
        <x:v>Northstar Academy</x:v>
      </x:c>
      <x:c r="C137" t="str">
        <x:f>IF(OR(UPPER(TRIM('Raw Sales'!C137))="BOCHUM",UPPER(TRIM('Raw Sales'!C137))="BOCHUM REGION"),"Bochum",IF(OR(UPPER(TRIM('Raw Sales'!C137))="ELDORADO",UPPER(TRIM('Raw Sales'!C137))="ELDOS"),"Eldorado","Review"))</x:f>
        <x:v>Bochum</x:v>
      </x:c>
      <x:c r="D137" t="str">
        <x:f>PROPER(TRIM('Raw Sales'!D137))</x:f>
        <x:v>Folders</x:v>
      </x:c>
      <x:c r="E137" s="8" t="n">
        <x:f>IFERROR(VALUE('Raw Sales'!E137),"")</x:f>
        <x:v>25</x:v>
      </x:c>
      <x:c r="F137" s="9" t="n">
        <x:v>2675</x:v>
      </x:c>
      <x:c r="G137" s="10" t="n">
        <x:f>IFERROR(IF(OR(MID(TRIM('Raw Sales'!G137),5,1)="-",MID(TRIM('Raw Sales'!G137),5,1)="/"),DATE(VALUE(LEFT(TRIM('Raw Sales'!G137),4)),VALUE(MID(TRIM('Raw Sales'!G137),6,2)),VALUE(RIGHT(TRIM('Raw Sales'!G137),2))),IF(LEN(TRIM('Raw Sales'!G137))=10,DATE(VALUE(RIGHT(TRIM('Raw Sales'!G137),4)),VALUE(MID(TRIM('Raw Sales'!G137),4,2)),VALUE(LEFT(TRIM('Raw Sales'!G137),2))),IF(LEN(TRIM('Raw Sales'!G137))=8,DATE(2000+VALUE(RIGHT(TRIM('Raw Sales'!G137),2)),VALUE(MID(TRIM('Raw Sales'!G137),4,2)),VALUE(LEFT(TRIM('Raw Sales'!G137),2))),""))),"")</x:f>
        <x:v>46151</x:v>
      </x:c>
      <x:c r="H137" t="str">
        <x:f>IF(TRIM('Raw Sales'!H137)="","Missing",PROPER(TRIM('Raw Sales'!H137)))</x:f>
        <x:v>Lebo Nkosi</x:v>
      </x:c>
      <x:c r="I137" t="str">
        <x:f>IF(OR(UPPER(TRIM('Raw Sales'!I137))="PAID",UPPER(TRIM('Raw Sales'!I137))="SETTLED",UPPER(TRIM('Raw Sales'!I137))="COMPLETE"),"Paid",IF(UPPER(TRIM('Raw Sales'!I137))="PENDING","Pending","Review"))</x:f>
        <x:v>Paid</x:v>
      </x:c>
      <x:c r="J137" t="str">
        <x:f>IF(A137="","Missing",IF(COUNTIF($A$6:A137,A137)&gt;1,"Duplicate","Unique"))</x:f>
        <x:v>Unique</x:v>
      </x:c>
      <x:c r="K137" s="11" t="n">
        <x:f>IF(A137="",1,0)+IF(B137="",1,0)+IF(C137="Review",1,0)+IF(D137="",1,0)+IF(OR(E137="",E137&lt;=0),1,0)+IF(OR(F137="",F137&lt;=0),1,0)+IF(G137="",1,0)+IF(H137="Missing",1,0)+IF(I137="Review",1,0)+IF(J137="Duplicate",1,0)</x:f>
        <x:v>0</x:v>
      </x:c>
      <x:c r="L137" s="12" t="str">
        <x:f>IF(A137="","Missing order ID; ","")&amp;IF(B137="","Missing school; ","")&amp;IF(C137="Review","Unmapped region; ","")&amp;IF(D137="","Missing product; ","")&amp;IF(OR(E137="",E137&lt;=0),"Invalid units; ","")&amp;IF(OR(F137="",F137&lt;=0),"Invalid amount; ","")&amp;IF(G137="","Invalid date; ","")&amp;IF(H137="Missing","Missing sales rep; ","")&amp;IF(I137="Review","Unmapped payment status; ","")&amp;IF(J137="Duplicate","Duplicate ID; ","")</x:f>
      </x:c>
      <x:c r="M137" t="str">
        <x:f>IF(K137=0,"Ready","Review")</x:f>
        <x:v>Ready</x:v>
      </x:c>
    </x:row>
    <x:row r="138">
      <x:c r="A138" t="str">
        <x:f>UPPER(TRIM('Raw Sales'!A138))</x:f>
        <x:v>SAL-26-0133</x:v>
      </x:c>
      <x:c r="B138" t="str">
        <x:f>PROPER(TRIM('Raw Sales'!B138))</x:f>
        <x:v>Crescent Primary</x:v>
      </x:c>
      <x:c r="C138" t="str">
        <x:f>IF(OR(UPPER(TRIM('Raw Sales'!C138))="BOCHUM",UPPER(TRIM('Raw Sales'!C138))="BOCHUM REGION"),"Bochum",IF(OR(UPPER(TRIM('Raw Sales'!C138))="ELDORADO",UPPER(TRIM('Raw Sales'!C138))="ELDOS"),"Eldorado","Review"))</x:f>
        <x:v>Eldorado</x:v>
      </x:c>
      <x:c r="D138" t="str">
        <x:f>PROPER(TRIM('Raw Sales'!D138))</x:f>
        <x:v>Pens</x:v>
      </x:c>
      <x:c r="E138" s="8" t="n">
        <x:f>IFERROR(VALUE('Raw Sales'!E138),"")</x:f>
        <x:v>32</x:v>
      </x:c>
      <x:c r="F138" s="9" t="n">
        <x:v>3840</x:v>
      </x:c>
      <x:c r="G138" s="10" t="n">
        <x:f>IFERROR(IF(OR(MID(TRIM('Raw Sales'!G138),5,1)="-",MID(TRIM('Raw Sales'!G138),5,1)="/"),DATE(VALUE(LEFT(TRIM('Raw Sales'!G138),4)),VALUE(MID(TRIM('Raw Sales'!G138),6,2)),VALUE(RIGHT(TRIM('Raw Sales'!G138),2))),IF(LEN(TRIM('Raw Sales'!G138))=10,DATE(VALUE(RIGHT(TRIM('Raw Sales'!G138),4)),VALUE(MID(TRIM('Raw Sales'!G138),4,2)),VALUE(LEFT(TRIM('Raw Sales'!G138),2))),IF(LEN(TRIM('Raw Sales'!G138))=8,DATE(2000+VALUE(RIGHT(TRIM('Raw Sales'!G138),2)),VALUE(MID(TRIM('Raw Sales'!G138),4,2)),VALUE(LEFT(TRIM('Raw Sales'!G138),2))),""))),"")</x:f>
        <x:v>46183</x:v>
      </x:c>
      <x:c r="H138" t="str">
        <x:f>IF(TRIM('Raw Sales'!H138)="","Missing",PROPER(TRIM('Raw Sales'!H138)))</x:f>
        <x:v>Thabo Ndlovu</x:v>
      </x:c>
      <x:c r="I138" t="str">
        <x:f>IF(OR(UPPER(TRIM('Raw Sales'!I138))="PAID",UPPER(TRIM('Raw Sales'!I138))="SETTLED",UPPER(TRIM('Raw Sales'!I138))="COMPLETE"),"Paid",IF(UPPER(TRIM('Raw Sales'!I138))="PENDING","Pending","Review"))</x:f>
        <x:v>Paid</x:v>
      </x:c>
      <x:c r="J138" t="str">
        <x:f>IF(A138="","Missing",IF(COUNTIF($A$6:A138,A138)&gt;1,"Duplicate","Unique"))</x:f>
        <x:v>Unique</x:v>
      </x:c>
      <x:c r="K138" s="11" t="n">
        <x:f>IF(A138="",1,0)+IF(B138="",1,0)+IF(C138="Review",1,0)+IF(D138="",1,0)+IF(OR(E138="",E138&lt;=0),1,0)+IF(OR(F138="",F138&lt;=0),1,0)+IF(G138="",1,0)+IF(H138="Missing",1,0)+IF(I138="Review",1,0)+IF(J138="Duplicate",1,0)</x:f>
        <x:v>0</x:v>
      </x:c>
      <x:c r="L138" s="12" t="str">
        <x:f>IF(A138="","Missing order ID; ","")&amp;IF(B138="","Missing school; ","")&amp;IF(C138="Review","Unmapped region; ","")&amp;IF(D138="","Missing product; ","")&amp;IF(OR(E138="",E138&lt;=0),"Invalid units; ","")&amp;IF(OR(F138="",F138&lt;=0),"Invalid amount; ","")&amp;IF(G138="","Invalid date; ","")&amp;IF(H138="Missing","Missing sales rep; ","")&amp;IF(I138="Review","Unmapped payment status; ","")&amp;IF(J138="Duplicate","Duplicate ID; ","")</x:f>
      </x:c>
      <x:c r="M138" t="str">
        <x:f>IF(K138=0,"Ready","Review")</x:f>
        <x:v>Ready</x:v>
      </x:c>
    </x:row>
    <x:row r="139">
      <x:c r="A139" t="str">
        <x:f>UPPER(TRIM('Raw Sales'!A139))</x:f>
        <x:v>SAL-26-0134</x:v>
      </x:c>
      <x:c r="B139" t="str">
        <x:f>PROPER(TRIM('Raw Sales'!B139))</x:f>
        <x:v>Hillview Primary</x:v>
      </x:c>
      <x:c r="C139" t="str">
        <x:f>IF(OR(UPPER(TRIM('Raw Sales'!C139))="BOCHUM",UPPER(TRIM('Raw Sales'!C139))="BOCHUM REGION"),"Bochum",IF(OR(UPPER(TRIM('Raw Sales'!C139))="ELDORADO",UPPER(TRIM('Raw Sales'!C139))="ELDOS"),"Eldorado","Review"))</x:f>
        <x:v>Bochum</x:v>
      </x:c>
      <x:c r="D139" t="str">
        <x:f>PROPER(TRIM('Raw Sales'!D139))</x:f>
        <x:v>Glue Sticks</x:v>
      </x:c>
      <x:c r="E139" s="8" t="n">
        <x:f>IFERROR(VALUE('Raw Sales'!E139),"")</x:f>
        <x:v>3</x:v>
      </x:c>
      <x:c r="F139" s="9" t="n">
        <x:v>399</x:v>
      </x:c>
      <x:c r="G139" s="10" t="n">
        <x:f>IFERROR(IF(OR(MID(TRIM('Raw Sales'!G139),5,1)="-",MID(TRIM('Raw Sales'!G139),5,1)="/"),DATE(VALUE(LEFT(TRIM('Raw Sales'!G139),4)),VALUE(MID(TRIM('Raw Sales'!G139),6,2)),VALUE(RIGHT(TRIM('Raw Sales'!G139),2))),IF(LEN(TRIM('Raw Sales'!G139))=10,DATE(VALUE(RIGHT(TRIM('Raw Sales'!G139),4)),VALUE(MID(TRIM('Raw Sales'!G139),4,2)),VALUE(LEFT(TRIM('Raw Sales'!G139),2))),IF(LEN(TRIM('Raw Sales'!G139))=8,DATE(2000+VALUE(RIGHT(TRIM('Raw Sales'!G139),2)),VALUE(MID(TRIM('Raw Sales'!G139),4,2)),VALUE(LEFT(TRIM('Raw Sales'!G139),2))),""))),"")</x:f>
        <x:v>46214</x:v>
      </x:c>
      <x:c r="H139" t="str">
        <x:f>IF(TRIM('Raw Sales'!H139)="","Missing",PROPER(TRIM('Raw Sales'!H139)))</x:f>
        <x:v>Lebo Nkosi</x:v>
      </x:c>
      <x:c r="I139" t="str">
        <x:f>IF(OR(UPPER(TRIM('Raw Sales'!I139))="PAID",UPPER(TRIM('Raw Sales'!I139))="SETTLED",UPPER(TRIM('Raw Sales'!I139))="COMPLETE"),"Paid",IF(UPPER(TRIM('Raw Sales'!I139))="PENDING","Pending","Review"))</x:f>
        <x:v>Paid</x:v>
      </x:c>
      <x:c r="J139" t="str">
        <x:f>IF(A139="","Missing",IF(COUNTIF($A$6:A139,A139)&gt;1,"Duplicate","Unique"))</x:f>
        <x:v>Unique</x:v>
      </x:c>
      <x:c r="K139" s="11" t="n">
        <x:f>IF(A139="",1,0)+IF(B139="",1,0)+IF(C139="Review",1,0)+IF(D139="",1,0)+IF(OR(E139="",E139&lt;=0),1,0)+IF(OR(F139="",F139&lt;=0),1,0)+IF(G139="",1,0)+IF(H139="Missing",1,0)+IF(I139="Review",1,0)+IF(J139="Duplicate",1,0)</x:f>
        <x:v>0</x:v>
      </x:c>
      <x:c r="L139" s="12" t="str">
        <x:f>IF(A139="","Missing order ID; ","")&amp;IF(B139="","Missing school; ","")&amp;IF(C139="Review","Unmapped region; ","")&amp;IF(D139="","Missing product; ","")&amp;IF(OR(E139="",E139&lt;=0),"Invalid units; ","")&amp;IF(OR(F139="",F139&lt;=0),"Invalid amount; ","")&amp;IF(G139="","Invalid date; ","")&amp;IF(H139="Missing","Missing sales rep; ","")&amp;IF(I139="Review","Unmapped payment status; ","")&amp;IF(J139="Duplicate","Duplicate ID; ","")</x:f>
      </x:c>
      <x:c r="M139" t="str">
        <x:f>IF(K139=0,"Ready","Review")</x:f>
        <x:v>Ready</x:v>
      </x:c>
    </x:row>
    <x:row r="140">
      <x:c r="A140" t="str">
        <x:f>UPPER(TRIM('Raw Sales'!A140))</x:f>
        <x:v>SAL-26-0135</x:v>
      </x:c>
      <x:c r="B140" t="str">
        <x:f>PROPER(TRIM('Raw Sales'!B140))</x:f>
        <x:v>Eastwood Academy</x:v>
      </x:c>
      <x:c r="C140" t="str">
        <x:f>IF(OR(UPPER(TRIM('Raw Sales'!C140))="BOCHUM",UPPER(TRIM('Raw Sales'!C140))="BOCHUM REGION"),"Bochum",IF(OR(UPPER(TRIM('Raw Sales'!C140))="ELDORADO",UPPER(TRIM('Raw Sales'!C140))="ELDOS"),"Eldorado","Review"))</x:f>
        <x:v>Eldorado</x:v>
      </x:c>
      <x:c r="D140" t="str">
        <x:f>PROPER(TRIM('Raw Sales'!D140))</x:f>
        <x:v>Markers</x:v>
      </x:c>
      <x:c r="E140" s="8" t="n">
        <x:f>IFERROR(VALUE('Raw Sales'!E140),"")</x:f>
        <x:v>10</x:v>
      </x:c>
      <x:c r="F140" s="9" t="n">
        <x:v>1460</x:v>
      </x:c>
      <x:c r="G140" s="10" t="n">
        <x:f>IFERROR(IF(OR(MID(TRIM('Raw Sales'!G140),5,1)="-",MID(TRIM('Raw Sales'!G140),5,1)="/"),DATE(VALUE(LEFT(TRIM('Raw Sales'!G140),4)),VALUE(MID(TRIM('Raw Sales'!G140),6,2)),VALUE(RIGHT(TRIM('Raw Sales'!G140),2))),IF(LEN(TRIM('Raw Sales'!G140))=10,DATE(VALUE(RIGHT(TRIM('Raw Sales'!G140),4)),VALUE(MID(TRIM('Raw Sales'!G140),4,2)),VALUE(LEFT(TRIM('Raw Sales'!G140),2))),IF(LEN(TRIM('Raw Sales'!G140))=8,DATE(2000+VALUE(RIGHT(TRIM('Raw Sales'!G140),2)),VALUE(MID(TRIM('Raw Sales'!G140),4,2)),VALUE(LEFT(TRIM('Raw Sales'!G140),2))),""))),"")</x:f>
        <x:v>46246</x:v>
      </x:c>
      <x:c r="H140" t="str">
        <x:f>IF(TRIM('Raw Sales'!H140)="","Missing",PROPER(TRIM('Raw Sales'!H140)))</x:f>
        <x:v>Thabo Ndlovu</x:v>
      </x:c>
      <x:c r="I140" t="str">
        <x:f>IF(OR(UPPER(TRIM('Raw Sales'!I140))="PAID",UPPER(TRIM('Raw Sales'!I140))="SETTLED",UPPER(TRIM('Raw Sales'!I140))="COMPLETE"),"Paid",IF(UPPER(TRIM('Raw Sales'!I140))="PENDING","Pending","Review"))</x:f>
        <x:v>Pending</x:v>
      </x:c>
      <x:c r="J140" t="str">
        <x:f>IF(A140="","Missing",IF(COUNTIF($A$6:A140,A140)&gt;1,"Duplicate","Unique"))</x:f>
        <x:v>Unique</x:v>
      </x:c>
      <x:c r="K140" s="11" t="n">
        <x:f>IF(A140="",1,0)+IF(B140="",1,0)+IF(C140="Review",1,0)+IF(D140="",1,0)+IF(OR(E140="",E140&lt;=0),1,0)+IF(OR(F140="",F140&lt;=0),1,0)+IF(G140="",1,0)+IF(H140="Missing",1,0)+IF(I140="Review",1,0)+IF(J140="Duplicate",1,0)</x:f>
        <x:v>0</x:v>
      </x:c>
      <x:c r="L140" s="12" t="str">
        <x:f>IF(A140="","Missing order ID; ","")&amp;IF(B140="","Missing school; ","")&amp;IF(C140="Review","Unmapped region; ","")&amp;IF(D140="","Missing product; ","")&amp;IF(OR(E140="",E140&lt;=0),"Invalid units; ","")&amp;IF(OR(F140="",F140&lt;=0),"Invalid amount; ","")&amp;IF(G140="","Invalid date; ","")&amp;IF(H140="Missing","Missing sales rep; ","")&amp;IF(I140="Review","Unmapped payment status; ","")&amp;IF(J140="Duplicate","Duplicate ID; ","")</x:f>
      </x:c>
      <x:c r="M140" t="str">
        <x:f>IF(K140=0,"Ready","Review")</x:f>
        <x:v>Ready</x:v>
      </x:c>
    </x:row>
    <x:row r="141">
      <x:c r="A141" t="str">
        <x:f>UPPER(TRIM('Raw Sales'!A141))</x:f>
        <x:v>SAL-26-0136</x:v>
      </x:c>
      <x:c r="B141" t="str">
        <x:f>PROPER(TRIM('Raw Sales'!B141))</x:f>
        <x:v>Lakeside School</x:v>
      </x:c>
      <x:c r="C141" t="str">
        <x:f>IF(OR(UPPER(TRIM('Raw Sales'!C141))="BOCHUM",UPPER(TRIM('Raw Sales'!C141))="BOCHUM REGION"),"Bochum",IF(OR(UPPER(TRIM('Raw Sales'!C141))="ELDORADO",UPPER(TRIM('Raw Sales'!C141))="ELDOS"),"Eldorado","Review"))</x:f>
        <x:v>Bochum</x:v>
      </x:c>
      <x:c r="D141" t="str">
        <x:f>PROPER(TRIM('Raw Sales'!D141))</x:f>
        <x:v>Notebooks</x:v>
      </x:c>
      <x:c r="E141" s="8" t="n">
        <x:f>IFERROR(VALUE('Raw Sales'!E141),"")</x:f>
        <x:v>17</x:v>
      </x:c>
      <x:c r="F141" s="9"/>
      <x:c r="G141" s="10" t="n">
        <x:f>IFERROR(IF(OR(MID(TRIM('Raw Sales'!G141),5,1)="-",MID(TRIM('Raw Sales'!G141),5,1)="/"),DATE(VALUE(LEFT(TRIM('Raw Sales'!G141),4)),VALUE(MID(TRIM('Raw Sales'!G141),6,2)),VALUE(RIGHT(TRIM('Raw Sales'!G141),2))),IF(LEN(TRIM('Raw Sales'!G141))=10,DATE(VALUE(RIGHT(TRIM('Raw Sales'!G141),4)),VALUE(MID(TRIM('Raw Sales'!G141),4,2)),VALUE(LEFT(TRIM('Raw Sales'!G141),2))),IF(LEN(TRIM('Raw Sales'!G141))=8,DATE(2000+VALUE(RIGHT(TRIM('Raw Sales'!G141),2)),VALUE(MID(TRIM('Raw Sales'!G141),4,2)),VALUE(LEFT(TRIM('Raw Sales'!G141),2))),""))),"")</x:f>
        <x:v>46035</x:v>
      </x:c>
      <x:c r="H141" t="str">
        <x:f>IF(TRIM('Raw Sales'!H141)="","Missing",PROPER(TRIM('Raw Sales'!H141)))</x:f>
        <x:v>Lebo Nkosi</x:v>
      </x:c>
      <x:c r="I141" t="str">
        <x:f>IF(OR(UPPER(TRIM('Raw Sales'!I141))="PAID",UPPER(TRIM('Raw Sales'!I141))="SETTLED",UPPER(TRIM('Raw Sales'!I141))="COMPLETE"),"Paid",IF(UPPER(TRIM('Raw Sales'!I141))="PENDING","Pending","Review"))</x:f>
        <x:v>Pending</x:v>
      </x:c>
      <x:c r="J141" t="str">
        <x:f>IF(A141="","Missing",IF(COUNTIF($A$6:A141,A141)&gt;1,"Duplicate","Unique"))</x:f>
        <x:v>Unique</x:v>
      </x:c>
      <x:c r="K141" s="11" t="n">
        <x:f>IF(A141="",1,0)+IF(B141="",1,0)+IF(C141="Review",1,0)+IF(D141="",1,0)+IF(OR(E141="",E141&lt;=0),1,0)+IF(OR(F141="",F141&lt;=0),1,0)+IF(G141="",1,0)+IF(H141="Missing",1,0)+IF(I141="Review",1,0)+IF(J141="Duplicate",1,0)</x:f>
        <x:v>1</x:v>
      </x:c>
      <x:c r="L141" s="12" t="str">
        <x:f>IF(A141="","Missing order ID; ","")&amp;IF(B141="","Missing school; ","")&amp;IF(C141="Review","Unmapped region; ","")&amp;IF(D141="","Missing product; ","")&amp;IF(OR(E141="",E141&lt;=0),"Invalid units; ","")&amp;IF(OR(F141="",F141&lt;=0),"Invalid amount; ","")&amp;IF(G141="","Invalid date; ","")&amp;IF(H141="Missing","Missing sales rep; ","")&amp;IF(I141="Review","Unmapped payment status; ","")&amp;IF(J141="Duplicate","Duplicate ID; ","")</x:f>
        <x:v>Invalid amount; </x:v>
      </x:c>
      <x:c r="M141" t="str">
        <x:f>IF(K141=0,"Ready","Review")</x:f>
        <x:v>Review</x:v>
      </x:c>
    </x:row>
    <x:row r="142">
      <x:c r="A142" t="str">
        <x:f>UPPER(TRIM('Raw Sales'!A142))</x:f>
        <x:v>SAL-26-0137</x:v>
      </x:c>
      <x:c r="B142" t="str">
        <x:f>PROPER(TRIM('Raw Sales'!B142))</x:f>
        <x:v>Valley Primary</x:v>
      </x:c>
      <x:c r="C142" t="str">
        <x:f>IF(OR(UPPER(TRIM('Raw Sales'!C142))="BOCHUM",UPPER(TRIM('Raw Sales'!C142))="BOCHUM REGION"),"Bochum",IF(OR(UPPER(TRIM('Raw Sales'!C142))="ELDORADO",UPPER(TRIM('Raw Sales'!C142))="ELDOS"),"Eldorado","Review"))</x:f>
        <x:v>Eldorado</x:v>
      </x:c>
      <x:c r="D142" t="str">
        <x:f>PROPER(TRIM('Raw Sales'!D142))</x:f>
        <x:v>Rulers</x:v>
      </x:c>
      <x:c r="E142" s="8" t="n">
        <x:f>IFERROR(VALUE('Raw Sales'!E142),"")</x:f>
        <x:v>24</x:v>
      </x:c>
      <x:c r="F142" s="9" t="n">
        <x:v>4128</x:v>
      </x:c>
      <x:c r="G142" s="10" t="n">
        <x:f>IFERROR(IF(OR(MID(TRIM('Raw Sales'!G142),5,1)="-",MID(TRIM('Raw Sales'!G142),5,1)="/"),DATE(VALUE(LEFT(TRIM('Raw Sales'!G142),4)),VALUE(MID(TRIM('Raw Sales'!G142),6,2)),VALUE(RIGHT(TRIM('Raw Sales'!G142),2))),IF(LEN(TRIM('Raw Sales'!G142))=10,DATE(VALUE(RIGHT(TRIM('Raw Sales'!G142),4)),VALUE(MID(TRIM('Raw Sales'!G142),4,2)),VALUE(LEFT(TRIM('Raw Sales'!G142),2))),IF(LEN(TRIM('Raw Sales'!G142))=8,DATE(2000+VALUE(RIGHT(TRIM('Raw Sales'!G142),2)),VALUE(MID(TRIM('Raw Sales'!G142),4,2)),VALUE(LEFT(TRIM('Raw Sales'!G142),2))),""))),"")</x:f>
        <x:v>46067</x:v>
      </x:c>
      <x:c r="H142" t="str">
        <x:f>IF(TRIM('Raw Sales'!H142)="","Missing",PROPER(TRIM('Raw Sales'!H142)))</x:f>
        <x:v>Thabo Ndlovu</x:v>
      </x:c>
      <x:c r="I142" t="str">
        <x:f>IF(OR(UPPER(TRIM('Raw Sales'!I142))="PAID",UPPER(TRIM('Raw Sales'!I142))="SETTLED",UPPER(TRIM('Raw Sales'!I142))="COMPLETE"),"Paid",IF(UPPER(TRIM('Raw Sales'!I142))="PENDING","Pending","Review"))</x:f>
        <x:v>Paid</x:v>
      </x:c>
      <x:c r="J142" t="str">
        <x:f>IF(A142="","Missing",IF(COUNTIF($A$6:A142,A142)&gt;1,"Duplicate","Unique"))</x:f>
        <x:v>Unique</x:v>
      </x:c>
      <x:c r="K142" s="11" t="n">
        <x:f>IF(A142="",1,0)+IF(B142="",1,0)+IF(C142="Review",1,0)+IF(D142="",1,0)+IF(OR(E142="",E142&lt;=0),1,0)+IF(OR(F142="",F142&lt;=0),1,0)+IF(G142="",1,0)+IF(H142="Missing",1,0)+IF(I142="Review",1,0)+IF(J142="Duplicate",1,0)</x:f>
        <x:v>0</x:v>
      </x:c>
      <x:c r="L142" s="12" t="str">
        <x:f>IF(A142="","Missing order ID; ","")&amp;IF(B142="","Missing school; ","")&amp;IF(C142="Review","Unmapped region; ","")&amp;IF(D142="","Missing product; ","")&amp;IF(OR(E142="",E142&lt;=0),"Invalid units; ","")&amp;IF(OR(F142="",F142&lt;=0),"Invalid amount; ","")&amp;IF(G142="","Invalid date; ","")&amp;IF(H142="Missing","Missing sales rep; ","")&amp;IF(I142="Review","Unmapped payment status; ","")&amp;IF(J142="Duplicate","Duplicate ID; ","")</x:f>
      </x:c>
      <x:c r="M142" t="str">
        <x:f>IF(K142=0,"Ready","Review")</x:f>
        <x:v>Ready</x:v>
      </x:c>
    </x:row>
    <x:row r="143">
      <x:c r="A143" t="str">
        <x:f>UPPER(TRIM('Raw Sales'!A143))</x:f>
        <x:v>SAL-26-0138</x:v>
      </x:c>
      <x:c r="B143" t="str">
        <x:f>PROPER(TRIM('Raw Sales'!B143))</x:f>
        <x:v>Mhlabeni Secondary</x:v>
      </x:c>
      <x:c r="C143" t="str">
        <x:f>IF(OR(UPPER(TRIM('Raw Sales'!C143))="BOCHUM",UPPER(TRIM('Raw Sales'!C143))="BOCHUM REGION"),"Bochum",IF(OR(UPPER(TRIM('Raw Sales'!C143))="ELDORADO",UPPER(TRIM('Raw Sales'!C143))="ELDOS"),"Eldorado","Review"))</x:f>
        <x:v>Eldorado</x:v>
      </x:c>
      <x:c r="D143" t="str">
        <x:f>PROPER(TRIM('Raw Sales'!D143))</x:f>
        <x:v>Exercise Books</x:v>
      </x:c>
      <x:c r="E143" s="8" t="n">
        <x:f>IFERROR(VALUE('Raw Sales'!E143),"")</x:f>
        <x:v>31</x:v>
      </x:c>
      <x:c r="F143" s="9" t="n">
        <x:v>5735</x:v>
      </x:c>
      <x:c r="G143" s="10" t="n">
        <x:f>IFERROR(IF(OR(MID(TRIM('Raw Sales'!G143),5,1)="-",MID(TRIM('Raw Sales'!G143),5,1)="/"),DATE(VALUE(LEFT(TRIM('Raw Sales'!G143),4)),VALUE(MID(TRIM('Raw Sales'!G143),6,2)),VALUE(RIGHT(TRIM('Raw Sales'!G143),2))),IF(LEN(TRIM('Raw Sales'!G143))=10,DATE(VALUE(RIGHT(TRIM('Raw Sales'!G143),4)),VALUE(MID(TRIM('Raw Sales'!G143),4,2)),VALUE(LEFT(TRIM('Raw Sales'!G143),2))),IF(LEN(TRIM('Raw Sales'!G143))=8,DATE(2000+VALUE(RIGHT(TRIM('Raw Sales'!G143),2)),VALUE(MID(TRIM('Raw Sales'!G143),4,2)),VALUE(LEFT(TRIM('Raw Sales'!G143),2))),""))),"")</x:f>
        <x:v>46096</x:v>
      </x:c>
      <x:c r="H143" t="str">
        <x:f>IF(TRIM('Raw Sales'!H143)="","Missing",PROPER(TRIM('Raw Sales'!H143)))</x:f>
        <x:v>Missing</x:v>
      </x:c>
      <x:c r="I143" t="str">
        <x:f>IF(OR(UPPER(TRIM('Raw Sales'!I143))="PAID",UPPER(TRIM('Raw Sales'!I143))="SETTLED",UPPER(TRIM('Raw Sales'!I143))="COMPLETE"),"Paid",IF(UPPER(TRIM('Raw Sales'!I143))="PENDING","Pending","Review"))</x:f>
        <x:v>Paid</x:v>
      </x:c>
      <x:c r="J143" t="str">
        <x:f>IF(A143="","Missing",IF(COUNTIF($A$6:A143,A143)&gt;1,"Duplicate","Unique"))</x:f>
        <x:v>Unique</x:v>
      </x:c>
      <x:c r="K143" s="11" t="n">
        <x:f>IF(A143="",1,0)+IF(B143="",1,0)+IF(C143="Review",1,0)+IF(D143="",1,0)+IF(OR(E143="",E143&lt;=0),1,0)+IF(OR(F143="",F143&lt;=0),1,0)+IF(G143="",1,0)+IF(H143="Missing",1,0)+IF(I143="Review",1,0)+IF(J143="Duplicate",1,0)</x:f>
        <x:v>1</x:v>
      </x:c>
      <x:c r="L143" s="12" t="str">
        <x:f>IF(A143="","Missing order ID; ","")&amp;IF(B143="","Missing school; ","")&amp;IF(C143="Review","Unmapped region; ","")&amp;IF(D143="","Missing product; ","")&amp;IF(OR(E143="",E143&lt;=0),"Invalid units; ","")&amp;IF(OR(F143="",F143&lt;=0),"Invalid amount; ","")&amp;IF(G143="","Invalid date; ","")&amp;IF(H143="Missing","Missing sales rep; ","")&amp;IF(I143="Review","Unmapped payment status; ","")&amp;IF(J143="Duplicate","Duplicate ID; ","")</x:f>
        <x:v>Missing sales rep; </x:v>
      </x:c>
      <x:c r="M143" t="str">
        <x:f>IF(K143=0,"Ready","Review")</x:f>
        <x:v>Review</x:v>
      </x:c>
    </x:row>
    <x:row r="144">
      <x:c r="A144" t="str">
        <x:f>UPPER(TRIM('Raw Sales'!A144))</x:f>
        <x:v>SAL-26-0139</x:v>
      </x:c>
      <x:c r="B144" t="str">
        <x:f>PROPER(TRIM('Raw Sales'!B144))</x:f>
        <x:v>Meadowlands School</x:v>
      </x:c>
      <x:c r="C144" t="str">
        <x:f>IF(OR(UPPER(TRIM('Raw Sales'!C144))="BOCHUM",UPPER(TRIM('Raw Sales'!C144))="BOCHUM REGION"),"Bochum",IF(OR(UPPER(TRIM('Raw Sales'!C144))="ELDORADO",UPPER(TRIM('Raw Sales'!C144))="ELDOS"),"Eldorado","Review"))</x:f>
        <x:v>Bochum</x:v>
      </x:c>
      <x:c r="D144" t="str">
        <x:f>PROPER(TRIM('Raw Sales'!D144))</x:f>
        <x:v>Pencils</x:v>
      </x:c>
      <x:c r="E144" s="8" t="n">
        <x:f>IFERROR(VALUE('Raw Sales'!E144),"")</x:f>
        <x:v>2</x:v>
      </x:c>
      <x:c r="F144" s="9" t="n">
        <x:v>396</x:v>
      </x:c>
      <x:c r="G144" s="10" t="n">
        <x:f>IFERROR(IF(OR(MID(TRIM('Raw Sales'!G144),5,1)="-",MID(TRIM('Raw Sales'!G144),5,1)="/"),DATE(VALUE(LEFT(TRIM('Raw Sales'!G144),4)),VALUE(MID(TRIM('Raw Sales'!G144),6,2)),VALUE(RIGHT(TRIM('Raw Sales'!G144),2))),IF(LEN(TRIM('Raw Sales'!G144))=10,DATE(VALUE(RIGHT(TRIM('Raw Sales'!G144),4)),VALUE(MID(TRIM('Raw Sales'!G144),4,2)),VALUE(LEFT(TRIM('Raw Sales'!G144),2))),IF(LEN(TRIM('Raw Sales'!G144))=8,DATE(2000+VALUE(RIGHT(TRIM('Raw Sales'!G144),2)),VALUE(MID(TRIM('Raw Sales'!G144),4,2)),VALUE(LEFT(TRIM('Raw Sales'!G144),2))),""))),"")</x:f>
        <x:v>46128</x:v>
      </x:c>
      <x:c r="H144" t="str">
        <x:f>IF(TRIM('Raw Sales'!H144)="","Missing",PROPER(TRIM('Raw Sales'!H144)))</x:f>
        <x:v>Thabo Ndlovu</x:v>
      </x:c>
      <x:c r="I144" t="str">
        <x:f>IF(OR(UPPER(TRIM('Raw Sales'!I144))="PAID",UPPER(TRIM('Raw Sales'!I144))="SETTLED",UPPER(TRIM('Raw Sales'!I144))="COMPLETE"),"Paid",IF(UPPER(TRIM('Raw Sales'!I144))="PENDING","Pending","Review"))</x:f>
        <x:v>Pending</x:v>
      </x:c>
      <x:c r="J144" t="str">
        <x:f>IF(A144="","Missing",IF(COUNTIF($A$6:A144,A144)&gt;1,"Duplicate","Unique"))</x:f>
        <x:v>Unique</x:v>
      </x:c>
      <x:c r="K144" s="11" t="n">
        <x:f>IF(A144="",1,0)+IF(B144="",1,0)+IF(C144="Review",1,0)+IF(D144="",1,0)+IF(OR(E144="",E144&lt;=0),1,0)+IF(OR(F144="",F144&lt;=0),1,0)+IF(G144="",1,0)+IF(H144="Missing",1,0)+IF(I144="Review",1,0)+IF(J144="Duplicate",1,0)</x:f>
        <x:v>0</x:v>
      </x:c>
      <x:c r="L144" s="12" t="str">
        <x:f>IF(A144="","Missing order ID; ","")&amp;IF(B144="","Missing school; ","")&amp;IF(C144="Review","Unmapped region; ","")&amp;IF(D144="","Missing product; ","")&amp;IF(OR(E144="",E144&lt;=0),"Invalid units; ","")&amp;IF(OR(F144="",F144&lt;=0),"Invalid amount; ","")&amp;IF(G144="","Invalid date; ","")&amp;IF(H144="Missing","Missing sales rep; ","")&amp;IF(I144="Review","Unmapped payment status; ","")&amp;IF(J144="Duplicate","Duplicate ID; ","")</x:f>
      </x:c>
      <x:c r="M144" t="str">
        <x:f>IF(K144=0,"Ready","Review")</x:f>
        <x:v>Ready</x:v>
      </x:c>
    </x:row>
    <x:row r="145">
      <x:c r="A145" t="str">
        <x:f>UPPER(TRIM('Raw Sales'!A145))</x:f>
        <x:v>SAL-26-0140</x:v>
      </x:c>
      <x:c r="B145" t="str">
        <x:f>PROPER(TRIM('Raw Sales'!B145))</x:f>
        <x:v>Gardenview School</x:v>
      </x:c>
      <x:c r="C145" t="str">
        <x:f>IF(OR(UPPER(TRIM('Raw Sales'!C145))="BOCHUM",UPPER(TRIM('Raw Sales'!C145))="BOCHUM REGION"),"Bochum",IF(OR(UPPER(TRIM('Raw Sales'!C145))="ELDORADO",UPPER(TRIM('Raw Sales'!C145))="ELDOS"),"Eldorado","Review"))</x:f>
        <x:v>Eldorado</x:v>
      </x:c>
      <x:c r="D145" t="str">
        <x:f>PROPER(TRIM('Raw Sales'!D145))</x:f>
        <x:v>Folders</x:v>
      </x:c>
      <x:c r="E145" s="8" t="n">
        <x:f>IFERROR(VALUE('Raw Sales'!E145),"")</x:f>
        <x:v>9</x:v>
      </x:c>
      <x:c r="F145" s="9" t="n">
        <x:v>270</x:v>
      </x:c>
      <x:c r="G145" s="10" t="n">
        <x:f>IFERROR(IF(OR(MID(TRIM('Raw Sales'!G145),5,1)="-",MID(TRIM('Raw Sales'!G145),5,1)="/"),DATE(VALUE(LEFT(TRIM('Raw Sales'!G145),4)),VALUE(MID(TRIM('Raw Sales'!G145),6,2)),VALUE(RIGHT(TRIM('Raw Sales'!G145),2))),IF(LEN(TRIM('Raw Sales'!G145))=10,DATE(VALUE(RIGHT(TRIM('Raw Sales'!G145),4)),VALUE(MID(TRIM('Raw Sales'!G145),4,2)),VALUE(LEFT(TRIM('Raw Sales'!G145),2))),IF(LEN(TRIM('Raw Sales'!G145))=8,DATE(2000+VALUE(RIGHT(TRIM('Raw Sales'!G145),2)),VALUE(MID(TRIM('Raw Sales'!G145),4,2)),VALUE(LEFT(TRIM('Raw Sales'!G145),2))),""))),"")</x:f>
        <x:v>46159</x:v>
      </x:c>
      <x:c r="H145" t="str">
        <x:f>IF(TRIM('Raw Sales'!H145)="","Missing",PROPER(TRIM('Raw Sales'!H145)))</x:f>
        <x:v>Lebo Nkosi</x:v>
      </x:c>
      <x:c r="I145" t="str">
        <x:f>IF(OR(UPPER(TRIM('Raw Sales'!I145))="PAID",UPPER(TRIM('Raw Sales'!I145))="SETTLED",UPPER(TRIM('Raw Sales'!I145))="COMPLETE"),"Paid",IF(UPPER(TRIM('Raw Sales'!I145))="PENDING","Pending","Review"))</x:f>
        <x:v>Paid</x:v>
      </x:c>
      <x:c r="J145" t="str">
        <x:f>IF(A145="","Missing",IF(COUNTIF($A$6:A145,A145)&gt;1,"Duplicate","Unique"))</x:f>
        <x:v>Unique</x:v>
      </x:c>
      <x:c r="K145" s="11" t="n">
        <x:f>IF(A145="",1,0)+IF(B145="",1,0)+IF(C145="Review",1,0)+IF(D145="",1,0)+IF(OR(E145="",E145&lt;=0),1,0)+IF(OR(F145="",F145&lt;=0),1,0)+IF(G145="",1,0)+IF(H145="Missing",1,0)+IF(I145="Review",1,0)+IF(J145="Duplicate",1,0)</x:f>
        <x:v>0</x:v>
      </x:c>
      <x:c r="L145" s="12" t="str">
        <x:f>IF(A145="","Missing order ID; ","")&amp;IF(B145="","Missing school; ","")&amp;IF(C145="Review","Unmapped region; ","")&amp;IF(D145="","Missing product; ","")&amp;IF(OR(E145="",E145&lt;=0),"Invalid units; ","")&amp;IF(OR(F145="",F145&lt;=0),"Invalid amount; ","")&amp;IF(G145="","Invalid date; ","")&amp;IF(H145="Missing","Missing sales rep; ","")&amp;IF(I145="Review","Unmapped payment status; ","")&amp;IF(J145="Duplicate","Duplicate ID; ","")</x:f>
      </x:c>
      <x:c r="M145" t="str">
        <x:f>IF(K145=0,"Ready","Review")</x:f>
        <x:v>Ready</x:v>
      </x:c>
    </x:row>
    <x:row r="146">
      <x:c r="A146" t="str">
        <x:f>UPPER(TRIM('Raw Sales'!A146))</x:f>
        <x:v>SAL-26-0141</x:v>
      </x:c>
      <x:c r="B146" t="str">
        <x:f>PROPER(TRIM('Raw Sales'!B146))</x:f>
        <x:v>Riverside Academy</x:v>
      </x:c>
      <x:c r="C146" t="str">
        <x:f>IF(OR(UPPER(TRIM('Raw Sales'!C146))="BOCHUM",UPPER(TRIM('Raw Sales'!C146))="BOCHUM REGION"),"Bochum",IF(OR(UPPER(TRIM('Raw Sales'!C146))="ELDORADO",UPPER(TRIM('Raw Sales'!C146))="ELDOS"),"Eldorado","Review"))</x:f>
        <x:v>Review</x:v>
      </x:c>
      <x:c r="D146" t="str">
        <x:f>PROPER(TRIM('Raw Sales'!D146))</x:f>
        <x:v>Pens</x:v>
      </x:c>
      <x:c r="E146" s="8" t="n">
        <x:f>IFERROR(VALUE('Raw Sales'!E146),"")</x:f>
        <x:v>16</x:v>
      </x:c>
      <x:c r="F146" s="9" t="n">
        <x:v>-300</x:v>
      </x:c>
      <x:c r="G146" s="10" t="n">
        <x:f>IFERROR(IF(OR(MID(TRIM('Raw Sales'!G146),5,1)="-",MID(TRIM('Raw Sales'!G146),5,1)="/"),DATE(VALUE(LEFT(TRIM('Raw Sales'!G146),4)),VALUE(MID(TRIM('Raw Sales'!G146),6,2)),VALUE(RIGHT(TRIM('Raw Sales'!G146),2))),IF(LEN(TRIM('Raw Sales'!G146))=10,DATE(VALUE(RIGHT(TRIM('Raw Sales'!G146),4)),VALUE(MID(TRIM('Raw Sales'!G146),4,2)),VALUE(LEFT(TRIM('Raw Sales'!G146),2))),IF(LEN(TRIM('Raw Sales'!G146))=8,DATE(2000+VALUE(RIGHT(TRIM('Raw Sales'!G146),2)),VALUE(MID(TRIM('Raw Sales'!G146),4,2)),VALUE(LEFT(TRIM('Raw Sales'!G146),2))),""))),"")</x:f>
        <x:v>46191</x:v>
      </x:c>
      <x:c r="H146" t="str">
        <x:f>IF(TRIM('Raw Sales'!H146)="","Missing",PROPER(TRIM('Raw Sales'!H146)))</x:f>
        <x:v>Thabo Ndlovu</x:v>
      </x:c>
      <x:c r="I146" t="str">
        <x:f>IF(OR(UPPER(TRIM('Raw Sales'!I146))="PAID",UPPER(TRIM('Raw Sales'!I146))="SETTLED",UPPER(TRIM('Raw Sales'!I146))="COMPLETE"),"Paid",IF(UPPER(TRIM('Raw Sales'!I146))="PENDING","Pending","Review"))</x:f>
        <x:v>Paid</x:v>
      </x:c>
      <x:c r="J146" t="str">
        <x:f>IF(A146="","Missing",IF(COUNTIF($A$6:A146,A146)&gt;1,"Duplicate","Unique"))</x:f>
        <x:v>Unique</x:v>
      </x:c>
      <x:c r="K146" s="11" t="n">
        <x:f>IF(A146="",1,0)+IF(B146="",1,0)+IF(C146="Review",1,0)+IF(D146="",1,0)+IF(OR(E146="",E146&lt;=0),1,0)+IF(OR(F146="",F146&lt;=0),1,0)+IF(G146="",1,0)+IF(H146="Missing",1,0)+IF(I146="Review",1,0)+IF(J146="Duplicate",1,0)</x:f>
        <x:v>2</x:v>
      </x:c>
      <x:c r="L146" s="12" t="str">
        <x:f>IF(A146="","Missing order ID; ","")&amp;IF(B146="","Missing school; ","")&amp;IF(C146="Review","Unmapped region; ","")&amp;IF(D146="","Missing product; ","")&amp;IF(OR(E146="",E146&lt;=0),"Invalid units; ","")&amp;IF(OR(F146="",F146&lt;=0),"Invalid amount; ","")&amp;IF(G146="","Invalid date; ","")&amp;IF(H146="Missing","Missing sales rep; ","")&amp;IF(I146="Review","Unmapped payment status; ","")&amp;IF(J146="Duplicate","Duplicate ID; ","")</x:f>
        <x:v>Unmapped region; Invalid amount; </x:v>
      </x:c>
      <x:c r="M146" t="str">
        <x:f>IF(K146=0,"Ready","Review")</x:f>
        <x:v>Review</x:v>
      </x:c>
    </x:row>
    <x:row r="147">
      <x:c r="A147" t="str">
        <x:f>UPPER(TRIM('Raw Sales'!A147))</x:f>
        <x:v>SAL-26-0142</x:v>
      </x:c>
      <x:c r="B147" t="str">
        <x:f>PROPER(TRIM('Raw Sales'!B147))</x:f>
        <x:v>Maple Secondary</x:v>
      </x:c>
      <x:c r="C147" t="str">
        <x:f>IF(OR(UPPER(TRIM('Raw Sales'!C147))="BOCHUM",UPPER(TRIM('Raw Sales'!C147))="BOCHUM REGION"),"Bochum",IF(OR(UPPER(TRIM('Raw Sales'!C147))="ELDORADO",UPPER(TRIM('Raw Sales'!C147))="ELDOS"),"Eldorado","Review"))</x:f>
        <x:v>Eldorado</x:v>
      </x:c>
      <x:c r="D147" t="str">
        <x:f>PROPER(TRIM('Raw Sales'!D147))</x:f>
        <x:v>Glue Sticks</x:v>
      </x:c>
      <x:c r="E147" s="8" t="n">
        <x:f>IFERROR(VALUE('Raw Sales'!E147),"")</x:f>
        <x:v>23</x:v>
      </x:c>
      <x:c r="F147" s="9" t="n">
        <x:v>1288</x:v>
      </x:c>
      <x:c r="G147" s="10" t="n">
        <x:f>IFERROR(IF(OR(MID(TRIM('Raw Sales'!G147),5,1)="-",MID(TRIM('Raw Sales'!G147),5,1)="/"),DATE(VALUE(LEFT(TRIM('Raw Sales'!G147),4)),VALUE(MID(TRIM('Raw Sales'!G147),6,2)),VALUE(RIGHT(TRIM('Raw Sales'!G147),2))),IF(LEN(TRIM('Raw Sales'!G147))=10,DATE(VALUE(RIGHT(TRIM('Raw Sales'!G147),4)),VALUE(MID(TRIM('Raw Sales'!G147),4,2)),VALUE(LEFT(TRIM('Raw Sales'!G147),2))),IF(LEN(TRIM('Raw Sales'!G147))=8,DATE(2000+VALUE(RIGHT(TRIM('Raw Sales'!G147),2)),VALUE(MID(TRIM('Raw Sales'!G147),4,2)),VALUE(LEFT(TRIM('Raw Sales'!G147),2))),""))),"")</x:f>
        <x:v>46222</x:v>
      </x:c>
      <x:c r="H147" t="str">
        <x:f>IF(TRIM('Raw Sales'!H147)="","Missing",PROPER(TRIM('Raw Sales'!H147)))</x:f>
        <x:v>Lebo Nkosi</x:v>
      </x:c>
      <x:c r="I147" t="str">
        <x:f>IF(OR(UPPER(TRIM('Raw Sales'!I147))="PAID",UPPER(TRIM('Raw Sales'!I147))="SETTLED",UPPER(TRIM('Raw Sales'!I147))="COMPLETE"),"Paid",IF(UPPER(TRIM('Raw Sales'!I147))="PENDING","Pending","Review"))</x:f>
        <x:v>Pending</x:v>
      </x:c>
      <x:c r="J147" t="str">
        <x:f>IF(A147="","Missing",IF(COUNTIF($A$6:A147,A147)&gt;1,"Duplicate","Unique"))</x:f>
        <x:v>Unique</x:v>
      </x:c>
      <x:c r="K147" s="11" t="n">
        <x:f>IF(A147="",1,0)+IF(B147="",1,0)+IF(C147="Review",1,0)+IF(D147="",1,0)+IF(OR(E147="",E147&lt;=0),1,0)+IF(OR(F147="",F147&lt;=0),1,0)+IF(G147="",1,0)+IF(H147="Missing",1,0)+IF(I147="Review",1,0)+IF(J147="Duplicate",1,0)</x:f>
        <x:v>0</x:v>
      </x:c>
      <x:c r="L147" s="12" t="str">
        <x:f>IF(A147="","Missing order ID; ","")&amp;IF(B147="","Missing school; ","")&amp;IF(C147="Review","Unmapped region; ","")&amp;IF(D147="","Missing product; ","")&amp;IF(OR(E147="",E147&lt;=0),"Invalid units; ","")&amp;IF(OR(F147="",F147&lt;=0),"Invalid amount; ","")&amp;IF(G147="","Invalid date; ","")&amp;IF(H147="Missing","Missing sales rep; ","")&amp;IF(I147="Review","Unmapped payment status; ","")&amp;IF(J147="Duplicate","Duplicate ID; ","")</x:f>
      </x:c>
      <x:c r="M147" t="str">
        <x:f>IF(K147=0,"Ready","Review")</x:f>
        <x:v>Ready</x:v>
      </x:c>
    </x:row>
    <x:row r="148">
      <x:c r="A148" t="str">
        <x:f>UPPER(TRIM('Raw Sales'!A148))</x:f>
        <x:v>SAL-26-0143</x:v>
      </x:c>
      <x:c r="B148" t="str">
        <x:f>PROPER(TRIM('Raw Sales'!B148))</x:f>
        <x:v>Pinecrest School</x:v>
      </x:c>
      <x:c r="C148" t="str">
        <x:f>IF(OR(UPPER(TRIM('Raw Sales'!C148))="BOCHUM",UPPER(TRIM('Raw Sales'!C148))="BOCHUM REGION"),"Bochum",IF(OR(UPPER(TRIM('Raw Sales'!C148))="ELDORADO",UPPER(TRIM('Raw Sales'!C148))="ELDOS"),"Eldorado","Review"))</x:f>
        <x:v>Bochum</x:v>
      </x:c>
      <x:c r="D148" t="str">
        <x:f>PROPER(TRIM('Raw Sales'!D148))</x:f>
        <x:v>Markers</x:v>
      </x:c>
      <x:c r="E148" s="8" t="n">
        <x:f>IFERROR(VALUE('Raw Sales'!E148),"")</x:f>
        <x:v>30</x:v>
      </x:c>
      <x:c r="F148" s="9" t="n">
        <x:v>2070</x:v>
      </x:c>
      <x:c r="G148" s="10" t="n">
        <x:f>IFERROR(IF(OR(MID(TRIM('Raw Sales'!G148),5,1)="-",MID(TRIM('Raw Sales'!G148),5,1)="/"),DATE(VALUE(LEFT(TRIM('Raw Sales'!G148),4)),VALUE(MID(TRIM('Raw Sales'!G148),6,2)),VALUE(RIGHT(TRIM('Raw Sales'!G148),2))),IF(LEN(TRIM('Raw Sales'!G148))=10,DATE(VALUE(RIGHT(TRIM('Raw Sales'!G148),4)),VALUE(MID(TRIM('Raw Sales'!G148),4,2)),VALUE(LEFT(TRIM('Raw Sales'!G148),2))),IF(LEN(TRIM('Raw Sales'!G148))=8,DATE(2000+VALUE(RIGHT(TRIM('Raw Sales'!G148),2)),VALUE(MID(TRIM('Raw Sales'!G148),4,2)),VALUE(LEFT(TRIM('Raw Sales'!G148),2))),""))),"")</x:f>
        <x:v>46254</x:v>
      </x:c>
      <x:c r="H148" t="str">
        <x:f>IF(TRIM('Raw Sales'!H148)="","Missing",PROPER(TRIM('Raw Sales'!H148)))</x:f>
        <x:v>Thabo Ndlovu</x:v>
      </x:c>
      <x:c r="I148" t="str">
        <x:f>IF(OR(UPPER(TRIM('Raw Sales'!I148))="PAID",UPPER(TRIM('Raw Sales'!I148))="SETTLED",UPPER(TRIM('Raw Sales'!I148))="COMPLETE"),"Paid",IF(UPPER(TRIM('Raw Sales'!I148))="PENDING","Pending","Review"))</x:f>
        <x:v>Paid</x:v>
      </x:c>
      <x:c r="J148" t="str">
        <x:f>IF(A148="","Missing",IF(COUNTIF($A$6:A148,A148)&gt;1,"Duplicate","Unique"))</x:f>
        <x:v>Unique</x:v>
      </x:c>
      <x:c r="K148" s="11" t="n">
        <x:f>IF(A148="",1,0)+IF(B148="",1,0)+IF(C148="Review",1,0)+IF(D148="",1,0)+IF(OR(E148="",E148&lt;=0),1,0)+IF(OR(F148="",F148&lt;=0),1,0)+IF(G148="",1,0)+IF(H148="Missing",1,0)+IF(I148="Review",1,0)+IF(J148="Duplicate",1,0)</x:f>
        <x:v>0</x:v>
      </x:c>
      <x:c r="L148" s="12" t="str">
        <x:f>IF(A148="","Missing order ID; ","")&amp;IF(B148="","Missing school; ","")&amp;IF(C148="Review","Unmapped region; ","")&amp;IF(D148="","Missing product; ","")&amp;IF(OR(E148="",E148&lt;=0),"Invalid units; ","")&amp;IF(OR(F148="",F148&lt;=0),"Invalid amount; ","")&amp;IF(G148="","Invalid date; ","")&amp;IF(H148="Missing","Missing sales rep; ","")&amp;IF(I148="Review","Unmapped payment status; ","")&amp;IF(J148="Duplicate","Duplicate ID; ","")</x:f>
      </x:c>
      <x:c r="M148" t="str">
        <x:f>IF(K148=0,"Ready","Review")</x:f>
        <x:v>Ready</x:v>
      </x:c>
    </x:row>
    <x:row r="149">
      <x:c r="A149" t="str">
        <x:f>UPPER(TRIM('Raw Sales'!A149))</x:f>
        <x:v>SAL-26-0144</x:v>
      </x:c>
      <x:c r="B149" t="str">
        <x:f>PROPER(TRIM('Raw Sales'!B149))</x:f>
        <x:v>Northstar Academy</x:v>
      </x:c>
      <x:c r="C149" t="str">
        <x:f>IF(OR(UPPER(TRIM('Raw Sales'!C149))="BOCHUM",UPPER(TRIM('Raw Sales'!C149))="BOCHUM REGION"),"Bochum",IF(OR(UPPER(TRIM('Raw Sales'!C149))="ELDORADO",UPPER(TRIM('Raw Sales'!C149))="ELDOS"),"Eldorado","Review"))</x:f>
        <x:v>Bochum</x:v>
      </x:c>
      <x:c r="D149" t="str">
        <x:f>PROPER(TRIM('Raw Sales'!D149))</x:f>
        <x:v>Notebooks</x:v>
      </x:c>
      <x:c r="E149" s="8" t="n">
        <x:f>IFERROR(VALUE('Raw Sales'!E149),"")</x:f>
        <x:v>1</x:v>
      </x:c>
      <x:c r="F149" s="9" t="n">
        <x:v>82</x:v>
      </x:c>
      <x:c r="G149" s="10" t="n">
        <x:f>IFERROR(IF(OR(MID(TRIM('Raw Sales'!G149),5,1)="-",MID(TRIM('Raw Sales'!G149),5,1)="/"),DATE(VALUE(LEFT(TRIM('Raw Sales'!G149),4)),VALUE(MID(TRIM('Raw Sales'!G149),6,2)),VALUE(RIGHT(TRIM('Raw Sales'!G149),2))),IF(LEN(TRIM('Raw Sales'!G149))=10,DATE(VALUE(RIGHT(TRIM('Raw Sales'!G149),4)),VALUE(MID(TRIM('Raw Sales'!G149),4,2)),VALUE(LEFT(TRIM('Raw Sales'!G149),2))),IF(LEN(TRIM('Raw Sales'!G149))=8,DATE(2000+VALUE(RIGHT(TRIM('Raw Sales'!G149),2)),VALUE(MID(TRIM('Raw Sales'!G149),4,2)),VALUE(LEFT(TRIM('Raw Sales'!G149),2))),""))),"")</x:f>
        <x:v>46043</x:v>
      </x:c>
      <x:c r="H149" t="str">
        <x:f>IF(TRIM('Raw Sales'!H149)="","Missing",PROPER(TRIM('Raw Sales'!H149)))</x:f>
        <x:v>Lebo Nkosi</x:v>
      </x:c>
      <x:c r="I149" t="str">
        <x:f>IF(OR(UPPER(TRIM('Raw Sales'!I149))="PAID",UPPER(TRIM('Raw Sales'!I149))="SETTLED",UPPER(TRIM('Raw Sales'!I149))="COMPLETE"),"Paid",IF(UPPER(TRIM('Raw Sales'!I149))="PENDING","Pending","Review"))</x:f>
        <x:v>Paid</x:v>
      </x:c>
      <x:c r="J149" t="str">
        <x:f>IF(A149="","Missing",IF(COUNTIF($A$6:A149,A149)&gt;1,"Duplicate","Unique"))</x:f>
        <x:v>Unique</x:v>
      </x:c>
      <x:c r="K149" s="11" t="n">
        <x:f>IF(A149="",1,0)+IF(B149="",1,0)+IF(C149="Review",1,0)+IF(D149="",1,0)+IF(OR(E149="",E149&lt;=0),1,0)+IF(OR(F149="",F149&lt;=0),1,0)+IF(G149="",1,0)+IF(H149="Missing",1,0)+IF(I149="Review",1,0)+IF(J149="Duplicate",1,0)</x:f>
        <x:v>0</x:v>
      </x:c>
      <x:c r="L149" s="12" t="str">
        <x:f>IF(A149="","Missing order ID; ","")&amp;IF(B149="","Missing school; ","")&amp;IF(C149="Review","Unmapped region; ","")&amp;IF(D149="","Missing product; ","")&amp;IF(OR(E149="",E149&lt;=0),"Invalid units; ","")&amp;IF(OR(F149="",F149&lt;=0),"Invalid amount; ","")&amp;IF(G149="","Invalid date; ","")&amp;IF(H149="Missing","Missing sales rep; ","")&amp;IF(I149="Review","Unmapped payment status; ","")&amp;IF(J149="Duplicate","Duplicate ID; ","")</x:f>
      </x:c>
      <x:c r="M149" t="str">
        <x:f>IF(K149=0,"Ready","Review")</x:f>
        <x:v>Ready</x:v>
      </x:c>
    </x:row>
    <x:row r="150">
      <x:c r="A150" t="str">
        <x:f>UPPER(TRIM('Raw Sales'!A150))</x:f>
        <x:v>SAL-26-0145</x:v>
      </x:c>
      <x:c r="B150" t="str">
        <x:f>PROPER(TRIM('Raw Sales'!B150))</x:f>
        <x:v>Crescent Primary</x:v>
      </x:c>
      <x:c r="C150" t="str">
        <x:f>IF(OR(UPPER(TRIM('Raw Sales'!C150))="BOCHUM",UPPER(TRIM('Raw Sales'!C150))="BOCHUM REGION"),"Bochum",IF(OR(UPPER(TRIM('Raw Sales'!C150))="ELDORADO",UPPER(TRIM('Raw Sales'!C150))="ELDOS"),"Eldorado","Review"))</x:f>
        <x:v>Eldorado</x:v>
      </x:c>
      <x:c r="D150" t="str">
        <x:f>PROPER(TRIM('Raw Sales'!D150))</x:f>
        <x:v>Rulers</x:v>
      </x:c>
      <x:c r="E150" s="8" t="str">
        <x:f>IFERROR(VALUE('Raw Sales'!E150),"")</x:f>
      </x:c>
      <x:c r="F150" s="9" t="n">
        <x:v>760</x:v>
      </x:c>
      <x:c r="G150" s="10" t="n">
        <x:f>IFERROR(IF(OR(MID(TRIM('Raw Sales'!G150),5,1)="-",MID(TRIM('Raw Sales'!G150),5,1)="/"),DATE(VALUE(LEFT(TRIM('Raw Sales'!G150),4)),VALUE(MID(TRIM('Raw Sales'!G150),6,2)),VALUE(RIGHT(TRIM('Raw Sales'!G150),2))),IF(LEN(TRIM('Raw Sales'!G150))=10,DATE(VALUE(RIGHT(TRIM('Raw Sales'!G150),4)),VALUE(MID(TRIM('Raw Sales'!G150),4,2)),VALUE(LEFT(TRIM('Raw Sales'!G150),2))),IF(LEN(TRIM('Raw Sales'!G150))=8,DATE(2000+VALUE(RIGHT(TRIM('Raw Sales'!G150),2)),VALUE(MID(TRIM('Raw Sales'!G150),4,2)),VALUE(LEFT(TRIM('Raw Sales'!G150),2))),""))),"")</x:f>
        <x:v>46075</x:v>
      </x:c>
      <x:c r="H150" t="str">
        <x:f>IF(TRIM('Raw Sales'!H150)="","Missing",PROPER(TRIM('Raw Sales'!H150)))</x:f>
        <x:v>Thabo Ndlovu</x:v>
      </x:c>
      <x:c r="I150" t="str">
        <x:f>IF(OR(UPPER(TRIM('Raw Sales'!I150))="PAID",UPPER(TRIM('Raw Sales'!I150))="SETTLED",UPPER(TRIM('Raw Sales'!I150))="COMPLETE"),"Paid",IF(UPPER(TRIM('Raw Sales'!I150))="PENDING","Pending","Review"))</x:f>
        <x:v>Pending</x:v>
      </x:c>
      <x:c r="J150" t="str">
        <x:f>IF(A150="","Missing",IF(COUNTIF($A$6:A150,A150)&gt;1,"Duplicate","Unique"))</x:f>
        <x:v>Unique</x:v>
      </x:c>
      <x:c r="K150" s="11" t="n">
        <x:f>IF(A150="",1,0)+IF(B150="",1,0)+IF(C150="Review",1,0)+IF(D150="",1,0)+IF(OR(E150="",E150&lt;=0),1,0)+IF(OR(F150="",F150&lt;=0),1,0)+IF(G150="",1,0)+IF(H150="Missing",1,0)+IF(I150="Review",1,0)+IF(J150="Duplicate",1,0)</x:f>
        <x:v>1</x:v>
      </x:c>
      <x:c r="L150" s="12" t="str">
        <x:f>IF(A150="","Missing order ID; ","")&amp;IF(B150="","Missing school; ","")&amp;IF(C150="Review","Unmapped region; ","")&amp;IF(D150="","Missing product; ","")&amp;IF(OR(E150="",E150&lt;=0),"Invalid units; ","")&amp;IF(OR(F150="",F150&lt;=0),"Invalid amount; ","")&amp;IF(G150="","Invalid date; ","")&amp;IF(H150="Missing","Missing sales rep; ","")&amp;IF(I150="Review","Unmapped payment status; ","")&amp;IF(J150="Duplicate","Duplicate ID; ","")</x:f>
        <x:v>Invalid units; </x:v>
      </x:c>
      <x:c r="M150" t="str">
        <x:f>IF(K150=0,"Ready","Review")</x:f>
        <x:v>Review</x:v>
      </x:c>
    </x:row>
    <x:row r="151">
      <x:c r="A151" t="str">
        <x:f>UPPER(TRIM('Raw Sales'!A151))</x:f>
        <x:v>SAL-26-0146</x:v>
      </x:c>
      <x:c r="B151" t="str">
        <x:f>PROPER(TRIM('Raw Sales'!B151))</x:f>
        <x:v>Hillview Primary</x:v>
      </x:c>
      <x:c r="C151" t="str">
        <x:f>IF(OR(UPPER(TRIM('Raw Sales'!C151))="BOCHUM",UPPER(TRIM('Raw Sales'!C151))="BOCHUM REGION"),"Bochum",IF(OR(UPPER(TRIM('Raw Sales'!C151))="ELDORADO",UPPER(TRIM('Raw Sales'!C151))="ELDOS"),"Eldorado","Review"))</x:f>
        <x:v>Bochum</x:v>
      </x:c>
      <x:c r="D151" t="str">
        <x:f>PROPER(TRIM('Raw Sales'!D151))</x:f>
        <x:v>Exercise Books</x:v>
      </x:c>
      <x:c r="E151" s="8" t="n">
        <x:f>IFERROR(VALUE('Raw Sales'!E151),"")</x:f>
        <x:v>15</x:v>
      </x:c>
      <x:c r="F151" s="9" t="n">
        <x:v>1620</x:v>
      </x:c>
      <x:c r="G151" s="10" t="n">
        <x:f>IFERROR(IF(OR(MID(TRIM('Raw Sales'!G151),5,1)="-",MID(TRIM('Raw Sales'!G151),5,1)="/"),DATE(VALUE(LEFT(TRIM('Raw Sales'!G151),4)),VALUE(MID(TRIM('Raw Sales'!G151),6,2)),VALUE(RIGHT(TRIM('Raw Sales'!G151),2))),IF(LEN(TRIM('Raw Sales'!G151))=10,DATE(VALUE(RIGHT(TRIM('Raw Sales'!G151),4)),VALUE(MID(TRIM('Raw Sales'!G151),4,2)),VALUE(LEFT(TRIM('Raw Sales'!G151),2))),IF(LEN(TRIM('Raw Sales'!G151))=8,DATE(2000+VALUE(RIGHT(TRIM('Raw Sales'!G151),2)),VALUE(MID(TRIM('Raw Sales'!G151),4,2)),VALUE(LEFT(TRIM('Raw Sales'!G151),2))),""))),"")</x:f>
        <x:v>46104</x:v>
      </x:c>
      <x:c r="H151" t="str">
        <x:f>IF(TRIM('Raw Sales'!H151)="","Missing",PROPER(TRIM('Raw Sales'!H151)))</x:f>
        <x:v>Lebo Nkosi</x:v>
      </x:c>
      <x:c r="I151" t="str">
        <x:f>IF(OR(UPPER(TRIM('Raw Sales'!I151))="PAID",UPPER(TRIM('Raw Sales'!I151))="SETTLED",UPPER(TRIM('Raw Sales'!I151))="COMPLETE"),"Paid",IF(UPPER(TRIM('Raw Sales'!I151))="PENDING","Pending","Review"))</x:f>
        <x:v>Paid</x:v>
      </x:c>
      <x:c r="J151" t="str">
        <x:f>IF(A151="","Missing",IF(COUNTIF($A$6:A151,A151)&gt;1,"Duplicate","Unique"))</x:f>
        <x:v>Unique</x:v>
      </x:c>
      <x:c r="K151" s="11" t="n">
        <x:f>IF(A151="",1,0)+IF(B151="",1,0)+IF(C151="Review",1,0)+IF(D151="",1,0)+IF(OR(E151="",E151&lt;=0),1,0)+IF(OR(F151="",F151&lt;=0),1,0)+IF(G151="",1,0)+IF(H151="Missing",1,0)+IF(I151="Review",1,0)+IF(J151="Duplicate",1,0)</x:f>
        <x:v>0</x:v>
      </x:c>
      <x:c r="L151" s="12" t="str">
        <x:f>IF(A151="","Missing order ID; ","")&amp;IF(B151="","Missing school; ","")&amp;IF(C151="Review","Unmapped region; ","")&amp;IF(D151="","Missing product; ","")&amp;IF(OR(E151="",E151&lt;=0),"Invalid units; ","")&amp;IF(OR(F151="",F151&lt;=0),"Invalid amount; ","")&amp;IF(G151="","Invalid date; ","")&amp;IF(H151="Missing","Missing sales rep; ","")&amp;IF(I151="Review","Unmapped payment status; ","")&amp;IF(J151="Duplicate","Duplicate ID; ","")</x:f>
      </x:c>
      <x:c r="M151" t="str">
        <x:f>IF(K151=0,"Ready","Review")</x:f>
        <x:v>Ready</x:v>
      </x:c>
    </x:row>
    <x:row r="152">
      <x:c r="A152" t="str">
        <x:f>UPPER(TRIM('Raw Sales'!A152))</x:f>
        <x:v>SAL-26-0147</x:v>
      </x:c>
      <x:c r="B152" t="str">
        <x:f>PROPER(TRIM('Raw Sales'!B152))</x:f>
        <x:v>Eastwood Academy</x:v>
      </x:c>
      <x:c r="C152" t="str">
        <x:f>IF(OR(UPPER(TRIM('Raw Sales'!C152))="BOCHUM",UPPER(TRIM('Raw Sales'!C152))="BOCHUM REGION"),"Bochum",IF(OR(UPPER(TRIM('Raw Sales'!C152))="ELDORADO",UPPER(TRIM('Raw Sales'!C152))="ELDOS"),"Eldorado","Review"))</x:f>
        <x:v>Eldorado</x:v>
      </x:c>
      <x:c r="D152" t="str">
        <x:f>PROPER(TRIM('Raw Sales'!D152))</x:f>
        <x:v>Pencils</x:v>
      </x:c>
      <x:c r="E152" s="8" t="n">
        <x:f>IFERROR(VALUE('Raw Sales'!E152),"")</x:f>
        <x:v>22</x:v>
      </x:c>
      <x:c r="F152" s="9" t="n">
        <x:v>2662</x:v>
      </x:c>
      <x:c r="G152" s="10" t="n">
        <x:f>IFERROR(IF(OR(MID(TRIM('Raw Sales'!G152),5,1)="-",MID(TRIM('Raw Sales'!G152),5,1)="/"),DATE(VALUE(LEFT(TRIM('Raw Sales'!G152),4)),VALUE(MID(TRIM('Raw Sales'!G152),6,2)),VALUE(RIGHT(TRIM('Raw Sales'!G152),2))),IF(LEN(TRIM('Raw Sales'!G152))=10,DATE(VALUE(RIGHT(TRIM('Raw Sales'!G152),4)),VALUE(MID(TRIM('Raw Sales'!G152),4,2)),VALUE(LEFT(TRIM('Raw Sales'!G152),2))),IF(LEN(TRIM('Raw Sales'!G152))=8,DATE(2000+VALUE(RIGHT(TRIM('Raw Sales'!G152),2)),VALUE(MID(TRIM('Raw Sales'!G152),4,2)),VALUE(LEFT(TRIM('Raw Sales'!G152),2))),""))),"")</x:f>
        <x:v>46136</x:v>
      </x:c>
      <x:c r="H152" t="str">
        <x:f>IF(TRIM('Raw Sales'!H152)="","Missing",PROPER(TRIM('Raw Sales'!H152)))</x:f>
        <x:v>Thabo Ndlovu</x:v>
      </x:c>
      <x:c r="I152" t="str">
        <x:f>IF(OR(UPPER(TRIM('Raw Sales'!I152))="PAID",UPPER(TRIM('Raw Sales'!I152))="SETTLED",UPPER(TRIM('Raw Sales'!I152))="COMPLETE"),"Paid",IF(UPPER(TRIM('Raw Sales'!I152))="PENDING","Pending","Review"))</x:f>
        <x:v>Paid</x:v>
      </x:c>
      <x:c r="J152" t="str">
        <x:f>IF(A152="","Missing",IF(COUNTIF($A$6:A152,A152)&gt;1,"Duplicate","Unique"))</x:f>
        <x:v>Unique</x:v>
      </x:c>
      <x:c r="K152" s="11" t="n">
        <x:f>IF(A152="",1,0)+IF(B152="",1,0)+IF(C152="Review",1,0)+IF(D152="",1,0)+IF(OR(E152="",E152&lt;=0),1,0)+IF(OR(F152="",F152&lt;=0),1,0)+IF(G152="",1,0)+IF(H152="Missing",1,0)+IF(I152="Review",1,0)+IF(J152="Duplicate",1,0)</x:f>
        <x:v>0</x:v>
      </x:c>
      <x:c r="L152" s="12" t="str">
        <x:f>IF(A152="","Missing order ID; ","")&amp;IF(B152="","Missing school; ","")&amp;IF(C152="Review","Unmapped region; ","")&amp;IF(D152="","Missing product; ","")&amp;IF(OR(E152="",E152&lt;=0),"Invalid units; ","")&amp;IF(OR(F152="",F152&lt;=0),"Invalid amount; ","")&amp;IF(G152="","Invalid date; ","")&amp;IF(H152="Missing","Missing sales rep; ","")&amp;IF(I152="Review","Unmapped payment status; ","")&amp;IF(J152="Duplicate","Duplicate ID; ","")</x:f>
      </x:c>
      <x:c r="M152" t="str">
        <x:f>IF(K152=0,"Ready","Review")</x:f>
        <x:v>Ready</x:v>
      </x:c>
    </x:row>
    <x:row r="153">
      <x:c r="A153" t="str">
        <x:f>UPPER(TRIM('Raw Sales'!A153))</x:f>
        <x:v>SAL-26-0147</x:v>
      </x:c>
      <x:c r="B153" t="str">
        <x:f>PROPER(TRIM('Raw Sales'!B153))</x:f>
        <x:v>Lakeside School</x:v>
      </x:c>
      <x:c r="C153" t="str">
        <x:f>IF(OR(UPPER(TRIM('Raw Sales'!C153))="BOCHUM",UPPER(TRIM('Raw Sales'!C153))="BOCHUM REGION"),"Bochum",IF(OR(UPPER(TRIM('Raw Sales'!C153))="ELDORADO",UPPER(TRIM('Raw Sales'!C153))="ELDOS"),"Eldorado","Review"))</x:f>
        <x:v>Bochum</x:v>
      </x:c>
      <x:c r="D153" t="str">
        <x:f>PROPER(TRIM('Raw Sales'!D153))</x:f>
        <x:v>Folders</x:v>
      </x:c>
      <x:c r="E153" s="8" t="n">
        <x:f>IFERROR(VALUE('Raw Sales'!E153),"")</x:f>
        <x:v>29</x:v>
      </x:c>
      <x:c r="F153" s="9" t="n">
        <x:v>3886</x:v>
      </x:c>
      <x:c r="G153" s="10" t="n">
        <x:f>IFERROR(IF(OR(MID(TRIM('Raw Sales'!G153),5,1)="-",MID(TRIM('Raw Sales'!G153),5,1)="/"),DATE(VALUE(LEFT(TRIM('Raw Sales'!G153),4)),VALUE(MID(TRIM('Raw Sales'!G153),6,2)),VALUE(RIGHT(TRIM('Raw Sales'!G153),2))),IF(LEN(TRIM('Raw Sales'!G153))=10,DATE(VALUE(RIGHT(TRIM('Raw Sales'!G153),4)),VALUE(MID(TRIM('Raw Sales'!G153),4,2)),VALUE(LEFT(TRIM('Raw Sales'!G153),2))),IF(LEN(TRIM('Raw Sales'!G153))=8,DATE(2000+VALUE(RIGHT(TRIM('Raw Sales'!G153),2)),VALUE(MID(TRIM('Raw Sales'!G153),4,2)),VALUE(LEFT(TRIM('Raw Sales'!G153),2))),""))),"")</x:f>
        <x:v>46167</x:v>
      </x:c>
      <x:c r="H153" t="str">
        <x:f>IF(TRIM('Raw Sales'!H153)="","Missing",PROPER(TRIM('Raw Sales'!H153)))</x:f>
        <x:v>Lebo Nkosi</x:v>
      </x:c>
      <x:c r="I153" t="str">
        <x:f>IF(OR(UPPER(TRIM('Raw Sales'!I153))="PAID",UPPER(TRIM('Raw Sales'!I153))="SETTLED",UPPER(TRIM('Raw Sales'!I153))="COMPLETE"),"Paid",IF(UPPER(TRIM('Raw Sales'!I153))="PENDING","Pending","Review"))</x:f>
        <x:v>Pending</x:v>
      </x:c>
      <x:c r="J153" t="str">
        <x:f>IF(A153="","Missing",IF(COUNTIF($A$6:A153,A153)&gt;1,"Duplicate","Unique"))</x:f>
        <x:v>Duplicate</x:v>
      </x:c>
      <x:c r="K153" s="11" t="n">
        <x:f>IF(A153="",1,0)+IF(B153="",1,0)+IF(C153="Review",1,0)+IF(D153="",1,0)+IF(OR(E153="",E153&lt;=0),1,0)+IF(OR(F153="",F153&lt;=0),1,0)+IF(G153="",1,0)+IF(H153="Missing",1,0)+IF(I153="Review",1,0)+IF(J153="Duplicate",1,0)</x:f>
        <x:v>1</x:v>
      </x:c>
      <x:c r="L153" s="12" t="str">
        <x:f>IF(A153="","Missing order ID; ","")&amp;IF(B153="","Missing school; ","")&amp;IF(C153="Review","Unmapped region; ","")&amp;IF(D153="","Missing product; ","")&amp;IF(OR(E153="",E153&lt;=0),"Invalid units; ","")&amp;IF(OR(F153="",F153&lt;=0),"Invalid amount; ","")&amp;IF(G153="","Invalid date; ","")&amp;IF(H153="Missing","Missing sales rep; ","")&amp;IF(I153="Review","Unmapped payment status; ","")&amp;IF(J153="Duplicate","Duplicate ID; ","")</x:f>
        <x:v>Duplicate ID; </x:v>
      </x:c>
      <x:c r="M153" t="str">
        <x:f>IF(K153=0,"Ready","Review")</x:f>
        <x:v>Review</x:v>
      </x:c>
    </x:row>
    <x:row r="154">
      <x:c r="A154" t="str">
        <x:f>UPPER(TRIM('Raw Sales'!A154))</x:f>
        <x:v>SAL-26-0149</x:v>
      </x:c>
      <x:c r="B154" t="str">
        <x:f>PROPER(TRIM('Raw Sales'!B154))</x:f>
        <x:v>Valley Primary</x:v>
      </x:c>
      <x:c r="C154" t="str">
        <x:f>IF(OR(UPPER(TRIM('Raw Sales'!C154))="BOCHUM",UPPER(TRIM('Raw Sales'!C154))="BOCHUM REGION"),"Bochum",IF(OR(UPPER(TRIM('Raw Sales'!C154))="ELDORADO",UPPER(TRIM('Raw Sales'!C154))="ELDOS"),"Eldorado","Review"))</x:f>
        <x:v>Eldorado</x:v>
      </x:c>
      <x:c r="D154" t="str">
        <x:f>PROPER(TRIM('Raw Sales'!D154))</x:f>
        <x:v>Pens</x:v>
      </x:c>
      <x:c r="E154" s="8" t="n">
        <x:f>IFERROR(VALUE('Raw Sales'!E154),"")</x:f>
        <x:v>36</x:v>
      </x:c>
      <x:c r="F154" s="9" t="n">
        <x:v>5292</x:v>
      </x:c>
      <x:c r="G154" s="10" t="n">
        <x:f>IFERROR(IF(OR(MID(TRIM('Raw Sales'!G154),5,1)="-",MID(TRIM('Raw Sales'!G154),5,1)="/"),DATE(VALUE(LEFT(TRIM('Raw Sales'!G154),4)),VALUE(MID(TRIM('Raw Sales'!G154),6,2)),VALUE(RIGHT(TRIM('Raw Sales'!G154),2))),IF(LEN(TRIM('Raw Sales'!G154))=10,DATE(VALUE(RIGHT(TRIM('Raw Sales'!G154),4)),VALUE(MID(TRIM('Raw Sales'!G154),4,2)),VALUE(LEFT(TRIM('Raw Sales'!G154),2))),IF(LEN(TRIM('Raw Sales'!G154))=8,DATE(2000+VALUE(RIGHT(TRIM('Raw Sales'!G154),2)),VALUE(MID(TRIM('Raw Sales'!G154),4,2)),VALUE(LEFT(TRIM('Raw Sales'!G154),2))),""))),"")</x:f>
        <x:v>46199</x:v>
      </x:c>
      <x:c r="H154" t="str">
        <x:f>IF(TRIM('Raw Sales'!H154)="","Missing",PROPER(TRIM('Raw Sales'!H154)))</x:f>
        <x:v>Thabo Ndlovu</x:v>
      </x:c>
      <x:c r="I154" t="str">
        <x:f>IF(OR(UPPER(TRIM('Raw Sales'!I154))="PAID",UPPER(TRIM('Raw Sales'!I154))="SETTLED",UPPER(TRIM('Raw Sales'!I154))="COMPLETE"),"Paid",IF(UPPER(TRIM('Raw Sales'!I154))="PENDING","Pending","Review"))</x:f>
        <x:v>Paid</x:v>
      </x:c>
      <x:c r="J154" t="str">
        <x:f>IF(A154="","Missing",IF(COUNTIF($A$6:A154,A154)&gt;1,"Duplicate","Unique"))</x:f>
        <x:v>Unique</x:v>
      </x:c>
      <x:c r="K154" s="11" t="n">
        <x:f>IF(A154="",1,0)+IF(B154="",1,0)+IF(C154="Review",1,0)+IF(D154="",1,0)+IF(OR(E154="",E154&lt;=0),1,0)+IF(OR(F154="",F154&lt;=0),1,0)+IF(G154="",1,0)+IF(H154="Missing",1,0)+IF(I154="Review",1,0)+IF(J154="Duplicate",1,0)</x:f>
        <x:v>0</x:v>
      </x:c>
      <x:c r="L154" s="12" t="str">
        <x:f>IF(A154="","Missing order ID; ","")&amp;IF(B154="","Missing school; ","")&amp;IF(C154="Review","Unmapped region; ","")&amp;IF(D154="","Missing product; ","")&amp;IF(OR(E154="",E154&lt;=0),"Invalid units; ","")&amp;IF(OR(F154="",F154&lt;=0),"Invalid amount; ","")&amp;IF(G154="","Invalid date; ","")&amp;IF(H154="Missing","Missing sales rep; ","")&amp;IF(I154="Review","Unmapped payment status; ","")&amp;IF(J154="Duplicate","Duplicate ID; ","")</x:f>
      </x:c>
      <x:c r="M154" t="str">
        <x:f>IF(K154=0,"Ready","Review")</x:f>
        <x:v>Ready</x:v>
      </x:c>
    </x:row>
    <x:row r="155">
      <x:c r="A155" t="str">
        <x:f>UPPER(TRIM('Raw Sales'!A155))</x:f>
        <x:v>SAL-26-0150</x:v>
      </x:c>
      <x:c r="B155" t="str">
        <x:f>PROPER(TRIM('Raw Sales'!B155))</x:f>
        <x:v>Mhlabeni Secondary</x:v>
      </x:c>
      <x:c r="C155" t="str">
        <x:f>IF(OR(UPPER(TRIM('Raw Sales'!C155))="BOCHUM",UPPER(TRIM('Raw Sales'!C155))="BOCHUM REGION"),"Bochum",IF(OR(UPPER(TRIM('Raw Sales'!C155))="ELDORADO",UPPER(TRIM('Raw Sales'!C155))="ELDOS"),"Eldorado","Review"))</x:f>
        <x:v>Eldorado</x:v>
      </x:c>
      <x:c r="D155" t="str">
        <x:f>PROPER(TRIM('Raw Sales'!D155))</x:f>
        <x:v>Glue Sticks</x:v>
      </x:c>
      <x:c r="E155" s="8" t="n">
        <x:f>IFERROR(VALUE('Raw Sales'!E155),"")</x:f>
        <x:v>7</x:v>
      </x:c>
      <x:c r="F155" s="9" t="n">
        <x:v>1120</x:v>
      </x:c>
      <x:c r="G155" s="10" t="n">
        <x:f>IFERROR(IF(OR(MID(TRIM('Raw Sales'!G155),5,1)="-",MID(TRIM('Raw Sales'!G155),5,1)="/"),DATE(VALUE(LEFT(TRIM('Raw Sales'!G155),4)),VALUE(MID(TRIM('Raw Sales'!G155),6,2)),VALUE(RIGHT(TRIM('Raw Sales'!G155),2))),IF(LEN(TRIM('Raw Sales'!G155))=10,DATE(VALUE(RIGHT(TRIM('Raw Sales'!G155),4)),VALUE(MID(TRIM('Raw Sales'!G155),4,2)),VALUE(LEFT(TRIM('Raw Sales'!G155),2))),IF(LEN(TRIM('Raw Sales'!G155))=8,DATE(2000+VALUE(RIGHT(TRIM('Raw Sales'!G155),2)),VALUE(MID(TRIM('Raw Sales'!G155),4,2)),VALUE(LEFT(TRIM('Raw Sales'!G155),2))),""))),"")</x:f>
        <x:v>46205</x:v>
      </x:c>
      <x:c r="H155" t="str">
        <x:f>IF(TRIM('Raw Sales'!H155)="","Missing",PROPER(TRIM('Raw Sales'!H155)))</x:f>
        <x:v>Lebo Nkosi</x:v>
      </x:c>
      <x:c r="I155" t="str">
        <x:f>IF(OR(UPPER(TRIM('Raw Sales'!I155))="PAID",UPPER(TRIM('Raw Sales'!I155))="SETTLED",UPPER(TRIM('Raw Sales'!I155))="COMPLETE"),"Paid",IF(UPPER(TRIM('Raw Sales'!I155))="PENDING","Pending","Review"))</x:f>
        <x:v>Paid</x:v>
      </x:c>
      <x:c r="J155" t="str">
        <x:f>IF(A155="","Missing",IF(COUNTIF($A$6:A155,A155)&gt;1,"Duplicate","Unique"))</x:f>
        <x:v>Unique</x:v>
      </x:c>
      <x:c r="K155" s="11" t="n">
        <x:f>IF(A155="",1,0)+IF(B155="",1,0)+IF(C155="Review",1,0)+IF(D155="",1,0)+IF(OR(E155="",E155&lt;=0),1,0)+IF(OR(F155="",F155&lt;=0),1,0)+IF(G155="",1,0)+IF(H155="Missing",1,0)+IF(I155="Review",1,0)+IF(J155="Duplicate",1,0)</x:f>
        <x:v>0</x:v>
      </x:c>
      <x:c r="L155" s="12" t="str">
        <x:f>IF(A155="","Missing order ID; ","")&amp;IF(B155="","Missing school; ","")&amp;IF(C155="Review","Unmapped region; ","")&amp;IF(D155="","Missing product; ","")&amp;IF(OR(E155="",E155&lt;=0),"Invalid units; ","")&amp;IF(OR(F155="",F155&lt;=0),"Invalid amount; ","")&amp;IF(G155="","Invalid date; ","")&amp;IF(H155="Missing","Missing sales rep; ","")&amp;IF(I155="Review","Unmapped payment status; ","")&amp;IF(J155="Duplicate","Duplicate ID; ","")</x:f>
      </x:c>
      <x:c r="M155" t="str">
        <x:f>IF(K155=0,"Ready","Review")</x:f>
        <x:v>Ready</x:v>
      </x:c>
    </x:row>
    <x:row r="156">
      <x:c r="A156" t="str">
        <x:f>UPPER(TRIM('Raw Sales'!A156))</x:f>
        <x:v>SAL-26-0151</x:v>
      </x:c>
      <x:c r="B156" t="str">
        <x:f>PROPER(TRIM('Raw Sales'!B156))</x:f>
        <x:v>Meadowlands School</x:v>
      </x:c>
      <x:c r="C156" t="str">
        <x:f>IF(OR(UPPER(TRIM('Raw Sales'!C156))="BOCHUM",UPPER(TRIM('Raw Sales'!C156))="BOCHUM REGION"),"Bochum",IF(OR(UPPER(TRIM('Raw Sales'!C156))="ELDORADO",UPPER(TRIM('Raw Sales'!C156))="ELDOS"),"Eldorado","Review"))</x:f>
        <x:v>Bochum</x:v>
      </x:c>
      <x:c r="D156" t="str">
        <x:f>PROPER(TRIM('Raw Sales'!D156))</x:f>
        <x:v>Markers</x:v>
      </x:c>
      <x:c r="E156" s="8" t="n">
        <x:f>IFERROR(VALUE('Raw Sales'!E156),"")</x:f>
        <x:v>14</x:v>
      </x:c>
      <x:c r="F156" s="9" t="n">
        <x:v>2422</x:v>
      </x:c>
      <x:c r="G156" s="10" t="n">
        <x:f>IFERROR(IF(OR(MID(TRIM('Raw Sales'!G156),5,1)="-",MID(TRIM('Raw Sales'!G156),5,1)="/"),DATE(VALUE(LEFT(TRIM('Raw Sales'!G156),4)),VALUE(MID(TRIM('Raw Sales'!G156),6,2)),VALUE(RIGHT(TRIM('Raw Sales'!G156),2))),IF(LEN(TRIM('Raw Sales'!G156))=10,DATE(VALUE(RIGHT(TRIM('Raw Sales'!G156),4)),VALUE(MID(TRIM('Raw Sales'!G156),4,2)),VALUE(LEFT(TRIM('Raw Sales'!G156),2))),IF(LEN(TRIM('Raw Sales'!G156))=8,DATE(2000+VALUE(RIGHT(TRIM('Raw Sales'!G156),2)),VALUE(MID(TRIM('Raw Sales'!G156),4,2)),VALUE(LEFT(TRIM('Raw Sales'!G156),2))),""))),"")</x:f>
        <x:v>46237</x:v>
      </x:c>
      <x:c r="H156" t="str">
        <x:f>IF(TRIM('Raw Sales'!H156)="","Missing",PROPER(TRIM('Raw Sales'!H156)))</x:f>
        <x:v>Thabo Ndlovu</x:v>
      </x:c>
      <x:c r="I156" t="str">
        <x:f>IF(OR(UPPER(TRIM('Raw Sales'!I156))="PAID",UPPER(TRIM('Raw Sales'!I156))="SETTLED",UPPER(TRIM('Raw Sales'!I156))="COMPLETE"),"Paid",IF(UPPER(TRIM('Raw Sales'!I156))="PENDING","Pending","Review"))</x:f>
        <x:v>Pending</x:v>
      </x:c>
      <x:c r="J156" t="str">
        <x:f>IF(A156="","Missing",IF(COUNTIF($A$6:A156,A156)&gt;1,"Duplicate","Unique"))</x:f>
        <x:v>Unique</x:v>
      </x:c>
      <x:c r="K156" s="11" t="n">
        <x:f>IF(A156="",1,0)+IF(B156="",1,0)+IF(C156="Review",1,0)+IF(D156="",1,0)+IF(OR(E156="",E156&lt;=0),1,0)+IF(OR(F156="",F156&lt;=0),1,0)+IF(G156="",1,0)+IF(H156="Missing",1,0)+IF(I156="Review",1,0)+IF(J156="Duplicate",1,0)</x:f>
        <x:v>0</x:v>
      </x:c>
      <x:c r="L156" s="12" t="str">
        <x:f>IF(A156="","Missing order ID; ","")&amp;IF(B156="","Missing school; ","")&amp;IF(C156="Review","Unmapped region; ","")&amp;IF(D156="","Missing product; ","")&amp;IF(OR(E156="",E156&lt;=0),"Invalid units; ","")&amp;IF(OR(F156="",F156&lt;=0),"Invalid amount; ","")&amp;IF(G156="","Invalid date; ","")&amp;IF(H156="Missing","Missing sales rep; ","")&amp;IF(I156="Review","Unmapped payment status; ","")&amp;IF(J156="Duplicate","Duplicate ID; ","")</x:f>
      </x:c>
      <x:c r="M156" t="str">
        <x:f>IF(K156=0,"Ready","Review")</x:f>
        <x:v>Ready</x:v>
      </x:c>
    </x:row>
    <x:row r="157">
      <x:c r="A157" t="str">
        <x:f>UPPER(TRIM('Raw Sales'!A157))</x:f>
        <x:v>SAL-26-0152</x:v>
      </x:c>
      <x:c r="B157" t="str">
        <x:f>PROPER(TRIM('Raw Sales'!B157))</x:f>
        <x:v>Gardenview School</x:v>
      </x:c>
      <x:c r="C157" t="str">
        <x:f>IF(OR(UPPER(TRIM('Raw Sales'!C157))="BOCHUM",UPPER(TRIM('Raw Sales'!C157))="BOCHUM REGION"),"Bochum",IF(OR(UPPER(TRIM('Raw Sales'!C157))="ELDORADO",UPPER(TRIM('Raw Sales'!C157))="ELDOS"),"Eldorado","Review"))</x:f>
        <x:v>Eldorado</x:v>
      </x:c>
      <x:c r="D157" t="str">
        <x:f>PROPER(TRIM('Raw Sales'!D157))</x:f>
        <x:v>Notebooks</x:v>
      </x:c>
      <x:c r="E157" s="8" t="n">
        <x:f>IFERROR(VALUE('Raw Sales'!E157),"")</x:f>
        <x:v>21</x:v>
      </x:c>
      <x:c r="F157" s="9" t="n">
        <x:v>3906</x:v>
      </x:c>
      <x:c r="G157" s="10" t="n">
        <x:f>IFERROR(IF(OR(MID(TRIM('Raw Sales'!G157),5,1)="-",MID(TRIM('Raw Sales'!G157),5,1)="/"),DATE(VALUE(LEFT(TRIM('Raw Sales'!G157),4)),VALUE(MID(TRIM('Raw Sales'!G157),6,2)),VALUE(RIGHT(TRIM('Raw Sales'!G157),2))),IF(LEN(TRIM('Raw Sales'!G157))=10,DATE(VALUE(RIGHT(TRIM('Raw Sales'!G157),4)),VALUE(MID(TRIM('Raw Sales'!G157),4,2)),VALUE(LEFT(TRIM('Raw Sales'!G157),2))),IF(LEN(TRIM('Raw Sales'!G157))=8,DATE(2000+VALUE(RIGHT(TRIM('Raw Sales'!G157),2)),VALUE(MID(TRIM('Raw Sales'!G157),4,2)),VALUE(LEFT(TRIM('Raw Sales'!G157),2))),""))),"")</x:f>
        <x:v>46026</x:v>
      </x:c>
      <x:c r="H157" t="str">
        <x:f>IF(TRIM('Raw Sales'!H157)="","Missing",PROPER(TRIM('Raw Sales'!H157)))</x:f>
        <x:v>Lebo Nkosi</x:v>
      </x:c>
      <x:c r="I157" t="str">
        <x:f>IF(OR(UPPER(TRIM('Raw Sales'!I157))="PAID",UPPER(TRIM('Raw Sales'!I157))="SETTLED",UPPER(TRIM('Raw Sales'!I157))="COMPLETE"),"Paid",IF(UPPER(TRIM('Raw Sales'!I157))="PENDING","Pending","Review"))</x:f>
        <x:v>Paid</x:v>
      </x:c>
      <x:c r="J157" t="str">
        <x:f>IF(A157="","Missing",IF(COUNTIF($A$6:A157,A157)&gt;1,"Duplicate","Unique"))</x:f>
        <x:v>Unique</x:v>
      </x:c>
      <x:c r="K157" s="11" t="n">
        <x:f>IF(A157="",1,0)+IF(B157="",1,0)+IF(C157="Review",1,0)+IF(D157="",1,0)+IF(OR(E157="",E157&lt;=0),1,0)+IF(OR(F157="",F157&lt;=0),1,0)+IF(G157="",1,0)+IF(H157="Missing",1,0)+IF(I157="Review",1,0)+IF(J157="Duplicate",1,0)</x:f>
        <x:v>0</x:v>
      </x:c>
      <x:c r="L157" s="12" t="str">
        <x:f>IF(A157="","Missing order ID; ","")&amp;IF(B157="","Missing school; ","")&amp;IF(C157="Review","Unmapped region; ","")&amp;IF(D157="","Missing product; ","")&amp;IF(OR(E157="",E157&lt;=0),"Invalid units; ","")&amp;IF(OR(F157="",F157&lt;=0),"Invalid amount; ","")&amp;IF(G157="","Invalid date; ","")&amp;IF(H157="Missing","Missing sales rep; ","")&amp;IF(I157="Review","Unmapped payment status; ","")&amp;IF(J157="Duplicate","Duplicate ID; ","")</x:f>
      </x:c>
      <x:c r="M157" t="str">
        <x:f>IF(K157=0,"Ready","Review")</x:f>
        <x:v>Ready</x:v>
      </x:c>
    </x:row>
    <x:row r="158">
      <x:c r="A158" t="str">
        <x:f>UPPER(TRIM('Raw Sales'!A158))</x:f>
        <x:v>SAL-26-0153</x:v>
      </x:c>
      <x:c r="B158" t="str">
        <x:f>PROPER(TRIM('Raw Sales'!B158))</x:f>
        <x:v>Riverside Academy</x:v>
      </x:c>
      <x:c r="C158" t="str">
        <x:f>IF(OR(UPPER(TRIM('Raw Sales'!C158))="BOCHUM",UPPER(TRIM('Raw Sales'!C158))="BOCHUM REGION"),"Bochum",IF(OR(UPPER(TRIM('Raw Sales'!C158))="ELDORADO",UPPER(TRIM('Raw Sales'!C158))="ELDOS"),"Eldorado","Review"))</x:f>
        <x:v>Bochum</x:v>
      </x:c>
      <x:c r="D158" t="str">
        <x:f>PROPER(TRIM('Raw Sales'!D158))</x:f>
        <x:v>Rulers</x:v>
      </x:c>
      <x:c r="E158" s="8" t="n">
        <x:f>IFERROR(VALUE('Raw Sales'!E158),"")</x:f>
        <x:v>28</x:v>
      </x:c>
      <x:c r="F158" s="9"/>
      <x:c r="G158" s="10" t="n">
        <x:f>IFERROR(IF(OR(MID(TRIM('Raw Sales'!G158),5,1)="-",MID(TRIM('Raw Sales'!G158),5,1)="/"),DATE(VALUE(LEFT(TRIM('Raw Sales'!G158),4)),VALUE(MID(TRIM('Raw Sales'!G158),6,2)),VALUE(RIGHT(TRIM('Raw Sales'!G158),2))),IF(LEN(TRIM('Raw Sales'!G158))=10,DATE(VALUE(RIGHT(TRIM('Raw Sales'!G158),4)),VALUE(MID(TRIM('Raw Sales'!G158),4,2)),VALUE(LEFT(TRIM('Raw Sales'!G158),2))),IF(LEN(TRIM('Raw Sales'!G158))=8,DATE(2000+VALUE(RIGHT(TRIM('Raw Sales'!G158),2)),VALUE(MID(TRIM('Raw Sales'!G158),4,2)),VALUE(LEFT(TRIM('Raw Sales'!G158),2))),""))),"")</x:f>
        <x:v>46058</x:v>
      </x:c>
      <x:c r="H158" t="str">
        <x:f>IF(TRIM('Raw Sales'!H158)="","Missing",PROPER(TRIM('Raw Sales'!H158)))</x:f>
        <x:v>Thabo Ndlovu</x:v>
      </x:c>
      <x:c r="I158" t="str">
        <x:f>IF(OR(UPPER(TRIM('Raw Sales'!I158))="PAID",UPPER(TRIM('Raw Sales'!I158))="SETTLED",UPPER(TRIM('Raw Sales'!I158))="COMPLETE"),"Paid",IF(UPPER(TRIM('Raw Sales'!I158))="PENDING","Pending","Review"))</x:f>
        <x:v>Paid</x:v>
      </x:c>
      <x:c r="J158" t="str">
        <x:f>IF(A158="","Missing",IF(COUNTIF($A$6:A158,A158)&gt;1,"Duplicate","Unique"))</x:f>
        <x:v>Unique</x:v>
      </x:c>
      <x:c r="K158" s="11" t="n">
        <x:f>IF(A158="",1,0)+IF(B158="",1,0)+IF(C158="Review",1,0)+IF(D158="",1,0)+IF(OR(E158="",E158&lt;=0),1,0)+IF(OR(F158="",F158&lt;=0),1,0)+IF(G158="",1,0)+IF(H158="Missing",1,0)+IF(I158="Review",1,0)+IF(J158="Duplicate",1,0)</x:f>
        <x:v>1</x:v>
      </x:c>
      <x:c r="L158" s="12" t="str">
        <x:f>IF(A158="","Missing order ID; ","")&amp;IF(B158="","Missing school; ","")&amp;IF(C158="Review","Unmapped region; ","")&amp;IF(D158="","Missing product; ","")&amp;IF(OR(E158="",E158&lt;=0),"Invalid units; ","")&amp;IF(OR(F158="",F158&lt;=0),"Invalid amount; ","")&amp;IF(G158="","Invalid date; ","")&amp;IF(H158="Missing","Missing sales rep; ","")&amp;IF(I158="Review","Unmapped payment status; ","")&amp;IF(J158="Duplicate","Duplicate ID; ","")</x:f>
        <x:v>Invalid amount; </x:v>
      </x:c>
      <x:c r="M158" t="str">
        <x:f>IF(K158=0,"Ready","Review")</x:f>
        <x:v>Review</x:v>
      </x:c>
    </x:row>
    <x:row r="159">
      <x:c r="A159" t="str">
        <x:f>UPPER(TRIM('Raw Sales'!A159))</x:f>
        <x:v>SAL-26-0154</x:v>
      </x:c>
      <x:c r="B159" t="str">
        <x:f>PROPER(TRIM('Raw Sales'!B159))</x:f>
        <x:v>Maple Secondary</x:v>
      </x:c>
      <x:c r="C159" t="str">
        <x:f>IF(OR(UPPER(TRIM('Raw Sales'!C159))="BOCHUM",UPPER(TRIM('Raw Sales'!C159))="BOCHUM REGION"),"Bochum",IF(OR(UPPER(TRIM('Raw Sales'!C159))="ELDORADO",UPPER(TRIM('Raw Sales'!C159))="ELDOS"),"Eldorado","Review"))</x:f>
        <x:v>Eldorado</x:v>
      </x:c>
      <x:c r="D159" t="str">
        <x:f>PROPER(TRIM('Raw Sales'!D159))</x:f>
        <x:v>Exercise Books</x:v>
      </x:c>
      <x:c r="E159" s="8" t="n">
        <x:f>IFERROR(VALUE('Raw Sales'!E159),"")</x:f>
        <x:v>35</x:v>
      </x:c>
      <x:c r="F159" s="9" t="n">
        <x:v>1085</x:v>
      </x:c>
      <x:c r="G159" s="10" t="n">
        <x:f>IFERROR(IF(OR(MID(TRIM('Raw Sales'!G159),5,1)="-",MID(TRIM('Raw Sales'!G159),5,1)="/"),DATE(VALUE(LEFT(TRIM('Raw Sales'!G159),4)),VALUE(MID(TRIM('Raw Sales'!G159),6,2)),VALUE(RIGHT(TRIM('Raw Sales'!G159),2))),IF(LEN(TRIM('Raw Sales'!G159))=10,DATE(VALUE(RIGHT(TRIM('Raw Sales'!G159),4)),VALUE(MID(TRIM('Raw Sales'!G159),4,2)),VALUE(LEFT(TRIM('Raw Sales'!G159),2))),IF(LEN(TRIM('Raw Sales'!G159))=8,DATE(2000+VALUE(RIGHT(TRIM('Raw Sales'!G159),2)),VALUE(MID(TRIM('Raw Sales'!G159),4,2)),VALUE(LEFT(TRIM('Raw Sales'!G159),2))),""))),"")</x:f>
        <x:v>46087</x:v>
      </x:c>
      <x:c r="H159" t="str">
        <x:f>IF(TRIM('Raw Sales'!H159)="","Missing",PROPER(TRIM('Raw Sales'!H159)))</x:f>
        <x:v>Lebo Nkosi</x:v>
      </x:c>
      <x:c r="I159" t="str">
        <x:f>IF(OR(UPPER(TRIM('Raw Sales'!I159))="PAID",UPPER(TRIM('Raw Sales'!I159))="SETTLED",UPPER(TRIM('Raw Sales'!I159))="COMPLETE"),"Paid",IF(UPPER(TRIM('Raw Sales'!I159))="PENDING","Pending","Review"))</x:f>
        <x:v>Pending</x:v>
      </x:c>
      <x:c r="J159" t="str">
        <x:f>IF(A159="","Missing",IF(COUNTIF($A$6:A159,A159)&gt;1,"Duplicate","Unique"))</x:f>
        <x:v>Unique</x:v>
      </x:c>
      <x:c r="K159" s="11" t="n">
        <x:f>IF(A159="",1,0)+IF(B159="",1,0)+IF(C159="Review",1,0)+IF(D159="",1,0)+IF(OR(E159="",E159&lt;=0),1,0)+IF(OR(F159="",F159&lt;=0),1,0)+IF(G159="",1,0)+IF(H159="Missing",1,0)+IF(I159="Review",1,0)+IF(J159="Duplicate",1,0)</x:f>
        <x:v>0</x:v>
      </x:c>
      <x:c r="L159" s="12" t="str">
        <x:f>IF(A159="","Missing order ID; ","")&amp;IF(B159="","Missing school; ","")&amp;IF(C159="Review","Unmapped region; ","")&amp;IF(D159="","Missing product; ","")&amp;IF(OR(E159="",E159&lt;=0),"Invalid units; ","")&amp;IF(OR(F159="",F159&lt;=0),"Invalid amount; ","")&amp;IF(G159="","Invalid date; ","")&amp;IF(H159="Missing","Missing sales rep; ","")&amp;IF(I159="Review","Unmapped payment status; ","")&amp;IF(J159="Duplicate","Duplicate ID; ","")</x:f>
      </x:c>
      <x:c r="M159" t="str">
        <x:f>IF(K159=0,"Ready","Review")</x:f>
        <x:v>Ready</x:v>
      </x:c>
    </x:row>
    <x:row r="160">
      <x:c r="A160" t="str">
        <x:f>UPPER(TRIM('Raw Sales'!A160))</x:f>
        <x:v>SAL-26-0155</x:v>
      </x:c>
      <x:c r="B160" t="str">
        <x:f>PROPER(TRIM('Raw Sales'!B160))</x:f>
        <x:v>Pinecrest School</x:v>
      </x:c>
      <x:c r="C160" t="str">
        <x:f>IF(OR(UPPER(TRIM('Raw Sales'!C160))="BOCHUM",UPPER(TRIM('Raw Sales'!C160))="BOCHUM REGION"),"Bochum",IF(OR(UPPER(TRIM('Raw Sales'!C160))="ELDORADO",UPPER(TRIM('Raw Sales'!C160))="ELDOS"),"Eldorado","Review"))</x:f>
        <x:v>Bochum</x:v>
      </x:c>
      <x:c r="D160" t="str">
        <x:f>PROPER(TRIM('Raw Sales'!D160))</x:f>
        <x:v>Pencils</x:v>
      </x:c>
      <x:c r="E160" s="8" t="n">
        <x:f>IFERROR(VALUE('Raw Sales'!E160),"")</x:f>
        <x:v>0</x:v>
      </x:c>
      <x:c r="F160" s="9" t="n">
        <x:v>264</x:v>
      </x:c>
      <x:c r="G160" s="10" t="str">
        <x:f>IFERROR(IF(OR(MID(TRIM('Raw Sales'!G160),5,1)="-",MID(TRIM('Raw Sales'!G160),5,1)="/"),DATE(VALUE(LEFT(TRIM('Raw Sales'!G160),4)),VALUE(MID(TRIM('Raw Sales'!G160),6,2)),VALUE(RIGHT(TRIM('Raw Sales'!G160),2))),IF(LEN(TRIM('Raw Sales'!G160))=10,DATE(VALUE(RIGHT(TRIM('Raw Sales'!G160),4)),VALUE(MID(TRIM('Raw Sales'!G160),4,2)),VALUE(LEFT(TRIM('Raw Sales'!G160),2))),IF(LEN(TRIM('Raw Sales'!G160))=8,DATE(2000+VALUE(RIGHT(TRIM('Raw Sales'!G160),2)),VALUE(MID(TRIM('Raw Sales'!G160),4,2)),VALUE(LEFT(TRIM('Raw Sales'!G160),2))),""))),"")</x:f>
      </x:c>
      <x:c r="H160" t="str">
        <x:f>IF(TRIM('Raw Sales'!H160)="","Missing",PROPER(TRIM('Raw Sales'!H160)))</x:f>
        <x:v>Thabo Ndlovu</x:v>
      </x:c>
      <x:c r="I160" t="str">
        <x:f>IF(OR(UPPER(TRIM('Raw Sales'!I160))="PAID",UPPER(TRIM('Raw Sales'!I160))="SETTLED",UPPER(TRIM('Raw Sales'!I160))="COMPLETE"),"Paid",IF(UPPER(TRIM('Raw Sales'!I160))="PENDING","Pending","Review"))</x:f>
        <x:v>Paid</x:v>
      </x:c>
      <x:c r="J160" t="str">
        <x:f>IF(A160="","Missing",IF(COUNTIF($A$6:A160,A160)&gt;1,"Duplicate","Unique"))</x:f>
        <x:v>Unique</x:v>
      </x:c>
      <x:c r="K160" s="11" t="n">
        <x:f>IF(A160="",1,0)+IF(B160="",1,0)+IF(C160="Review",1,0)+IF(D160="",1,0)+IF(OR(E160="",E160&lt;=0),1,0)+IF(OR(F160="",F160&lt;=0),1,0)+IF(G160="",1,0)+IF(H160="Missing",1,0)+IF(I160="Review",1,0)+IF(J160="Duplicate",1,0)</x:f>
        <x:v>2</x:v>
      </x:c>
      <x:c r="L160" s="12" t="str">
        <x:f>IF(A160="","Missing order ID; ","")&amp;IF(B160="","Missing school; ","")&amp;IF(C160="Review","Unmapped region; ","")&amp;IF(D160="","Missing product; ","")&amp;IF(OR(E160="",E160&lt;=0),"Invalid units; ","")&amp;IF(OR(F160="",F160&lt;=0),"Invalid amount; ","")&amp;IF(G160="","Invalid date; ","")&amp;IF(H160="Missing","Missing sales rep; ","")&amp;IF(I160="Review","Unmapped payment status; ","")&amp;IF(J160="Duplicate","Duplicate ID; ","")</x:f>
        <x:v>Invalid units; Invalid date; </x:v>
      </x:c>
      <x:c r="M160" t="str">
        <x:f>IF(K160=0,"Ready","Review")</x:f>
        <x:v>Review</x:v>
      </x:c>
    </x:row>
    <x:row r="161">
      <x:c r="A161" t="str">
        <x:f>UPPER(TRIM('Raw Sales'!A161))</x:f>
        <x:v>SAL-26-0156</x:v>
      </x:c>
      <x:c r="B161" t="str">
        <x:f>PROPER(TRIM('Raw Sales'!B161))</x:f>
        <x:v>Northstar Academy</x:v>
      </x:c>
      <x:c r="C161" t="str">
        <x:f>IF(OR(UPPER(TRIM('Raw Sales'!C161))="BOCHUM",UPPER(TRIM('Raw Sales'!C161))="BOCHUM REGION"),"Bochum",IF(OR(UPPER(TRIM('Raw Sales'!C161))="ELDORADO",UPPER(TRIM('Raw Sales'!C161))="ELDOS"),"Eldorado","Review"))</x:f>
        <x:v>Bochum</x:v>
      </x:c>
      <x:c r="D161" t="str">
        <x:f>PROPER(TRIM('Raw Sales'!D161))</x:f>
        <x:v>Folders</x:v>
      </x:c>
      <x:c r="E161" s="8" t="n">
        <x:f>IFERROR(VALUE('Raw Sales'!E161),"")</x:f>
        <x:v>13</x:v>
      </x:c>
      <x:c r="F161" s="9" t="n">
        <x:v>741</x:v>
      </x:c>
      <x:c r="G161" s="10" t="n">
        <x:f>IFERROR(IF(OR(MID(TRIM('Raw Sales'!G161),5,1)="-",MID(TRIM('Raw Sales'!G161),5,1)="/"),DATE(VALUE(LEFT(TRIM('Raw Sales'!G161),4)),VALUE(MID(TRIM('Raw Sales'!G161),6,2)),VALUE(RIGHT(TRIM('Raw Sales'!G161),2))),IF(LEN(TRIM('Raw Sales'!G161))=10,DATE(VALUE(RIGHT(TRIM('Raw Sales'!G161),4)),VALUE(MID(TRIM('Raw Sales'!G161),4,2)),VALUE(LEFT(TRIM('Raw Sales'!G161),2))),IF(LEN(TRIM('Raw Sales'!G161))=8,DATE(2000+VALUE(RIGHT(TRIM('Raw Sales'!G161),2)),VALUE(MID(TRIM('Raw Sales'!G161),4,2)),VALUE(LEFT(TRIM('Raw Sales'!G161),2))),""))),"")</x:f>
        <x:v>46150</x:v>
      </x:c>
      <x:c r="H161" t="str">
        <x:f>IF(TRIM('Raw Sales'!H161)="","Missing",PROPER(TRIM('Raw Sales'!H161)))</x:f>
        <x:v>Lebo Nkosi</x:v>
      </x:c>
      <x:c r="I161" t="str">
        <x:f>IF(OR(UPPER(TRIM('Raw Sales'!I161))="PAID",UPPER(TRIM('Raw Sales'!I161))="SETTLED",UPPER(TRIM('Raw Sales'!I161))="COMPLETE"),"Paid",IF(UPPER(TRIM('Raw Sales'!I161))="PENDING","Pending","Review"))</x:f>
        <x:v>Paid</x:v>
      </x:c>
      <x:c r="J161" t="str">
        <x:f>IF(A161="","Missing",IF(COUNTIF($A$6:A161,A161)&gt;1,"Duplicate","Unique"))</x:f>
        <x:v>Unique</x:v>
      </x:c>
      <x:c r="K161" s="11" t="n">
        <x:f>IF(A161="",1,0)+IF(B161="",1,0)+IF(C161="Review",1,0)+IF(D161="",1,0)+IF(OR(E161="",E161&lt;=0),1,0)+IF(OR(F161="",F161&lt;=0),1,0)+IF(G161="",1,0)+IF(H161="Missing",1,0)+IF(I161="Review",1,0)+IF(J161="Duplicate",1,0)</x:f>
        <x:v>0</x:v>
      </x:c>
      <x:c r="L161" s="12" t="str">
        <x:f>IF(A161="","Missing order ID; ","")&amp;IF(B161="","Missing school; ","")&amp;IF(C161="Review","Unmapped region; ","")&amp;IF(D161="","Missing product; ","")&amp;IF(OR(E161="",E161&lt;=0),"Invalid units; ","")&amp;IF(OR(F161="",F161&lt;=0),"Invalid amount; ","")&amp;IF(G161="","Invalid date; ","")&amp;IF(H161="Missing","Missing sales rep; ","")&amp;IF(I161="Review","Unmapped payment status; ","")&amp;IF(J161="Duplicate","Duplicate ID; ","")</x:f>
      </x:c>
      <x:c r="M161" t="str">
        <x:f>IF(K161=0,"Ready","Review")</x:f>
        <x:v>Ready</x:v>
      </x:c>
    </x:row>
    <x:row r="162">
      <x:c r="A162" t="str">
        <x:f>UPPER(TRIM('Raw Sales'!A162))</x:f>
        <x:v>SAL-26-0157</x:v>
      </x:c>
      <x:c r="B162" t="str">
        <x:f>PROPER(TRIM('Raw Sales'!B162))</x:f>
        <x:v>Crescent Primary</x:v>
      </x:c>
      <x:c r="C162" t="str">
        <x:f>IF(OR(UPPER(TRIM('Raw Sales'!C162))="BOCHUM",UPPER(TRIM('Raw Sales'!C162))="BOCHUM REGION"),"Bochum",IF(OR(UPPER(TRIM('Raw Sales'!C162))="ELDORADO",UPPER(TRIM('Raw Sales'!C162))="ELDOS"),"Eldorado","Review"))</x:f>
        <x:v>Eldorado</x:v>
      </x:c>
      <x:c r="D162" t="str">
        <x:f>PROPER(TRIM('Raw Sales'!D162))</x:f>
        <x:v>Pens</x:v>
      </x:c>
      <x:c r="E162" s="8" t="n">
        <x:f>IFERROR(VALUE('Raw Sales'!E162),"")</x:f>
        <x:v>20</x:v>
      </x:c>
      <x:c r="F162" s="9" t="n">
        <x:v>1400</x:v>
      </x:c>
      <x:c r="G162" s="10" t="n">
        <x:f>IFERROR(IF(OR(MID(TRIM('Raw Sales'!G162),5,1)="-",MID(TRIM('Raw Sales'!G162),5,1)="/"),DATE(VALUE(LEFT(TRIM('Raw Sales'!G162),4)),VALUE(MID(TRIM('Raw Sales'!G162),6,2)),VALUE(RIGHT(TRIM('Raw Sales'!G162),2))),IF(LEN(TRIM('Raw Sales'!G162))=10,DATE(VALUE(RIGHT(TRIM('Raw Sales'!G162),4)),VALUE(MID(TRIM('Raw Sales'!G162),4,2)),VALUE(LEFT(TRIM('Raw Sales'!G162),2))),IF(LEN(TRIM('Raw Sales'!G162))=8,DATE(2000+VALUE(RIGHT(TRIM('Raw Sales'!G162),2)),VALUE(MID(TRIM('Raw Sales'!G162),4,2)),VALUE(LEFT(TRIM('Raw Sales'!G162),2))),""))),"")</x:f>
        <x:v>46182</x:v>
      </x:c>
      <x:c r="H162" t="str">
        <x:f>IF(TRIM('Raw Sales'!H162)="","Missing",PROPER(TRIM('Raw Sales'!H162)))</x:f>
        <x:v>Thabo Ndlovu</x:v>
      </x:c>
      <x:c r="I162" t="str">
        <x:f>IF(OR(UPPER(TRIM('Raw Sales'!I162))="PAID",UPPER(TRIM('Raw Sales'!I162))="SETTLED",UPPER(TRIM('Raw Sales'!I162))="COMPLETE"),"Paid",IF(UPPER(TRIM('Raw Sales'!I162))="PENDING","Pending","Review"))</x:f>
        <x:v>Pending</x:v>
      </x:c>
      <x:c r="J162" t="str">
        <x:f>IF(A162="","Missing",IF(COUNTIF($A$6:A162,A162)&gt;1,"Duplicate","Unique"))</x:f>
        <x:v>Unique</x:v>
      </x:c>
      <x:c r="K162" s="11" t="n">
        <x:f>IF(A162="",1,0)+IF(B162="",1,0)+IF(C162="Review",1,0)+IF(D162="",1,0)+IF(OR(E162="",E162&lt;=0),1,0)+IF(OR(F162="",F162&lt;=0),1,0)+IF(G162="",1,0)+IF(H162="Missing",1,0)+IF(I162="Review",1,0)+IF(J162="Duplicate",1,0)</x:f>
        <x:v>0</x:v>
      </x:c>
      <x:c r="L162" s="12" t="str">
        <x:f>IF(A162="","Missing order ID; ","")&amp;IF(B162="","Missing school; ","")&amp;IF(C162="Review","Unmapped region; ","")&amp;IF(D162="","Missing product; ","")&amp;IF(OR(E162="",E162&lt;=0),"Invalid units; ","")&amp;IF(OR(F162="",F162&lt;=0),"Invalid amount; ","")&amp;IF(G162="","Invalid date; ","")&amp;IF(H162="Missing","Missing sales rep; ","")&amp;IF(I162="Review","Unmapped payment status; ","")&amp;IF(J162="Duplicate","Duplicate ID; ","")</x:f>
      </x:c>
      <x:c r="M162" t="str">
        <x:f>IF(K162=0,"Ready","Review")</x:f>
        <x:v>Ready</x:v>
      </x:c>
    </x:row>
    <x:row r="163">
      <x:c r="A163" t="str">
        <x:f>UPPER(TRIM('Raw Sales'!A163))</x:f>
        <x:v>SAL-26-0158</x:v>
      </x:c>
      <x:c r="B163" t="str">
        <x:f>PROPER(TRIM('Raw Sales'!B163))</x:f>
        <x:v>Hillview Primary</x:v>
      </x:c>
      <x:c r="C163" t="str">
        <x:f>IF(OR(UPPER(TRIM('Raw Sales'!C163))="BOCHUM",UPPER(TRIM('Raw Sales'!C163))="BOCHUM REGION"),"Bochum",IF(OR(UPPER(TRIM('Raw Sales'!C163))="ELDORADO",UPPER(TRIM('Raw Sales'!C163))="ELDOS"),"Eldorado","Review"))</x:f>
        <x:v>Bochum</x:v>
      </x:c>
      <x:c r="D163" t="str">
        <x:f>PROPER(TRIM('Raw Sales'!D163))</x:f>
        <x:v>Glue Sticks</x:v>
      </x:c>
      <x:c r="E163" s="8" t="n">
        <x:f>IFERROR(VALUE('Raw Sales'!E163),"")</x:f>
        <x:v>27</x:v>
      </x:c>
      <x:c r="F163" s="9" t="n">
        <x:v>2241</x:v>
      </x:c>
      <x:c r="G163" s="10" t="n">
        <x:f>IFERROR(IF(OR(MID(TRIM('Raw Sales'!G163),5,1)="-",MID(TRIM('Raw Sales'!G163),5,1)="/"),DATE(VALUE(LEFT(TRIM('Raw Sales'!G163),4)),VALUE(MID(TRIM('Raw Sales'!G163),6,2)),VALUE(RIGHT(TRIM('Raw Sales'!G163),2))),IF(LEN(TRIM('Raw Sales'!G163))=10,DATE(VALUE(RIGHT(TRIM('Raw Sales'!G163),4)),VALUE(MID(TRIM('Raw Sales'!G163),4,2)),VALUE(LEFT(TRIM('Raw Sales'!G163),2))),IF(LEN(TRIM('Raw Sales'!G163))=8,DATE(2000+VALUE(RIGHT(TRIM('Raw Sales'!G163),2)),VALUE(MID(TRIM('Raw Sales'!G163),4,2)),VALUE(LEFT(TRIM('Raw Sales'!G163),2))),""))),"")</x:f>
        <x:v>46213</x:v>
      </x:c>
      <x:c r="H163" t="str">
        <x:f>IF(TRIM('Raw Sales'!H163)="","Missing",PROPER(TRIM('Raw Sales'!H163)))</x:f>
        <x:v>Lebo Nkosi</x:v>
      </x:c>
      <x:c r="I163" t="str">
        <x:f>IF(OR(UPPER(TRIM('Raw Sales'!I163))="PAID",UPPER(TRIM('Raw Sales'!I163))="SETTLED",UPPER(TRIM('Raw Sales'!I163))="COMPLETE"),"Paid",IF(UPPER(TRIM('Raw Sales'!I163))="PENDING","Pending","Review"))</x:f>
        <x:v>Paid</x:v>
      </x:c>
      <x:c r="J163" t="str">
        <x:f>IF(A163="","Missing",IF(COUNTIF($A$6:A163,A163)&gt;1,"Duplicate","Unique"))</x:f>
        <x:v>Unique</x:v>
      </x:c>
      <x:c r="K163" s="11" t="n">
        <x:f>IF(A163="",1,0)+IF(B163="",1,0)+IF(C163="Review",1,0)+IF(D163="",1,0)+IF(OR(E163="",E163&lt;=0),1,0)+IF(OR(F163="",F163&lt;=0),1,0)+IF(G163="",1,0)+IF(H163="Missing",1,0)+IF(I163="Review",1,0)+IF(J163="Duplicate",1,0)</x:f>
        <x:v>0</x:v>
      </x:c>
      <x:c r="L163" s="12" t="str">
        <x:f>IF(A163="","Missing order ID; ","")&amp;IF(B163="","Missing school; ","")&amp;IF(C163="Review","Unmapped region; ","")&amp;IF(D163="","Missing product; ","")&amp;IF(OR(E163="",E163&lt;=0),"Invalid units; ","")&amp;IF(OR(F163="",F163&lt;=0),"Invalid amount; ","")&amp;IF(G163="","Invalid date; ","")&amp;IF(H163="Missing","Missing sales rep; ","")&amp;IF(I163="Review","Unmapped payment status; ","")&amp;IF(J163="Duplicate","Duplicate ID; ","")</x:f>
      </x:c>
      <x:c r="M163" t="str">
        <x:f>IF(K163=0,"Ready","Review")</x:f>
        <x:v>Ready</x:v>
      </x:c>
    </x:row>
    <x:row r="164">
      <x:c r="A164" t="str">
        <x:f>UPPER(TRIM('Raw Sales'!A164))</x:f>
        <x:v>SAL-26-0159</x:v>
      </x:c>
      <x:c r="B164" t="str">
        <x:f>PROPER(TRIM('Raw Sales'!B164))</x:f>
        <x:v>Eastwood Academy</x:v>
      </x:c>
      <x:c r="C164" t="str">
        <x:f>IF(OR(UPPER(TRIM('Raw Sales'!C164))="BOCHUM",UPPER(TRIM('Raw Sales'!C164))="BOCHUM REGION"),"Bochum",IF(OR(UPPER(TRIM('Raw Sales'!C164))="ELDORADO",UPPER(TRIM('Raw Sales'!C164))="ELDOS"),"Eldorado","Review"))</x:f>
        <x:v>Eldorado</x:v>
      </x:c>
      <x:c r="D164" t="str">
        <x:f>PROPER(TRIM('Raw Sales'!D164))</x:f>
        <x:v>Markers</x:v>
      </x:c>
      <x:c r="E164" s="8" t="n">
        <x:f>IFERROR(VALUE('Raw Sales'!E164),"")</x:f>
        <x:v>34</x:v>
      </x:c>
      <x:c r="F164" s="9" t="n">
        <x:v>3264</x:v>
      </x:c>
      <x:c r="G164" s="10" t="n">
        <x:f>IFERROR(IF(OR(MID(TRIM('Raw Sales'!G164),5,1)="-",MID(TRIM('Raw Sales'!G164),5,1)="/"),DATE(VALUE(LEFT(TRIM('Raw Sales'!G164),4)),VALUE(MID(TRIM('Raw Sales'!G164),6,2)),VALUE(RIGHT(TRIM('Raw Sales'!G164),2))),IF(LEN(TRIM('Raw Sales'!G164))=10,DATE(VALUE(RIGHT(TRIM('Raw Sales'!G164),4)),VALUE(MID(TRIM('Raw Sales'!G164),4,2)),VALUE(LEFT(TRIM('Raw Sales'!G164),2))),IF(LEN(TRIM('Raw Sales'!G164))=8,DATE(2000+VALUE(RIGHT(TRIM('Raw Sales'!G164),2)),VALUE(MID(TRIM('Raw Sales'!G164),4,2)),VALUE(LEFT(TRIM('Raw Sales'!G164),2))),""))),"")</x:f>
        <x:v>46612</x:v>
      </x:c>
      <x:c r="H164" t="str">
        <x:f>IF(TRIM('Raw Sales'!H164)="","Missing",PROPER(TRIM('Raw Sales'!H164)))</x:f>
        <x:v>Thabo Ndlovu</x:v>
      </x:c>
      <x:c r="I164" t="str">
        <x:f>IF(OR(UPPER(TRIM('Raw Sales'!I164))="PAID",UPPER(TRIM('Raw Sales'!I164))="SETTLED",UPPER(TRIM('Raw Sales'!I164))="COMPLETE"),"Paid",IF(UPPER(TRIM('Raw Sales'!I164))="PENDING","Pending","Review"))</x:f>
        <x:v>Paid</x:v>
      </x:c>
      <x:c r="J164" t="str">
        <x:f>IF(A164="","Missing",IF(COUNTIF($A$6:A164,A164)&gt;1,"Duplicate","Unique"))</x:f>
        <x:v>Unique</x:v>
      </x:c>
      <x:c r="K164" s="11" t="n">
        <x:f>IF(A164="",1,0)+IF(B164="",1,0)+IF(C164="Review",1,0)+IF(D164="",1,0)+IF(OR(E164="",E164&lt;=0),1,0)+IF(OR(F164="",F164&lt;=0),1,0)+IF(G164="",1,0)+IF(H164="Missing",1,0)+IF(I164="Review",1,0)+IF(J164="Duplicate",1,0)</x:f>
        <x:v>0</x:v>
      </x:c>
      <x:c r="L164" s="12" t="str">
        <x:f>IF(A164="","Missing order ID; ","")&amp;IF(B164="","Missing school; ","")&amp;IF(C164="Review","Unmapped region; ","")&amp;IF(D164="","Missing product; ","")&amp;IF(OR(E164="",E164&lt;=0),"Invalid units; ","")&amp;IF(OR(F164="",F164&lt;=0),"Invalid amount; ","")&amp;IF(G164="","Invalid date; ","")&amp;IF(H164="Missing","Missing sales rep; ","")&amp;IF(I164="Review","Unmapped payment status; ","")&amp;IF(J164="Duplicate","Duplicate ID; ","")</x:f>
      </x:c>
      <x:c r="M164" t="str">
        <x:f>IF(K164=0,"Ready","Review")</x:f>
        <x:v>Ready</x:v>
      </x:c>
    </x:row>
    <x:row r="165">
      <x:c r="A165" t="str">
        <x:f>UPPER(TRIM('Raw Sales'!A165))</x:f>
        <x:v>SAL-26-0160</x:v>
      </x:c>
      <x:c r="B165" t="str">
        <x:f>PROPER(TRIM('Raw Sales'!B165))</x:f>
        <x:v>Lakeside School</x:v>
      </x:c>
      <x:c r="C165" t="str">
        <x:f>IF(OR(UPPER(TRIM('Raw Sales'!C165))="BOCHUM",UPPER(TRIM('Raw Sales'!C165))="BOCHUM REGION"),"Bochum",IF(OR(UPPER(TRIM('Raw Sales'!C165))="ELDORADO",UPPER(TRIM('Raw Sales'!C165))="ELDOS"),"Eldorado","Review"))</x:f>
        <x:v>Bochum</x:v>
      </x:c>
      <x:c r="D165" t="str">
        <x:f>PROPER(TRIM('Raw Sales'!D165))</x:f>
        <x:v>Notebooks</x:v>
      </x:c>
      <x:c r="E165" s="8" t="n">
        <x:f>IFERROR(VALUE('Raw Sales'!E165),"")</x:f>
        <x:v>5</x:v>
      </x:c>
      <x:c r="F165" s="9" t="n">
        <x:v>545</x:v>
      </x:c>
      <x:c r="G165" s="10" t="n">
        <x:f>IFERROR(IF(OR(MID(TRIM('Raw Sales'!G165),5,1)="-",MID(TRIM('Raw Sales'!G165),5,1)="/"),DATE(VALUE(LEFT(TRIM('Raw Sales'!G165),4)),VALUE(MID(TRIM('Raw Sales'!G165),6,2)),VALUE(RIGHT(TRIM('Raw Sales'!G165),2))),IF(LEN(TRIM('Raw Sales'!G165))=10,DATE(VALUE(RIGHT(TRIM('Raw Sales'!G165),4)),VALUE(MID(TRIM('Raw Sales'!G165),4,2)),VALUE(LEFT(TRIM('Raw Sales'!G165),2))),IF(LEN(TRIM('Raw Sales'!G165))=8,DATE(2000+VALUE(RIGHT(TRIM('Raw Sales'!G165),2)),VALUE(MID(TRIM('Raw Sales'!G165),4,2)),VALUE(LEFT(TRIM('Raw Sales'!G165),2))),""))),"")</x:f>
        <x:v>46034</x:v>
      </x:c>
      <x:c r="H165" t="str">
        <x:f>IF(TRIM('Raw Sales'!H165)="","Missing",PROPER(TRIM('Raw Sales'!H165)))</x:f>
        <x:v>Lebo Nkosi</x:v>
      </x:c>
      <x:c r="I165" t="str">
        <x:f>IF(OR(UPPER(TRIM('Raw Sales'!I165))="PAID",UPPER(TRIM('Raw Sales'!I165))="SETTLED",UPPER(TRIM('Raw Sales'!I165))="COMPLETE"),"Paid",IF(UPPER(TRIM('Raw Sales'!I165))="PENDING","Pending","Review"))</x:f>
        <x:v>Pending</x:v>
      </x:c>
      <x:c r="J165" t="str">
        <x:f>IF(A165="","Missing",IF(COUNTIF($A$6:A165,A165)&gt;1,"Duplicate","Unique"))</x:f>
        <x:v>Unique</x:v>
      </x:c>
      <x:c r="K165" s="11" t="n">
        <x:f>IF(A165="",1,0)+IF(B165="",1,0)+IF(C165="Review",1,0)+IF(D165="",1,0)+IF(OR(E165="",E165&lt;=0),1,0)+IF(OR(F165="",F165&lt;=0),1,0)+IF(G165="",1,0)+IF(H165="Missing",1,0)+IF(I165="Review",1,0)+IF(J165="Duplicate",1,0)</x:f>
        <x:v>0</x:v>
      </x:c>
      <x:c r="L165" s="12" t="str">
        <x:f>IF(A165="","Missing order ID; ","")&amp;IF(B165="","Missing school; ","")&amp;IF(C165="Review","Unmapped region; ","")&amp;IF(D165="","Missing product; ","")&amp;IF(OR(E165="",E165&lt;=0),"Invalid units; ","")&amp;IF(OR(F165="",F165&lt;=0),"Invalid amount; ","")&amp;IF(G165="","Invalid date; ","")&amp;IF(H165="Missing","Missing sales rep; ","")&amp;IF(I165="Review","Unmapped payment status; ","")&amp;IF(J165="Duplicate","Duplicate ID; ","")</x:f>
      </x:c>
      <x:c r="M165" t="str">
        <x:f>IF(K165=0,"Ready","Review")</x:f>
        <x:v>Ready</x:v>
      </x:c>
    </x:row>
    <x:row r="166">
      <x:c r="A166" t="str">
        <x:f>UPPER(TRIM('Raw Sales'!A166))</x:f>
        <x:v>SAL-26-0161</x:v>
      </x:c>
      <x:c r="B166" t="str">
        <x:f>PROPER(TRIM('Raw Sales'!B166))</x:f>
        <x:v>Valley Primary</x:v>
      </x:c>
      <x:c r="C166" t="str">
        <x:f>IF(OR(UPPER(TRIM('Raw Sales'!C166))="BOCHUM",UPPER(TRIM('Raw Sales'!C166))="BOCHUM REGION"),"Bochum",IF(OR(UPPER(TRIM('Raw Sales'!C166))="ELDORADO",UPPER(TRIM('Raw Sales'!C166))="ELDOS"),"Eldorado","Review"))</x:f>
        <x:v>Eldorado</x:v>
      </x:c>
      <x:c r="D166" t="str">
        <x:f>PROPER(TRIM('Raw Sales'!D166))</x:f>
        <x:v>Rulers</x:v>
      </x:c>
      <x:c r="E166" s="8" t="n">
        <x:f>IFERROR(VALUE('Raw Sales'!E166),"")</x:f>
        <x:v>12</x:v>
      </x:c>
      <x:c r="F166" s="9" t="n">
        <x:v>1464</x:v>
      </x:c>
      <x:c r="G166" s="10" t="n">
        <x:f>IFERROR(IF(OR(MID(TRIM('Raw Sales'!G166),5,1)="-",MID(TRIM('Raw Sales'!G166),5,1)="/"),DATE(VALUE(LEFT(TRIM('Raw Sales'!G166),4)),VALUE(MID(TRIM('Raw Sales'!G166),6,2)),VALUE(RIGHT(TRIM('Raw Sales'!G166),2))),IF(LEN(TRIM('Raw Sales'!G166))=10,DATE(VALUE(RIGHT(TRIM('Raw Sales'!G166),4)),VALUE(MID(TRIM('Raw Sales'!G166),4,2)),VALUE(LEFT(TRIM('Raw Sales'!G166),2))),IF(LEN(TRIM('Raw Sales'!G166))=8,DATE(2000+VALUE(RIGHT(TRIM('Raw Sales'!G166),2)),VALUE(MID(TRIM('Raw Sales'!G166),4,2)),VALUE(LEFT(TRIM('Raw Sales'!G166),2))),""))),"")</x:f>
        <x:v>46066</x:v>
      </x:c>
      <x:c r="H166" t="str">
        <x:f>IF(TRIM('Raw Sales'!H166)="","Missing",PROPER(TRIM('Raw Sales'!H166)))</x:f>
        <x:v>Missing</x:v>
      </x:c>
      <x:c r="I166" t="str">
        <x:f>IF(OR(UPPER(TRIM('Raw Sales'!I166))="PAID",UPPER(TRIM('Raw Sales'!I166))="SETTLED",UPPER(TRIM('Raw Sales'!I166))="COMPLETE"),"Paid",IF(UPPER(TRIM('Raw Sales'!I166))="PENDING","Pending","Review"))</x:f>
        <x:v>Paid</x:v>
      </x:c>
      <x:c r="J166" t="str">
        <x:f>IF(A166="","Missing",IF(COUNTIF($A$6:A166,A166)&gt;1,"Duplicate","Unique"))</x:f>
        <x:v>Unique</x:v>
      </x:c>
      <x:c r="K166" s="11" t="n">
        <x:f>IF(A166="",1,0)+IF(B166="",1,0)+IF(C166="Review",1,0)+IF(D166="",1,0)+IF(OR(E166="",E166&lt;=0),1,0)+IF(OR(F166="",F166&lt;=0),1,0)+IF(G166="",1,0)+IF(H166="Missing",1,0)+IF(I166="Review",1,0)+IF(J166="Duplicate",1,0)</x:f>
        <x:v>1</x:v>
      </x:c>
      <x:c r="L166" s="12" t="str">
        <x:f>IF(A166="","Missing order ID; ","")&amp;IF(B166="","Missing school; ","")&amp;IF(C166="Review","Unmapped region; ","")&amp;IF(D166="","Missing product; ","")&amp;IF(OR(E166="",E166&lt;=0),"Invalid units; ","")&amp;IF(OR(F166="",F166&lt;=0),"Invalid amount; ","")&amp;IF(G166="","Invalid date; ","")&amp;IF(H166="Missing","Missing sales rep; ","")&amp;IF(I166="Review","Unmapped payment status; ","")&amp;IF(J166="Duplicate","Duplicate ID; ","")</x:f>
        <x:v>Missing sales rep; </x:v>
      </x:c>
      <x:c r="M166" t="str">
        <x:f>IF(K166=0,"Ready","Review")</x:f>
        <x:v>Review</x:v>
      </x:c>
    </x:row>
    <x:row r="167">
      <x:c r="A167" t="str">
        <x:f>UPPER(TRIM('Raw Sales'!A167))</x:f>
        <x:v>SAL-26-0162</x:v>
      </x:c>
      <x:c r="B167" t="str">
        <x:f>PROPER(TRIM('Raw Sales'!B167))</x:f>
        <x:v>Mhlabeni Secondary</x:v>
      </x:c>
      <x:c r="C167" t="str">
        <x:f>IF(OR(UPPER(TRIM('Raw Sales'!C167))="BOCHUM",UPPER(TRIM('Raw Sales'!C167))="BOCHUM REGION"),"Bochum",IF(OR(UPPER(TRIM('Raw Sales'!C167))="ELDORADO",UPPER(TRIM('Raw Sales'!C167))="ELDOS"),"Eldorado","Review"))</x:f>
        <x:v>Eldorado</x:v>
      </x:c>
      <x:c r="D167" t="str">
        <x:f>PROPER(TRIM('Raw Sales'!D167))</x:f>
        <x:v>Exercise Books</x:v>
      </x:c>
      <x:c r="E167" s="8" t="n">
        <x:f>IFERROR(VALUE('Raw Sales'!E167),"")</x:f>
        <x:v>19</x:v>
      </x:c>
      <x:c r="F167" s="9" t="n">
        <x:v>2565</x:v>
      </x:c>
      <x:c r="G167" s="10" t="n">
        <x:f>IFERROR(IF(OR(MID(TRIM('Raw Sales'!G167),5,1)="-",MID(TRIM('Raw Sales'!G167),5,1)="/"),DATE(VALUE(LEFT(TRIM('Raw Sales'!G167),4)),VALUE(MID(TRIM('Raw Sales'!G167),6,2)),VALUE(RIGHT(TRIM('Raw Sales'!G167),2))),IF(LEN(TRIM('Raw Sales'!G167))=10,DATE(VALUE(RIGHT(TRIM('Raw Sales'!G167),4)),VALUE(MID(TRIM('Raw Sales'!G167),4,2)),VALUE(LEFT(TRIM('Raw Sales'!G167),2))),IF(LEN(TRIM('Raw Sales'!G167))=8,DATE(2000+VALUE(RIGHT(TRIM('Raw Sales'!G167),2)),VALUE(MID(TRIM('Raw Sales'!G167),4,2)),VALUE(LEFT(TRIM('Raw Sales'!G167),2))),""))),"")</x:f>
        <x:v>46095</x:v>
      </x:c>
      <x:c r="H167" t="str">
        <x:f>IF(TRIM('Raw Sales'!H167)="","Missing",PROPER(TRIM('Raw Sales'!H167)))</x:f>
        <x:v>Lebo Nkosi</x:v>
      </x:c>
      <x:c r="I167" t="str">
        <x:f>IF(OR(UPPER(TRIM('Raw Sales'!I167))="PAID",UPPER(TRIM('Raw Sales'!I167))="SETTLED",UPPER(TRIM('Raw Sales'!I167))="COMPLETE"),"Paid",IF(UPPER(TRIM('Raw Sales'!I167))="PENDING","Pending","Review"))</x:f>
        <x:v>Pending</x:v>
      </x:c>
      <x:c r="J167" t="str">
        <x:f>IF(A167="","Missing",IF(COUNTIF($A$6:A167,A167)&gt;1,"Duplicate","Unique"))</x:f>
        <x:v>Unique</x:v>
      </x:c>
      <x:c r="K167" s="11" t="n">
        <x:f>IF(A167="",1,0)+IF(B167="",1,0)+IF(C167="Review",1,0)+IF(D167="",1,0)+IF(OR(E167="",E167&lt;=0),1,0)+IF(OR(F167="",F167&lt;=0),1,0)+IF(G167="",1,0)+IF(H167="Missing",1,0)+IF(I167="Review",1,0)+IF(J167="Duplicate",1,0)</x:f>
        <x:v>0</x:v>
      </x:c>
      <x:c r="L167" s="12" t="str">
        <x:f>IF(A167="","Missing order ID; ","")&amp;IF(B167="","Missing school; ","")&amp;IF(C167="Review","Unmapped region; ","")&amp;IF(D167="","Missing product; ","")&amp;IF(OR(E167="",E167&lt;=0),"Invalid units; ","")&amp;IF(OR(F167="",F167&lt;=0),"Invalid amount; ","")&amp;IF(G167="","Invalid date; ","")&amp;IF(H167="Missing","Missing sales rep; ","")&amp;IF(I167="Review","Unmapped payment status; ","")&amp;IF(J167="Duplicate","Duplicate ID; ","")</x:f>
      </x:c>
      <x:c r="M167" t="str">
        <x:f>IF(K167=0,"Ready","Review")</x:f>
        <x:v>Ready</x:v>
      </x:c>
    </x:row>
    <x:row r="168">
      <x:c r="A168" t="str">
        <x:f>UPPER(TRIM('Raw Sales'!A168))</x:f>
        <x:v>SAL-26-0163</x:v>
      </x:c>
      <x:c r="B168" t="str">
        <x:f>PROPER(TRIM('Raw Sales'!B168))</x:f>
        <x:v>Meadowlands School</x:v>
      </x:c>
      <x:c r="C168" t="str">
        <x:f>IF(OR(UPPER(TRIM('Raw Sales'!C168))="BOCHUM",UPPER(TRIM('Raw Sales'!C168))="BOCHUM REGION"),"Bochum",IF(OR(UPPER(TRIM('Raw Sales'!C168))="ELDORADO",UPPER(TRIM('Raw Sales'!C168))="ELDOS"),"Eldorado","Review"))</x:f>
        <x:v>Bochum</x:v>
      </x:c>
      <x:c r="D168" t="str">
        <x:f>PROPER(TRIM('Raw Sales'!D168))</x:f>
        <x:v>Pencils</x:v>
      </x:c>
      <x:c r="E168" s="8" t="n">
        <x:f>IFERROR(VALUE('Raw Sales'!E168),"")</x:f>
        <x:v>26</x:v>
      </x:c>
      <x:c r="F168" s="9" t="n">
        <x:v>3848</x:v>
      </x:c>
      <x:c r="G168" s="10" t="n">
        <x:f>IFERROR(IF(OR(MID(TRIM('Raw Sales'!G168),5,1)="-",MID(TRIM('Raw Sales'!G168),5,1)="/"),DATE(VALUE(LEFT(TRIM('Raw Sales'!G168),4)),VALUE(MID(TRIM('Raw Sales'!G168),6,2)),VALUE(RIGHT(TRIM('Raw Sales'!G168),2))),IF(LEN(TRIM('Raw Sales'!G168))=10,DATE(VALUE(RIGHT(TRIM('Raw Sales'!G168),4)),VALUE(MID(TRIM('Raw Sales'!G168),4,2)),VALUE(LEFT(TRIM('Raw Sales'!G168),2))),IF(LEN(TRIM('Raw Sales'!G168))=8,DATE(2000+VALUE(RIGHT(TRIM('Raw Sales'!G168),2)),VALUE(MID(TRIM('Raw Sales'!G168),4,2)),VALUE(LEFT(TRIM('Raw Sales'!G168),2))),""))),"")</x:f>
        <x:v>46127</x:v>
      </x:c>
      <x:c r="H168" t="str">
        <x:f>IF(TRIM('Raw Sales'!H168)="","Missing",PROPER(TRIM('Raw Sales'!H168)))</x:f>
        <x:v>Thabo Ndlovu</x:v>
      </x:c>
      <x:c r="I168" t="str">
        <x:f>IF(OR(UPPER(TRIM('Raw Sales'!I168))="PAID",UPPER(TRIM('Raw Sales'!I168))="SETTLED",UPPER(TRIM('Raw Sales'!I168))="COMPLETE"),"Paid",IF(UPPER(TRIM('Raw Sales'!I168))="PENDING","Pending","Review"))</x:f>
        <x:v>Pending</x:v>
      </x:c>
      <x:c r="J168" t="str">
        <x:f>IF(A168="","Missing",IF(COUNTIF($A$6:A168,A168)&gt;1,"Duplicate","Unique"))</x:f>
        <x:v>Unique</x:v>
      </x:c>
      <x:c r="K168" s="11" t="n">
        <x:f>IF(A168="",1,0)+IF(B168="",1,0)+IF(C168="Review",1,0)+IF(D168="",1,0)+IF(OR(E168="",E168&lt;=0),1,0)+IF(OR(F168="",F168&lt;=0),1,0)+IF(G168="",1,0)+IF(H168="Missing",1,0)+IF(I168="Review",1,0)+IF(J168="Duplicate",1,0)</x:f>
        <x:v>0</x:v>
      </x:c>
      <x:c r="L168" s="12" t="str">
        <x:f>IF(A168="","Missing order ID; ","")&amp;IF(B168="","Missing school; ","")&amp;IF(C168="Review","Unmapped region; ","")&amp;IF(D168="","Missing product; ","")&amp;IF(OR(E168="",E168&lt;=0),"Invalid units; ","")&amp;IF(OR(F168="",F168&lt;=0),"Invalid amount; ","")&amp;IF(G168="","Invalid date; ","")&amp;IF(H168="Missing","Missing sales rep; ","")&amp;IF(I168="Review","Unmapped payment status; ","")&amp;IF(J168="Duplicate","Duplicate ID; ","")</x:f>
      </x:c>
      <x:c r="M168" t="str">
        <x:f>IF(K168=0,"Ready","Review")</x:f>
        <x:v>Ready</x:v>
      </x:c>
    </x:row>
    <x:row r="169">
      <x:c r="A169" t="str">
        <x:f>UPPER(TRIM('Raw Sales'!A169))</x:f>
        <x:v>SAL-26-0164</x:v>
      </x:c>
      <x:c r="B169" t="str">
        <x:f>PROPER(TRIM('Raw Sales'!B169))</x:f>
        <x:v>Gardenview School</x:v>
      </x:c>
      <x:c r="C169" t="str">
        <x:f>IF(OR(UPPER(TRIM('Raw Sales'!C169))="BOCHUM",UPPER(TRIM('Raw Sales'!C169))="BOCHUM REGION"),"Bochum",IF(OR(UPPER(TRIM('Raw Sales'!C169))="ELDORADO",UPPER(TRIM('Raw Sales'!C169))="ELDOS"),"Eldorado","Review"))</x:f>
        <x:v>Eldorado</x:v>
      </x:c>
      <x:c r="D169" t="str">
        <x:f>PROPER(TRIM('Raw Sales'!D169))</x:f>
        <x:v>Folders</x:v>
      </x:c>
      <x:c r="E169" s="8" t="n">
        <x:f>IFERROR(VALUE('Raw Sales'!E169),"")</x:f>
        <x:v>33</x:v>
      </x:c>
      <x:c r="F169" s="9" t="n">
        <x:v>5313</x:v>
      </x:c>
      <x:c r="G169" s="10" t="n">
        <x:f>IFERROR(IF(OR(MID(TRIM('Raw Sales'!G169),5,1)="-",MID(TRIM('Raw Sales'!G169),5,1)="/"),DATE(VALUE(LEFT(TRIM('Raw Sales'!G169),4)),VALUE(MID(TRIM('Raw Sales'!G169),6,2)),VALUE(RIGHT(TRIM('Raw Sales'!G169),2))),IF(LEN(TRIM('Raw Sales'!G169))=10,DATE(VALUE(RIGHT(TRIM('Raw Sales'!G169),4)),VALUE(MID(TRIM('Raw Sales'!G169),4,2)),VALUE(LEFT(TRIM('Raw Sales'!G169),2))),IF(LEN(TRIM('Raw Sales'!G169))=8,DATE(2000+VALUE(RIGHT(TRIM('Raw Sales'!G169),2)),VALUE(MID(TRIM('Raw Sales'!G169),4,2)),VALUE(LEFT(TRIM('Raw Sales'!G169),2))),""))),"")</x:f>
        <x:v>46158</x:v>
      </x:c>
      <x:c r="H169" t="str">
        <x:f>IF(TRIM('Raw Sales'!H169)="","Missing",PROPER(TRIM('Raw Sales'!H169)))</x:f>
        <x:v>Lebo Nkosi</x:v>
      </x:c>
      <x:c r="I169" t="str">
        <x:f>IF(OR(UPPER(TRIM('Raw Sales'!I169))="PAID",UPPER(TRIM('Raw Sales'!I169))="SETTLED",UPPER(TRIM('Raw Sales'!I169))="COMPLETE"),"Paid",IF(UPPER(TRIM('Raw Sales'!I169))="PENDING","Pending","Review"))</x:f>
        <x:v>Paid</x:v>
      </x:c>
      <x:c r="J169" t="str">
        <x:f>IF(A169="","Missing",IF(COUNTIF($A$6:A169,A169)&gt;1,"Duplicate","Unique"))</x:f>
        <x:v>Unique</x:v>
      </x:c>
      <x:c r="K169" s="11" t="n">
        <x:f>IF(A169="",1,0)+IF(B169="",1,0)+IF(C169="Review",1,0)+IF(D169="",1,0)+IF(OR(E169="",E169&lt;=0),1,0)+IF(OR(F169="",F169&lt;=0),1,0)+IF(G169="",1,0)+IF(H169="Missing",1,0)+IF(I169="Review",1,0)+IF(J169="Duplicate",1,0)</x:f>
        <x:v>0</x:v>
      </x:c>
      <x:c r="L169" s="12" t="str">
        <x:f>IF(A169="","Missing order ID; ","")&amp;IF(B169="","Missing school; ","")&amp;IF(C169="Review","Unmapped region; ","")&amp;IF(D169="","Missing product; ","")&amp;IF(OR(E169="",E169&lt;=0),"Invalid units; ","")&amp;IF(OR(F169="",F169&lt;=0),"Invalid amount; ","")&amp;IF(G169="","Invalid date; ","")&amp;IF(H169="Missing","Missing sales rep; ","")&amp;IF(I169="Review","Unmapped payment status; ","")&amp;IF(J169="Duplicate","Duplicate ID; ","")</x:f>
      </x:c>
      <x:c r="M169" t="str">
        <x:f>IF(K169=0,"Ready","Review")</x:f>
        <x:v>Ready</x:v>
      </x:c>
    </x:row>
    <x:row r="170">
      <x:c r="A170" t="str">
        <x:f>UPPER(TRIM('Raw Sales'!A170))</x:f>
        <x:v>SAL-26-0165</x:v>
      </x:c>
      <x:c r="B170" t="str">
        <x:f>PROPER(TRIM('Raw Sales'!B170))</x:f>
        <x:v>Riverside Academy</x:v>
      </x:c>
      <x:c r="C170" t="str">
        <x:f>IF(OR(UPPER(TRIM('Raw Sales'!C170))="BOCHUM",UPPER(TRIM('Raw Sales'!C170))="BOCHUM REGION"),"Bochum",IF(OR(UPPER(TRIM('Raw Sales'!C170))="ELDORADO",UPPER(TRIM('Raw Sales'!C170))="ELDOS"),"Eldorado","Review"))</x:f>
        <x:v>Bochum</x:v>
      </x:c>
      <x:c r="D170" t="str">
        <x:f>PROPER(TRIM('Raw Sales'!D170))</x:f>
        <x:v>Pens</x:v>
      </x:c>
      <x:c r="E170" s="8" t="n">
        <x:f>IFERROR(VALUE('Raw Sales'!E170),"")</x:f>
        <x:v>4</x:v>
      </x:c>
      <x:c r="F170" s="9" t="n">
        <x:v>696</x:v>
      </x:c>
      <x:c r="G170" s="10" t="n">
        <x:f>IFERROR(IF(OR(MID(TRIM('Raw Sales'!G170),5,1)="-",MID(TRIM('Raw Sales'!G170),5,1)="/"),DATE(VALUE(LEFT(TRIM('Raw Sales'!G170),4)),VALUE(MID(TRIM('Raw Sales'!G170),6,2)),VALUE(RIGHT(TRIM('Raw Sales'!G170),2))),IF(LEN(TRIM('Raw Sales'!G170))=10,DATE(VALUE(RIGHT(TRIM('Raw Sales'!G170),4)),VALUE(MID(TRIM('Raw Sales'!G170),4,2)),VALUE(LEFT(TRIM('Raw Sales'!G170),2))),IF(LEN(TRIM('Raw Sales'!G170))=8,DATE(2000+VALUE(RIGHT(TRIM('Raw Sales'!G170),2)),VALUE(MID(TRIM('Raw Sales'!G170),4,2)),VALUE(LEFT(TRIM('Raw Sales'!G170),2))),""))),"")</x:f>
        <x:v>46190</x:v>
      </x:c>
      <x:c r="H170" t="str">
        <x:f>IF(TRIM('Raw Sales'!H170)="","Missing",PROPER(TRIM('Raw Sales'!H170)))</x:f>
        <x:v>Thabo Ndlovu</x:v>
      </x:c>
      <x:c r="I170" t="str">
        <x:f>IF(OR(UPPER(TRIM('Raw Sales'!I170))="PAID",UPPER(TRIM('Raw Sales'!I170))="SETTLED",UPPER(TRIM('Raw Sales'!I170))="COMPLETE"),"Paid",IF(UPPER(TRIM('Raw Sales'!I170))="PENDING","Pending","Review"))</x:f>
        <x:v>Paid</x:v>
      </x:c>
      <x:c r="J170" t="str">
        <x:f>IF(A170="","Missing",IF(COUNTIF($A$6:A170,A170)&gt;1,"Duplicate","Unique"))</x:f>
        <x:v>Unique</x:v>
      </x:c>
      <x:c r="K170" s="11" t="n">
        <x:f>IF(A170="",1,0)+IF(B170="",1,0)+IF(C170="Review",1,0)+IF(D170="",1,0)+IF(OR(E170="",E170&lt;=0),1,0)+IF(OR(F170="",F170&lt;=0),1,0)+IF(G170="",1,0)+IF(H170="Missing",1,0)+IF(I170="Review",1,0)+IF(J170="Duplicate",1,0)</x:f>
        <x:v>0</x:v>
      </x:c>
      <x:c r="L170" s="12" t="str">
        <x:f>IF(A170="","Missing order ID; ","")&amp;IF(B170="","Missing school; ","")&amp;IF(C170="Review","Unmapped region; ","")&amp;IF(D170="","Missing product; ","")&amp;IF(OR(E170="",E170&lt;=0),"Invalid units; ","")&amp;IF(OR(F170="",F170&lt;=0),"Invalid amount; ","")&amp;IF(G170="","Invalid date; ","")&amp;IF(H170="Missing","Missing sales rep; ","")&amp;IF(I170="Review","Unmapped payment status; ","")&amp;IF(J170="Duplicate","Duplicate ID; ","")</x:f>
      </x:c>
      <x:c r="M170" t="str">
        <x:f>IF(K170=0,"Ready","Review")</x:f>
        <x:v>Ready</x:v>
      </x:c>
    </x:row>
    <x:row r="171">
      <x:c r="A171" t="str">
        <x:f>UPPER(TRIM('Raw Sales'!A171))</x:f>
        <x:v>SAL-26-0166</x:v>
      </x:c>
      <x:c r="B171" t="str">
        <x:f>PROPER(TRIM('Raw Sales'!B171))</x:f>
        <x:v>Maple Secondary</x:v>
      </x:c>
      <x:c r="C171" t="str">
        <x:f>IF(OR(UPPER(TRIM('Raw Sales'!C171))="BOCHUM",UPPER(TRIM('Raw Sales'!C171))="BOCHUM REGION"),"Bochum",IF(OR(UPPER(TRIM('Raw Sales'!C171))="ELDORADO",UPPER(TRIM('Raw Sales'!C171))="ELDOS"),"Eldorado","Review"))</x:f>
        <x:v>Eldorado</x:v>
      </x:c>
      <x:c r="D171" t="str">
        <x:f>PROPER(TRIM('Raw Sales'!D171))</x:f>
        <x:v>Glue Sticks</x:v>
      </x:c>
      <x:c r="E171" s="8" t="n">
        <x:f>IFERROR(VALUE('Raw Sales'!E171),"")</x:f>
        <x:v>11</x:v>
      </x:c>
      <x:c r="F171" s="9" t="n">
        <x:v>2057</x:v>
      </x:c>
      <x:c r="G171" s="10" t="n">
        <x:f>IFERROR(IF(OR(MID(TRIM('Raw Sales'!G171),5,1)="-",MID(TRIM('Raw Sales'!G171),5,1)="/"),DATE(VALUE(LEFT(TRIM('Raw Sales'!G171),4)),VALUE(MID(TRIM('Raw Sales'!G171),6,2)),VALUE(RIGHT(TRIM('Raw Sales'!G171),2))),IF(LEN(TRIM('Raw Sales'!G171))=10,DATE(VALUE(RIGHT(TRIM('Raw Sales'!G171),4)),VALUE(MID(TRIM('Raw Sales'!G171),4,2)),VALUE(LEFT(TRIM('Raw Sales'!G171),2))),IF(LEN(TRIM('Raw Sales'!G171))=8,DATE(2000+VALUE(RIGHT(TRIM('Raw Sales'!G171),2)),VALUE(MID(TRIM('Raw Sales'!G171),4,2)),VALUE(LEFT(TRIM('Raw Sales'!G171),2))),""))),"")</x:f>
        <x:v>46221</x:v>
      </x:c>
      <x:c r="H171" t="str">
        <x:f>IF(TRIM('Raw Sales'!H171)="","Missing",PROPER(TRIM('Raw Sales'!H171)))</x:f>
        <x:v>Lebo Nkosi</x:v>
      </x:c>
      <x:c r="I171" t="str">
        <x:f>IF(OR(UPPER(TRIM('Raw Sales'!I171))="PAID",UPPER(TRIM('Raw Sales'!I171))="SETTLED",UPPER(TRIM('Raw Sales'!I171))="COMPLETE"),"Paid",IF(UPPER(TRIM('Raw Sales'!I171))="PENDING","Pending","Review"))</x:f>
        <x:v>Pending</x:v>
      </x:c>
      <x:c r="J171" t="str">
        <x:f>IF(A171="","Missing",IF(COUNTIF($A$6:A171,A171)&gt;1,"Duplicate","Unique"))</x:f>
        <x:v>Unique</x:v>
      </x:c>
      <x:c r="K171" s="11" t="n">
        <x:f>IF(A171="",1,0)+IF(B171="",1,0)+IF(C171="Review",1,0)+IF(D171="",1,0)+IF(OR(E171="",E171&lt;=0),1,0)+IF(OR(F171="",F171&lt;=0),1,0)+IF(G171="",1,0)+IF(H171="Missing",1,0)+IF(I171="Review",1,0)+IF(J171="Duplicate",1,0)</x:f>
        <x:v>0</x:v>
      </x:c>
      <x:c r="L171" s="12" t="str">
        <x:f>IF(A171="","Missing order ID; ","")&amp;IF(B171="","Missing school; ","")&amp;IF(C171="Review","Unmapped region; ","")&amp;IF(D171="","Missing product; ","")&amp;IF(OR(E171="",E171&lt;=0),"Invalid units; ","")&amp;IF(OR(F171="",F171&lt;=0),"Invalid amount; ","")&amp;IF(G171="","Invalid date; ","")&amp;IF(H171="Missing","Missing sales rep; ","")&amp;IF(I171="Review","Unmapped payment status; ","")&amp;IF(J171="Duplicate","Duplicate ID; ","")</x:f>
      </x:c>
      <x:c r="M171" t="str">
        <x:f>IF(K171=0,"Ready","Review")</x:f>
        <x:v>Ready</x:v>
      </x:c>
    </x:row>
    <x:row r="172">
      <x:c r="A172" t="str">
        <x:f>UPPER(TRIM('Raw Sales'!A172))</x:f>
        <x:v>SAL-26-0167</x:v>
      </x:c>
      <x:c r="B172" t="str">
        <x:f>PROPER(TRIM('Raw Sales'!B172))</x:f>
        <x:v>Pinecrest School</x:v>
      </x:c>
      <x:c r="C172" t="str">
        <x:f>IF(OR(UPPER(TRIM('Raw Sales'!C172))="BOCHUM",UPPER(TRIM('Raw Sales'!C172))="BOCHUM REGION"),"Bochum",IF(OR(UPPER(TRIM('Raw Sales'!C172))="ELDORADO",UPPER(TRIM('Raw Sales'!C172))="ELDOS"),"Eldorado","Review"))</x:f>
        <x:v>Bochum</x:v>
      </x:c>
      <x:c r="D172" t="str">
        <x:f>PROPER(TRIM('Raw Sales'!D172))</x:f>
        <x:v>Markers</x:v>
      </x:c>
      <x:c r="E172" s="8" t="n">
        <x:f>IFERROR(VALUE('Raw Sales'!E172),"")</x:f>
        <x:v>18</x:v>
      </x:c>
      <x:c r="F172" s="9" t="n">
        <x:v>3600</x:v>
      </x:c>
      <x:c r="G172" s="10" t="n">
        <x:f>IFERROR(IF(OR(MID(TRIM('Raw Sales'!G172),5,1)="-",MID(TRIM('Raw Sales'!G172),5,1)="/"),DATE(VALUE(LEFT(TRIM('Raw Sales'!G172),4)),VALUE(MID(TRIM('Raw Sales'!G172),6,2)),VALUE(RIGHT(TRIM('Raw Sales'!G172),2))),IF(LEN(TRIM('Raw Sales'!G172))=10,DATE(VALUE(RIGHT(TRIM('Raw Sales'!G172),4)),VALUE(MID(TRIM('Raw Sales'!G172),4,2)),VALUE(LEFT(TRIM('Raw Sales'!G172),2))),IF(LEN(TRIM('Raw Sales'!G172))=8,DATE(2000+VALUE(RIGHT(TRIM('Raw Sales'!G172),2)),VALUE(MID(TRIM('Raw Sales'!G172),4,2)),VALUE(LEFT(TRIM('Raw Sales'!G172),2))),""))),"")</x:f>
        <x:v>46253</x:v>
      </x:c>
      <x:c r="H172" t="str">
        <x:f>IF(TRIM('Raw Sales'!H172)="","Missing",PROPER(TRIM('Raw Sales'!H172)))</x:f>
        <x:v>Thabo Ndlovu</x:v>
      </x:c>
      <x:c r="I172" t="str">
        <x:f>IF(OR(UPPER(TRIM('Raw Sales'!I172))="PAID",UPPER(TRIM('Raw Sales'!I172))="SETTLED",UPPER(TRIM('Raw Sales'!I172))="COMPLETE"),"Paid",IF(UPPER(TRIM('Raw Sales'!I172))="PENDING","Pending","Review"))</x:f>
        <x:v>Paid</x:v>
      </x:c>
      <x:c r="J172" t="str">
        <x:f>IF(A172="","Missing",IF(COUNTIF($A$6:A172,A172)&gt;1,"Duplicate","Unique"))</x:f>
        <x:v>Unique</x:v>
      </x:c>
      <x:c r="K172" s="11" t="n">
        <x:f>IF(A172="",1,0)+IF(B172="",1,0)+IF(C172="Review",1,0)+IF(D172="",1,0)+IF(OR(E172="",E172&lt;=0),1,0)+IF(OR(F172="",F172&lt;=0),1,0)+IF(G172="",1,0)+IF(H172="Missing",1,0)+IF(I172="Review",1,0)+IF(J172="Duplicate",1,0)</x:f>
        <x:v>0</x:v>
      </x:c>
      <x:c r="L172" s="12" t="str">
        <x:f>IF(A172="","Missing order ID; ","")&amp;IF(B172="","Missing school; ","")&amp;IF(C172="Review","Unmapped region; ","")&amp;IF(D172="","Missing product; ","")&amp;IF(OR(E172="",E172&lt;=0),"Invalid units; ","")&amp;IF(OR(F172="",F172&lt;=0),"Invalid amount; ","")&amp;IF(G172="","Invalid date; ","")&amp;IF(H172="Missing","Missing sales rep; ","")&amp;IF(I172="Review","Unmapped payment status; ","")&amp;IF(J172="Duplicate","Duplicate ID; ","")</x:f>
      </x:c>
      <x:c r="M172" t="str">
        <x:f>IF(K172=0,"Ready","Review")</x:f>
        <x:v>Ready</x:v>
      </x:c>
    </x:row>
    <x:row r="173">
      <x:c r="A173" t="str">
        <x:f>UPPER(TRIM('Raw Sales'!A173))</x:f>
        <x:v>SAL-26-0168</x:v>
      </x:c>
      <x:c r="B173" t="str">
        <x:f>PROPER(TRIM('Raw Sales'!B173))</x:f>
        <x:v>Northstar Academy</x:v>
      </x:c>
      <x:c r="C173" t="str">
        <x:f>IF(OR(UPPER(TRIM('Raw Sales'!C173))="BOCHUM",UPPER(TRIM('Raw Sales'!C173))="BOCHUM REGION"),"Bochum",IF(OR(UPPER(TRIM('Raw Sales'!C173))="ELDORADO",UPPER(TRIM('Raw Sales'!C173))="ELDOS"),"Eldorado","Review"))</x:f>
        <x:v>Bochum</x:v>
      </x:c>
      <x:c r="D173" t="str">
        <x:f>PROPER(TRIM('Raw Sales'!D173))</x:f>
        <x:v>Notebooks</x:v>
      </x:c>
      <x:c r="E173" s="8" t="n">
        <x:f>IFERROR(VALUE('Raw Sales'!E173),"")</x:f>
        <x:v>25</x:v>
      </x:c>
      <x:c r="F173" s="9" t="n">
        <x:v>800</x:v>
      </x:c>
      <x:c r="G173" s="10" t="n">
        <x:f>IFERROR(IF(OR(MID(TRIM('Raw Sales'!G173),5,1)="-",MID(TRIM('Raw Sales'!G173),5,1)="/"),DATE(VALUE(LEFT(TRIM('Raw Sales'!G173),4)),VALUE(MID(TRIM('Raw Sales'!G173),6,2)),VALUE(RIGHT(TRIM('Raw Sales'!G173),2))),IF(LEN(TRIM('Raw Sales'!G173))=10,DATE(VALUE(RIGHT(TRIM('Raw Sales'!G173),4)),VALUE(MID(TRIM('Raw Sales'!G173),4,2)),VALUE(LEFT(TRIM('Raw Sales'!G173),2))),IF(LEN(TRIM('Raw Sales'!G173))=8,DATE(2000+VALUE(RIGHT(TRIM('Raw Sales'!G173),2)),VALUE(MID(TRIM('Raw Sales'!G173),4,2)),VALUE(LEFT(TRIM('Raw Sales'!G173),2))),""))),"")</x:f>
        <x:v>46042</x:v>
      </x:c>
      <x:c r="H173" t="str">
        <x:f>IF(TRIM('Raw Sales'!H173)="","Missing",PROPER(TRIM('Raw Sales'!H173)))</x:f>
        <x:v>Lebo Nkosi</x:v>
      </x:c>
      <x:c r="I173" t="str">
        <x:f>IF(OR(UPPER(TRIM('Raw Sales'!I173))="PAID",UPPER(TRIM('Raw Sales'!I173))="SETTLED",UPPER(TRIM('Raw Sales'!I173))="COMPLETE"),"Paid",IF(UPPER(TRIM('Raw Sales'!I173))="PENDING","Pending","Review"))</x:f>
        <x:v>Paid</x:v>
      </x:c>
      <x:c r="J173" t="str">
        <x:f>IF(A173="","Missing",IF(COUNTIF($A$6:A173,A173)&gt;1,"Duplicate","Unique"))</x:f>
        <x:v>Unique</x:v>
      </x:c>
      <x:c r="K173" s="11" t="n">
        <x:f>IF(A173="",1,0)+IF(B173="",1,0)+IF(C173="Review",1,0)+IF(D173="",1,0)+IF(OR(E173="",E173&lt;=0),1,0)+IF(OR(F173="",F173&lt;=0),1,0)+IF(G173="",1,0)+IF(H173="Missing",1,0)+IF(I173="Review",1,0)+IF(J173="Duplicate",1,0)</x:f>
        <x:v>0</x:v>
      </x:c>
      <x:c r="L173" s="12" t="str">
        <x:f>IF(A173="","Missing order ID; ","")&amp;IF(B173="","Missing school; ","")&amp;IF(C173="Review","Unmapped region; ","")&amp;IF(D173="","Missing product; ","")&amp;IF(OR(E173="",E173&lt;=0),"Invalid units; ","")&amp;IF(OR(F173="",F173&lt;=0),"Invalid amount; ","")&amp;IF(G173="","Invalid date; ","")&amp;IF(H173="Missing","Missing sales rep; ","")&amp;IF(I173="Review","Unmapped payment status; ","")&amp;IF(J173="Duplicate","Duplicate ID; ","")</x:f>
      </x:c>
      <x:c r="M173" t="str">
        <x:f>IF(K173=0,"Ready","Review")</x:f>
        <x:v>Ready</x:v>
      </x:c>
    </x:row>
    <x:row r="174">
      <x:c r="A174" t="str">
        <x:f>UPPER(TRIM('Raw Sales'!A174))</x:f>
        <x:v>SAL-26-0169</x:v>
      </x:c>
      <x:c r="B174" t="str">
        <x:f>PROPER(TRIM('Raw Sales'!B174))</x:f>
        <x:v>Crescent Primary</x:v>
      </x:c>
      <x:c r="C174" t="str">
        <x:f>IF(OR(UPPER(TRIM('Raw Sales'!C174))="BOCHUM",UPPER(TRIM('Raw Sales'!C174))="BOCHUM REGION"),"Bochum",IF(OR(UPPER(TRIM('Raw Sales'!C174))="ELDORADO",UPPER(TRIM('Raw Sales'!C174))="ELDOS"),"Eldorado","Review"))</x:f>
        <x:v>Eldorado</x:v>
      </x:c>
      <x:c r="D174" t="str">
        <x:f>PROPER(TRIM('Raw Sales'!D174))</x:f>
        <x:v>Rulers</x:v>
      </x:c>
      <x:c r="E174" s="8" t="n">
        <x:f>IFERROR(VALUE('Raw Sales'!E174),"")</x:f>
        <x:v>32</x:v>
      </x:c>
      <x:c r="F174" s="9" t="n">
        <x:v>1440</x:v>
      </x:c>
      <x:c r="G174" s="10" t="n">
        <x:f>IFERROR(IF(OR(MID(TRIM('Raw Sales'!G174),5,1)="-",MID(TRIM('Raw Sales'!G174),5,1)="/"),DATE(VALUE(LEFT(TRIM('Raw Sales'!G174),4)),VALUE(MID(TRIM('Raw Sales'!G174),6,2)),VALUE(RIGHT(TRIM('Raw Sales'!G174),2))),IF(LEN(TRIM('Raw Sales'!G174))=10,DATE(VALUE(RIGHT(TRIM('Raw Sales'!G174),4)),VALUE(MID(TRIM('Raw Sales'!G174),4,2)),VALUE(LEFT(TRIM('Raw Sales'!G174),2))),IF(LEN(TRIM('Raw Sales'!G174))=8,DATE(2000+VALUE(RIGHT(TRIM('Raw Sales'!G174),2)),VALUE(MID(TRIM('Raw Sales'!G174),4,2)),VALUE(LEFT(TRIM('Raw Sales'!G174),2))),""))),"")</x:f>
        <x:v>46074</x:v>
      </x:c>
      <x:c r="H174" t="str">
        <x:f>IF(TRIM('Raw Sales'!H174)="","Missing",PROPER(TRIM('Raw Sales'!H174)))</x:f>
        <x:v>Thabo Ndlovu</x:v>
      </x:c>
      <x:c r="I174" t="str">
        <x:f>IF(OR(UPPER(TRIM('Raw Sales'!I174))="PAID",UPPER(TRIM('Raw Sales'!I174))="SETTLED",UPPER(TRIM('Raw Sales'!I174))="COMPLETE"),"Paid",IF(UPPER(TRIM('Raw Sales'!I174))="PENDING","Pending","Review"))</x:f>
        <x:v>Pending</x:v>
      </x:c>
      <x:c r="J174" t="str">
        <x:f>IF(A174="","Missing",IF(COUNTIF($A$6:A174,A174)&gt;1,"Duplicate","Unique"))</x:f>
        <x:v>Unique</x:v>
      </x:c>
      <x:c r="K174" s="11" t="n">
        <x:f>IF(A174="",1,0)+IF(B174="",1,0)+IF(C174="Review",1,0)+IF(D174="",1,0)+IF(OR(E174="",E174&lt;=0),1,0)+IF(OR(F174="",F174&lt;=0),1,0)+IF(G174="",1,0)+IF(H174="Missing",1,0)+IF(I174="Review",1,0)+IF(J174="Duplicate",1,0)</x:f>
        <x:v>0</x:v>
      </x:c>
      <x:c r="L174" s="12" t="str">
        <x:f>IF(A174="","Missing order ID; ","")&amp;IF(B174="","Missing school; ","")&amp;IF(C174="Review","Unmapped region; ","")&amp;IF(D174="","Missing product; ","")&amp;IF(OR(E174="",E174&lt;=0),"Invalid units; ","")&amp;IF(OR(F174="",F174&lt;=0),"Invalid amount; ","")&amp;IF(G174="","Invalid date; ","")&amp;IF(H174="Missing","Missing sales rep; ","")&amp;IF(I174="Review","Unmapped payment status; ","")&amp;IF(J174="Duplicate","Duplicate ID; ","")</x:f>
      </x:c>
      <x:c r="M174" t="str">
        <x:f>IF(K174=0,"Ready","Review")</x:f>
        <x:v>Ready</x:v>
      </x:c>
    </x:row>
    <x:row r="175">
      <x:c r="A175" t="str">
        <x:f>UPPER(TRIM('Raw Sales'!A175))</x:f>
        <x:v>SAL-26-0170</x:v>
      </x:c>
      <x:c r="B175" t="str">
        <x:f>PROPER(TRIM('Raw Sales'!B175))</x:f>
        <x:v>Hillview Primary</x:v>
      </x:c>
      <x:c r="C175" t="str">
        <x:f>IF(OR(UPPER(TRIM('Raw Sales'!C175))="BOCHUM",UPPER(TRIM('Raw Sales'!C175))="BOCHUM REGION"),"Bochum",IF(OR(UPPER(TRIM('Raw Sales'!C175))="ELDORADO",UPPER(TRIM('Raw Sales'!C175))="ELDOS"),"Eldorado","Review"))</x:f>
        <x:v>Bochum</x:v>
      </x:c>
      <x:c r="D175" t="str">
        <x:f>PROPER(TRIM('Raw Sales'!D175))</x:f>
        <x:v>Exercise Books</x:v>
      </x:c>
      <x:c r="E175" s="8" t="n">
        <x:f>IFERROR(VALUE('Raw Sales'!E175),"")</x:f>
        <x:v>3</x:v>
      </x:c>
      <x:c r="F175" s="9"/>
      <x:c r="G175" s="10" t="n">
        <x:f>IFERROR(IF(OR(MID(TRIM('Raw Sales'!G175),5,1)="-",MID(TRIM('Raw Sales'!G175),5,1)="/"),DATE(VALUE(LEFT(TRIM('Raw Sales'!G175),4)),VALUE(MID(TRIM('Raw Sales'!G175),6,2)),VALUE(RIGHT(TRIM('Raw Sales'!G175),2))),IF(LEN(TRIM('Raw Sales'!G175))=10,DATE(VALUE(RIGHT(TRIM('Raw Sales'!G175),4)),VALUE(MID(TRIM('Raw Sales'!G175),4,2)),VALUE(LEFT(TRIM('Raw Sales'!G175),2))),IF(LEN(TRIM('Raw Sales'!G175))=8,DATE(2000+VALUE(RIGHT(TRIM('Raw Sales'!G175),2)),VALUE(MID(TRIM('Raw Sales'!G175),4,2)),VALUE(LEFT(TRIM('Raw Sales'!G175),2))),""))),"")</x:f>
        <x:v>46103</x:v>
      </x:c>
      <x:c r="H175" t="str">
        <x:f>IF(TRIM('Raw Sales'!H175)="","Missing",PROPER(TRIM('Raw Sales'!H175)))</x:f>
        <x:v>Lebo Nkosi</x:v>
      </x:c>
      <x:c r="I175" t="str">
        <x:f>IF(OR(UPPER(TRIM('Raw Sales'!I175))="PAID",UPPER(TRIM('Raw Sales'!I175))="SETTLED",UPPER(TRIM('Raw Sales'!I175))="COMPLETE"),"Paid",IF(UPPER(TRIM('Raw Sales'!I175))="PENDING","Pending","Review"))</x:f>
        <x:v>Paid</x:v>
      </x:c>
      <x:c r="J175" t="str">
        <x:f>IF(A175="","Missing",IF(COUNTIF($A$6:A175,A175)&gt;1,"Duplicate","Unique"))</x:f>
        <x:v>Unique</x:v>
      </x:c>
      <x:c r="K175" s="11" t="n">
        <x:f>IF(A175="",1,0)+IF(B175="",1,0)+IF(C175="Review",1,0)+IF(D175="",1,0)+IF(OR(E175="",E175&lt;=0),1,0)+IF(OR(F175="",F175&lt;=0),1,0)+IF(G175="",1,0)+IF(H175="Missing",1,0)+IF(I175="Review",1,0)+IF(J175="Duplicate",1,0)</x:f>
        <x:v>1</x:v>
      </x:c>
      <x:c r="L175" s="12" t="str">
        <x:f>IF(A175="","Missing order ID; ","")&amp;IF(B175="","Missing school; ","")&amp;IF(C175="Review","Unmapped region; ","")&amp;IF(D175="","Missing product; ","")&amp;IF(OR(E175="",E175&lt;=0),"Invalid units; ","")&amp;IF(OR(F175="",F175&lt;=0),"Invalid amount; ","")&amp;IF(G175="","Invalid date; ","")&amp;IF(H175="Missing","Missing sales rep; ","")&amp;IF(I175="Review","Unmapped payment status; ","")&amp;IF(J175="Duplicate","Duplicate ID; ","")</x:f>
        <x:v>Invalid amount; </x:v>
      </x:c>
      <x:c r="M175" t="str">
        <x:f>IF(K175=0,"Ready","Review")</x:f>
        <x:v>Review</x:v>
      </x:c>
    </x:row>
    <x:row r="176">
      <x:c r="A176" t="str">
        <x:f>UPPER(TRIM('Raw Sales'!A176))</x:f>
        <x:v>SAL-26-0171</x:v>
      </x:c>
      <x:c r="B176" t="str">
        <x:f>PROPER(TRIM('Raw Sales'!B176))</x:f>
        <x:v>Eastwood Academy</x:v>
      </x:c>
      <x:c r="C176" t="str">
        <x:f>IF(OR(UPPER(TRIM('Raw Sales'!C176))="BOCHUM",UPPER(TRIM('Raw Sales'!C176))="BOCHUM REGION"),"Bochum",IF(OR(UPPER(TRIM('Raw Sales'!C176))="ELDORADO",UPPER(TRIM('Raw Sales'!C176))="ELDOS"),"Eldorado","Review"))</x:f>
        <x:v>Eldorado</x:v>
      </x:c>
      <x:c r="D176" t="str">
        <x:f>PROPER(TRIM('Raw Sales'!D176))</x:f>
        <x:v>Pencils</x:v>
      </x:c>
      <x:c r="E176" s="8" t="n">
        <x:f>IFERROR(VALUE('Raw Sales'!E176),"")</x:f>
        <x:v>10</x:v>
      </x:c>
      <x:c r="F176" s="9" t="n">
        <x:v>710</x:v>
      </x:c>
      <x:c r="G176" s="10" t="n">
        <x:f>IFERROR(IF(OR(MID(TRIM('Raw Sales'!G176),5,1)="-",MID(TRIM('Raw Sales'!G176),5,1)="/"),DATE(VALUE(LEFT(TRIM('Raw Sales'!G176),4)),VALUE(MID(TRIM('Raw Sales'!G176),6,2)),VALUE(RIGHT(TRIM('Raw Sales'!G176),2))),IF(LEN(TRIM('Raw Sales'!G176))=10,DATE(VALUE(RIGHT(TRIM('Raw Sales'!G176),4)),VALUE(MID(TRIM('Raw Sales'!G176),4,2)),VALUE(LEFT(TRIM('Raw Sales'!G176),2))),IF(LEN(TRIM('Raw Sales'!G176))=8,DATE(2000+VALUE(RIGHT(TRIM('Raw Sales'!G176),2)),VALUE(MID(TRIM('Raw Sales'!G176),4,2)),VALUE(LEFT(TRIM('Raw Sales'!G176),2))),""))),"")</x:f>
        <x:v>46135</x:v>
      </x:c>
      <x:c r="H176" t="str">
        <x:f>IF(TRIM('Raw Sales'!H176)="","Missing",PROPER(TRIM('Raw Sales'!H176)))</x:f>
        <x:v>Thabo Ndlovu</x:v>
      </x:c>
      <x:c r="I176" t="str">
        <x:f>IF(OR(UPPER(TRIM('Raw Sales'!I176))="PAID",UPPER(TRIM('Raw Sales'!I176))="SETTLED",UPPER(TRIM('Raw Sales'!I176))="COMPLETE"),"Paid",IF(UPPER(TRIM('Raw Sales'!I176))="PENDING","Pending","Review"))</x:f>
        <x:v>Paid</x:v>
      </x:c>
      <x:c r="J176" t="str">
        <x:f>IF(A176="","Missing",IF(COUNTIF($A$6:A176,A176)&gt;1,"Duplicate","Unique"))</x:f>
        <x:v>Unique</x:v>
      </x:c>
      <x:c r="K176" s="11" t="n">
        <x:f>IF(A176="",1,0)+IF(B176="",1,0)+IF(C176="Review",1,0)+IF(D176="",1,0)+IF(OR(E176="",E176&lt;=0),1,0)+IF(OR(F176="",F176&lt;=0),1,0)+IF(G176="",1,0)+IF(H176="Missing",1,0)+IF(I176="Review",1,0)+IF(J176="Duplicate",1,0)</x:f>
        <x:v>0</x:v>
      </x:c>
      <x:c r="L176" s="12" t="str">
        <x:f>IF(A176="","Missing order ID; ","")&amp;IF(B176="","Missing school; ","")&amp;IF(C176="Review","Unmapped region; ","")&amp;IF(D176="","Missing product; ","")&amp;IF(OR(E176="",E176&lt;=0),"Invalid units; ","")&amp;IF(OR(F176="",F176&lt;=0),"Invalid amount; ","")&amp;IF(G176="","Invalid date; ","")&amp;IF(H176="Missing","Missing sales rep; ","")&amp;IF(I176="Review","Unmapped payment status; ","")&amp;IF(J176="Duplicate","Duplicate ID; ","")</x:f>
      </x:c>
      <x:c r="M176" t="str">
        <x:f>IF(K176=0,"Ready","Review")</x:f>
        <x:v>Ready</x:v>
      </x:c>
    </x:row>
    <x:row r="177">
      <x:c r="A177" t="str">
        <x:f>UPPER(TRIM('Raw Sales'!A177))</x:f>
        <x:v>SAL-26-0172</x:v>
      </x:c>
      <x:c r="B177" t="str">
        <x:f>PROPER(TRIM('Raw Sales'!B177))</x:f>
        <x:v>Lakeside School</x:v>
      </x:c>
      <x:c r="C177" t="str">
        <x:f>IF(OR(UPPER(TRIM('Raw Sales'!C177))="BOCHUM",UPPER(TRIM('Raw Sales'!C177))="BOCHUM REGION"),"Bochum",IF(OR(UPPER(TRIM('Raw Sales'!C177))="ELDORADO",UPPER(TRIM('Raw Sales'!C177))="ELDOS"),"Eldorado","Review"))</x:f>
        <x:v>Bochum</x:v>
      </x:c>
      <x:c r="D177" t="str">
        <x:f>PROPER(TRIM('Raw Sales'!D177))</x:f>
        <x:v>Folders</x:v>
      </x:c>
      <x:c r="E177" s="8" t="n">
        <x:f>IFERROR(VALUE('Raw Sales'!E177),"")</x:f>
        <x:v>17</x:v>
      </x:c>
      <x:c r="F177" s="9"/>
      <x:c r="G177" s="10" t="n">
        <x:f>IFERROR(IF(OR(MID(TRIM('Raw Sales'!G177),5,1)="-",MID(TRIM('Raw Sales'!G177),5,1)="/"),DATE(VALUE(LEFT(TRIM('Raw Sales'!G177),4)),VALUE(MID(TRIM('Raw Sales'!G177),6,2)),VALUE(RIGHT(TRIM('Raw Sales'!G177),2))),IF(LEN(TRIM('Raw Sales'!G177))=10,DATE(VALUE(RIGHT(TRIM('Raw Sales'!G177),4)),VALUE(MID(TRIM('Raw Sales'!G177),4,2)),VALUE(LEFT(TRIM('Raw Sales'!G177),2))),IF(LEN(TRIM('Raw Sales'!G177))=8,DATE(2000+VALUE(RIGHT(TRIM('Raw Sales'!G177),2)),VALUE(MID(TRIM('Raw Sales'!G177),4,2)),VALUE(LEFT(TRIM('Raw Sales'!G177),2))),""))),"")</x:f>
        <x:v>46166</x:v>
      </x:c>
      <x:c r="H177" t="str">
        <x:f>IF(TRIM('Raw Sales'!H177)="","Missing",PROPER(TRIM('Raw Sales'!H177)))</x:f>
        <x:v>Lebo Nkosi</x:v>
      </x:c>
      <x:c r="I177" t="str">
        <x:f>IF(OR(UPPER(TRIM('Raw Sales'!I177))="PAID",UPPER(TRIM('Raw Sales'!I177))="SETTLED",UPPER(TRIM('Raw Sales'!I177))="COMPLETE"),"Paid",IF(UPPER(TRIM('Raw Sales'!I177))="PENDING","Pending","Review"))</x:f>
        <x:v>Pending</x:v>
      </x:c>
      <x:c r="J177" t="str">
        <x:f>IF(A177="","Missing",IF(COUNTIF($A$6:A177,A177)&gt;1,"Duplicate","Unique"))</x:f>
        <x:v>Unique</x:v>
      </x:c>
      <x:c r="K177" s="11" t="n">
        <x:f>IF(A177="",1,0)+IF(B177="",1,0)+IF(C177="Review",1,0)+IF(D177="",1,0)+IF(OR(E177="",E177&lt;=0),1,0)+IF(OR(F177="",F177&lt;=0),1,0)+IF(G177="",1,0)+IF(H177="Missing",1,0)+IF(I177="Review",1,0)+IF(J177="Duplicate",1,0)</x:f>
        <x:v>1</x:v>
      </x:c>
      <x:c r="L177" s="12" t="str">
        <x:f>IF(A177="","Missing order ID; ","")&amp;IF(B177="","Missing school; ","")&amp;IF(C177="Review","Unmapped region; ","")&amp;IF(D177="","Missing product; ","")&amp;IF(OR(E177="",E177&lt;=0),"Invalid units; ","")&amp;IF(OR(F177="",F177&lt;=0),"Invalid amount; ","")&amp;IF(G177="","Invalid date; ","")&amp;IF(H177="Missing","Missing sales rep; ","")&amp;IF(I177="Review","Unmapped payment status; ","")&amp;IF(J177="Duplicate","Duplicate ID; ","")</x:f>
        <x:v>Invalid amount; </x:v>
      </x:c>
      <x:c r="M177" t="str">
        <x:f>IF(K177=0,"Ready","Review")</x:f>
        <x:v>Review</x:v>
      </x:c>
    </x:row>
    <x:row r="178">
      <x:c r="A178" t="str">
        <x:f>UPPER(TRIM('Raw Sales'!A178))</x:f>
        <x:v>SAL-26-0173</x:v>
      </x:c>
      <x:c r="B178" t="str">
        <x:f>PROPER(TRIM('Raw Sales'!B178))</x:f>
        <x:v>Valley Primary</x:v>
      </x:c>
      <x:c r="C178" t="str">
        <x:f>IF(OR(UPPER(TRIM('Raw Sales'!C178))="BOCHUM",UPPER(TRIM('Raw Sales'!C178))="BOCHUM REGION"),"Bochum",IF(OR(UPPER(TRIM('Raw Sales'!C178))="ELDORADO",UPPER(TRIM('Raw Sales'!C178))="ELDOS"),"Eldorado","Review"))</x:f>
        <x:v>Eldorado</x:v>
      </x:c>
      <x:c r="D178" t="str">
        <x:f>PROPER(TRIM('Raw Sales'!D178))</x:f>
        <x:v>Pens</x:v>
      </x:c>
      <x:c r="E178" s="8" t="n">
        <x:f>IFERROR(VALUE('Raw Sales'!E178),"")</x:f>
        <x:v>24</x:v>
      </x:c>
      <x:c r="F178" s="9" t="n">
        <x:v>2328</x:v>
      </x:c>
      <x:c r="G178" s="10" t="n">
        <x:f>IFERROR(IF(OR(MID(TRIM('Raw Sales'!G178),5,1)="-",MID(TRIM('Raw Sales'!G178),5,1)="/"),DATE(VALUE(LEFT(TRIM('Raw Sales'!G178),4)),VALUE(MID(TRIM('Raw Sales'!G178),6,2)),VALUE(RIGHT(TRIM('Raw Sales'!G178),2))),IF(LEN(TRIM('Raw Sales'!G178))=10,DATE(VALUE(RIGHT(TRIM('Raw Sales'!G178),4)),VALUE(MID(TRIM('Raw Sales'!G178),4,2)),VALUE(LEFT(TRIM('Raw Sales'!G178),2))),IF(LEN(TRIM('Raw Sales'!G178))=8,DATE(2000+VALUE(RIGHT(TRIM('Raw Sales'!G178),2)),VALUE(MID(TRIM('Raw Sales'!G178),4,2)),VALUE(LEFT(TRIM('Raw Sales'!G178),2))),""))),"")</x:f>
        <x:v>46198</x:v>
      </x:c>
      <x:c r="H178" t="str">
        <x:f>IF(TRIM('Raw Sales'!H178)="","Missing",PROPER(TRIM('Raw Sales'!H178)))</x:f>
        <x:v>Thabo Ndlovu</x:v>
      </x:c>
      <x:c r="I178" t="str">
        <x:f>IF(OR(UPPER(TRIM('Raw Sales'!I178))="PAID",UPPER(TRIM('Raw Sales'!I178))="SETTLED",UPPER(TRIM('Raw Sales'!I178))="COMPLETE"),"Paid",IF(UPPER(TRIM('Raw Sales'!I178))="PENDING","Pending","Review"))</x:f>
        <x:v>Paid</x:v>
      </x:c>
      <x:c r="J178" t="str">
        <x:f>IF(A178="","Missing",IF(COUNTIF($A$6:A178,A178)&gt;1,"Duplicate","Unique"))</x:f>
        <x:v>Unique</x:v>
      </x:c>
      <x:c r="K178" s="11" t="n">
        <x:f>IF(A178="",1,0)+IF(B178="",1,0)+IF(C178="Review",1,0)+IF(D178="",1,0)+IF(OR(E178="",E178&lt;=0),1,0)+IF(OR(F178="",F178&lt;=0),1,0)+IF(G178="",1,0)+IF(H178="Missing",1,0)+IF(I178="Review",1,0)+IF(J178="Duplicate",1,0)</x:f>
        <x:v>0</x:v>
      </x:c>
      <x:c r="L178" s="12" t="str">
        <x:f>IF(A178="","Missing order ID; ","")&amp;IF(B178="","Missing school; ","")&amp;IF(C178="Review","Unmapped region; ","")&amp;IF(D178="","Missing product; ","")&amp;IF(OR(E178="",E178&lt;=0),"Invalid units; ","")&amp;IF(OR(F178="",F178&lt;=0),"Invalid amount; ","")&amp;IF(G178="","Invalid date; ","")&amp;IF(H178="Missing","Missing sales rep; ","")&amp;IF(I178="Review","Unmapped payment status; ","")&amp;IF(J178="Duplicate","Duplicate ID; ","")</x:f>
      </x:c>
      <x:c r="M178" t="str">
        <x:f>IF(K178=0,"Ready","Review")</x:f>
        <x:v>Ready</x:v>
      </x:c>
    </x:row>
    <x:row r="179">
      <x:c r="A179" t="str">
        <x:f>UPPER(TRIM('Raw Sales'!A179))</x:f>
        <x:v>SAL-26-0174</x:v>
      </x:c>
      <x:c r="B179" t="str">
        <x:f>PROPER(TRIM('Raw Sales'!B179))</x:f>
        <x:v>Mhlabeni Secondary</x:v>
      </x:c>
      <x:c r="C179" t="str">
        <x:f>IF(OR(UPPER(TRIM('Raw Sales'!C179))="BOCHUM",UPPER(TRIM('Raw Sales'!C179))="BOCHUM REGION"),"Bochum",IF(OR(UPPER(TRIM('Raw Sales'!C179))="ELDORADO",UPPER(TRIM('Raw Sales'!C179))="ELDOS"),"Eldorado","Review"))</x:f>
        <x:v>Eldorado</x:v>
      </x:c>
      <x:c r="D179" t="str">
        <x:f>PROPER(TRIM('Raw Sales'!D179))</x:f>
        <x:v>Glue Sticks</x:v>
      </x:c>
      <x:c r="E179" s="8" t="str">
        <x:f>IFERROR(VALUE('Raw Sales'!E179),"")</x:f>
      </x:c>
      <x:c r="F179" s="9" t="n">
        <x:v>3410</x:v>
      </x:c>
      <x:c r="G179" s="10" t="n">
        <x:f>IFERROR(IF(OR(MID(TRIM('Raw Sales'!G179),5,1)="-",MID(TRIM('Raw Sales'!G179),5,1)="/"),DATE(VALUE(LEFT(TRIM('Raw Sales'!G179),4)),VALUE(MID(TRIM('Raw Sales'!G179),6,2)),VALUE(RIGHT(TRIM('Raw Sales'!G179),2))),IF(LEN(TRIM('Raw Sales'!G179))=10,DATE(VALUE(RIGHT(TRIM('Raw Sales'!G179),4)),VALUE(MID(TRIM('Raw Sales'!G179),4,2)),VALUE(LEFT(TRIM('Raw Sales'!G179),2))),IF(LEN(TRIM('Raw Sales'!G179))=8,DATE(2000+VALUE(RIGHT(TRIM('Raw Sales'!G179),2)),VALUE(MID(TRIM('Raw Sales'!G179),4,2)),VALUE(LEFT(TRIM('Raw Sales'!G179),2))),""))),"")</x:f>
        <x:v>46229</x:v>
      </x:c>
      <x:c r="H179" t="str">
        <x:f>IF(TRIM('Raw Sales'!H179)="","Missing",PROPER(TRIM('Raw Sales'!H179)))</x:f>
        <x:v>Lebo Nkosi</x:v>
      </x:c>
      <x:c r="I179" t="str">
        <x:f>IF(OR(UPPER(TRIM('Raw Sales'!I179))="PAID",UPPER(TRIM('Raw Sales'!I179))="SETTLED",UPPER(TRIM('Raw Sales'!I179))="COMPLETE"),"Paid",IF(UPPER(TRIM('Raw Sales'!I179))="PENDING","Pending","Review"))</x:f>
        <x:v>Paid</x:v>
      </x:c>
      <x:c r="J179" t="str">
        <x:f>IF(A179="","Missing",IF(COUNTIF($A$6:A179,A179)&gt;1,"Duplicate","Unique"))</x:f>
        <x:v>Unique</x:v>
      </x:c>
      <x:c r="K179" s="11" t="n">
        <x:f>IF(A179="",1,0)+IF(B179="",1,0)+IF(C179="Review",1,0)+IF(D179="",1,0)+IF(OR(E179="",E179&lt;=0),1,0)+IF(OR(F179="",F179&lt;=0),1,0)+IF(G179="",1,0)+IF(H179="Missing",1,0)+IF(I179="Review",1,0)+IF(J179="Duplicate",1,0)</x:f>
        <x:v>1</x:v>
      </x:c>
      <x:c r="L179" s="12" t="str">
        <x:f>IF(A179="","Missing order ID; ","")&amp;IF(B179="","Missing school; ","")&amp;IF(C179="Review","Unmapped region; ","")&amp;IF(D179="","Missing product; ","")&amp;IF(OR(E179="",E179&lt;=0),"Invalid units; ","")&amp;IF(OR(F179="",F179&lt;=0),"Invalid amount; ","")&amp;IF(G179="","Invalid date; ","")&amp;IF(H179="Missing","Missing sales rep; ","")&amp;IF(I179="Review","Unmapped payment status; ","")&amp;IF(J179="Duplicate","Duplicate ID; ","")</x:f>
        <x:v>Invalid units; </x:v>
      </x:c>
      <x:c r="M179" t="str">
        <x:f>IF(K179=0,"Ready","Review")</x:f>
        <x:v>Review</x:v>
      </x:c>
    </x:row>
    <x:row r="180">
      <x:c r="A180" t="str">
        <x:f>UPPER(TRIM('Raw Sales'!A180))</x:f>
        <x:v>SAL-26-0175</x:v>
      </x:c>
      <x:c r="B180" t="str">
        <x:f>PROPER(TRIM('Raw Sales'!B180))</x:f>
        <x:v>Meadowlands School</x:v>
      </x:c>
      <x:c r="C180" t="str">
        <x:f>IF(OR(UPPER(TRIM('Raw Sales'!C180))="BOCHUM",UPPER(TRIM('Raw Sales'!C180))="BOCHUM REGION"),"Bochum",IF(OR(UPPER(TRIM('Raw Sales'!C180))="ELDORADO",UPPER(TRIM('Raw Sales'!C180))="ELDOS"),"Eldorado","Review"))</x:f>
        <x:v>Bochum</x:v>
      </x:c>
      <x:c r="D180" t="str">
        <x:f>PROPER(TRIM('Raw Sales'!D180))</x:f>
        <x:v>Markers</x:v>
      </x:c>
      <x:c r="E180" s="8" t="n">
        <x:f>IFERROR(VALUE('Raw Sales'!E180),"")</x:f>
        <x:v>2</x:v>
      </x:c>
      <x:c r="F180" s="9" t="n">
        <x:v>246</x:v>
      </x:c>
      <x:c r="G180" s="10" t="n">
        <x:f>IFERROR(IF(OR(MID(TRIM('Raw Sales'!G180),5,1)="-",MID(TRIM('Raw Sales'!G180),5,1)="/"),DATE(VALUE(LEFT(TRIM('Raw Sales'!G180),4)),VALUE(MID(TRIM('Raw Sales'!G180),6,2)),VALUE(RIGHT(TRIM('Raw Sales'!G180),2))),IF(LEN(TRIM('Raw Sales'!G180))=10,DATE(VALUE(RIGHT(TRIM('Raw Sales'!G180),4)),VALUE(MID(TRIM('Raw Sales'!G180),4,2)),VALUE(LEFT(TRIM('Raw Sales'!G180),2))),IF(LEN(TRIM('Raw Sales'!G180))=8,DATE(2000+VALUE(RIGHT(TRIM('Raw Sales'!G180),2)),VALUE(MID(TRIM('Raw Sales'!G180),4,2)),VALUE(LEFT(TRIM('Raw Sales'!G180),2))),""))),"")</x:f>
        <x:v>46236</x:v>
      </x:c>
      <x:c r="H180" t="str">
        <x:f>IF(TRIM('Raw Sales'!H180)="","Missing",PROPER(TRIM('Raw Sales'!H180)))</x:f>
        <x:v>Thabo Ndlovu</x:v>
      </x:c>
      <x:c r="I180" t="str">
        <x:f>IF(OR(UPPER(TRIM('Raw Sales'!I180))="PAID",UPPER(TRIM('Raw Sales'!I180))="SETTLED",UPPER(TRIM('Raw Sales'!I180))="COMPLETE"),"Paid",IF(UPPER(TRIM('Raw Sales'!I180))="PENDING","Pending","Review"))</x:f>
        <x:v>Pending</x:v>
      </x:c>
      <x:c r="J180" t="str">
        <x:f>IF(A180="","Missing",IF(COUNTIF($A$6:A180,A180)&gt;1,"Duplicate","Unique"))</x:f>
        <x:v>Unique</x:v>
      </x:c>
      <x:c r="K180" s="11" t="n">
        <x:f>IF(A180="",1,0)+IF(B180="",1,0)+IF(C180="Review",1,0)+IF(D180="",1,0)+IF(OR(E180="",E180&lt;=0),1,0)+IF(OR(F180="",F180&lt;=0),1,0)+IF(G180="",1,0)+IF(H180="Missing",1,0)+IF(I180="Review",1,0)+IF(J180="Duplicate",1,0)</x:f>
        <x:v>0</x:v>
      </x:c>
      <x:c r="L180" s="12" t="str">
        <x:f>IF(A180="","Missing order ID; ","")&amp;IF(B180="","Missing school; ","")&amp;IF(C180="Review","Unmapped region; ","")&amp;IF(D180="","Missing product; ","")&amp;IF(OR(E180="",E180&lt;=0),"Invalid units; ","")&amp;IF(OR(F180="",F180&lt;=0),"Invalid amount; ","")&amp;IF(G180="","Invalid date; ","")&amp;IF(H180="Missing","Missing sales rep; ","")&amp;IF(I180="Review","Unmapped payment status; ","")&amp;IF(J180="Duplicate","Duplicate ID; ","")</x:f>
      </x:c>
      <x:c r="M180" t="str">
        <x:f>IF(K180=0,"Ready","Review")</x:f>
        <x:v>Ready</x:v>
      </x:c>
    </x:row>
    <x:row r="181">
      <x:c r="A181" t="str">
        <x:f>UPPER(TRIM('Raw Sales'!A181))</x:f>
        <x:v>SAL-26-0176</x:v>
      </x:c>
      <x:c r="B181" t="str">
        <x:f>PROPER(TRIM('Raw Sales'!B181))</x:f>
        <x:v>Gardenview School</x:v>
      </x:c>
      <x:c r="C181" t="str">
        <x:f>IF(OR(UPPER(TRIM('Raw Sales'!C181))="BOCHUM",UPPER(TRIM('Raw Sales'!C181))="BOCHUM REGION"),"Bochum",IF(OR(UPPER(TRIM('Raw Sales'!C181))="ELDORADO",UPPER(TRIM('Raw Sales'!C181))="ELDOS"),"Eldorado","Review"))</x:f>
        <x:v>Eldorado</x:v>
      </x:c>
      <x:c r="D181" t="str">
        <x:f>PROPER(TRIM('Raw Sales'!D181))</x:f>
        <x:v>Notebooks</x:v>
      </x:c>
      <x:c r="E181" s="8" t="n">
        <x:f>IFERROR(VALUE('Raw Sales'!E181),"")</x:f>
        <x:v>9</x:v>
      </x:c>
      <x:c r="F181" s="9" t="n">
        <x:v>1224</x:v>
      </x:c>
      <x:c r="G181" s="10" t="n">
        <x:f>IFERROR(IF(OR(MID(TRIM('Raw Sales'!G181),5,1)="-",MID(TRIM('Raw Sales'!G181),5,1)="/"),DATE(VALUE(LEFT(TRIM('Raw Sales'!G181),4)),VALUE(MID(TRIM('Raw Sales'!G181),6,2)),VALUE(RIGHT(TRIM('Raw Sales'!G181),2))),IF(LEN(TRIM('Raw Sales'!G181))=10,DATE(VALUE(RIGHT(TRIM('Raw Sales'!G181),4)),VALUE(MID(TRIM('Raw Sales'!G181),4,2)),VALUE(LEFT(TRIM('Raw Sales'!G181),2))),IF(LEN(TRIM('Raw Sales'!G181))=8,DATE(2000+VALUE(RIGHT(TRIM('Raw Sales'!G181),2)),VALUE(MID(TRIM('Raw Sales'!G181),4,2)),VALUE(LEFT(TRIM('Raw Sales'!G181),2))),""))),"")</x:f>
        <x:v>46025</x:v>
      </x:c>
      <x:c r="H181" t="str">
        <x:f>IF(TRIM('Raw Sales'!H181)="","Missing",PROPER(TRIM('Raw Sales'!H181)))</x:f>
        <x:v>Lebo Nkosi</x:v>
      </x:c>
      <x:c r="I181" t="str">
        <x:f>IF(OR(UPPER(TRIM('Raw Sales'!I181))="PAID",UPPER(TRIM('Raw Sales'!I181))="SETTLED",UPPER(TRIM('Raw Sales'!I181))="COMPLETE"),"Paid",IF(UPPER(TRIM('Raw Sales'!I181))="PENDING","Pending","Review"))</x:f>
        <x:v>Paid</x:v>
      </x:c>
      <x:c r="J181" t="str">
        <x:f>IF(A181="","Missing",IF(COUNTIF($A$6:A181,A181)&gt;1,"Duplicate","Unique"))</x:f>
        <x:v>Unique</x:v>
      </x:c>
      <x:c r="K181" s="11" t="n">
        <x:f>IF(A181="",1,0)+IF(B181="",1,0)+IF(C181="Review",1,0)+IF(D181="",1,0)+IF(OR(E181="",E181&lt;=0),1,0)+IF(OR(F181="",F181&lt;=0),1,0)+IF(G181="",1,0)+IF(H181="Missing",1,0)+IF(I181="Review",1,0)+IF(J181="Duplicate",1,0)</x:f>
        <x:v>0</x:v>
      </x:c>
      <x:c r="L181" s="12" t="str">
        <x:f>IF(A181="","Missing order ID; ","")&amp;IF(B181="","Missing school; ","")&amp;IF(C181="Review","Unmapped region; ","")&amp;IF(D181="","Missing product; ","")&amp;IF(OR(E181="",E181&lt;=0),"Invalid units; ","")&amp;IF(OR(F181="",F181&lt;=0),"Invalid amount; ","")&amp;IF(G181="","Invalid date; ","")&amp;IF(H181="Missing","Missing sales rep; ","")&amp;IF(I181="Review","Unmapped payment status; ","")&amp;IF(J181="Duplicate","Duplicate ID; ","")</x:f>
      </x:c>
      <x:c r="M181" t="str">
        <x:f>IF(K181=0,"Ready","Review")</x:f>
        <x:v>Ready</x:v>
      </x:c>
    </x:row>
    <x:row r="182">
      <x:c r="A182" t="str">
        <x:f>UPPER(TRIM('Raw Sales'!A182))</x:f>
        <x:v>SAL-26-0177</x:v>
      </x:c>
      <x:c r="B182" t="str">
        <x:f>PROPER(TRIM('Raw Sales'!B182))</x:f>
        <x:v>Riverside Academy</x:v>
      </x:c>
      <x:c r="C182" t="str">
        <x:f>IF(OR(UPPER(TRIM('Raw Sales'!C182))="BOCHUM",UPPER(TRIM('Raw Sales'!C182))="BOCHUM REGION"),"Bochum",IF(OR(UPPER(TRIM('Raw Sales'!C182))="ELDORADO",UPPER(TRIM('Raw Sales'!C182))="ELDOS"),"Eldorado","Review"))</x:f>
        <x:v>Bochum</x:v>
      </x:c>
      <x:c r="D182" t="str">
        <x:f>PROPER(TRIM('Raw Sales'!D182))</x:f>
        <x:v>Rulers</x:v>
      </x:c>
      <x:c r="E182" s="8" t="n">
        <x:f>IFERROR(VALUE('Raw Sales'!E182),"")</x:f>
        <x:v>16</x:v>
      </x:c>
      <x:c r="F182" s="9" t="n">
        <x:v>2384</x:v>
      </x:c>
      <x:c r="G182" s="10" t="n">
        <x:f>IFERROR(IF(OR(MID(TRIM('Raw Sales'!G182),5,1)="-",MID(TRIM('Raw Sales'!G182),5,1)="/"),DATE(VALUE(LEFT(TRIM('Raw Sales'!G182),4)),VALUE(MID(TRIM('Raw Sales'!G182),6,2)),VALUE(RIGHT(TRIM('Raw Sales'!G182),2))),IF(LEN(TRIM('Raw Sales'!G182))=10,DATE(VALUE(RIGHT(TRIM('Raw Sales'!G182),4)),VALUE(MID(TRIM('Raw Sales'!G182),4,2)),VALUE(LEFT(TRIM('Raw Sales'!G182),2))),IF(LEN(TRIM('Raw Sales'!G182))=8,DATE(2000+VALUE(RIGHT(TRIM('Raw Sales'!G182),2)),VALUE(MID(TRIM('Raw Sales'!G182),4,2)),VALUE(LEFT(TRIM('Raw Sales'!G182),2))),""))),"")</x:f>
        <x:v>46057</x:v>
      </x:c>
      <x:c r="H182" t="str">
        <x:f>IF(TRIM('Raw Sales'!H182)="","Missing",PROPER(TRIM('Raw Sales'!H182)))</x:f>
        <x:v>Thabo Ndlovu</x:v>
      </x:c>
      <x:c r="I182" t="str">
        <x:f>IF(OR(UPPER(TRIM('Raw Sales'!I182))="PAID",UPPER(TRIM('Raw Sales'!I182))="SETTLED",UPPER(TRIM('Raw Sales'!I182))="COMPLETE"),"Paid",IF(UPPER(TRIM('Raw Sales'!I182))="PENDING","Pending","Review"))</x:f>
        <x:v>Paid</x:v>
      </x:c>
      <x:c r="J182" t="str">
        <x:f>IF(A182="","Missing",IF(COUNTIF($A$6:A182,A182)&gt;1,"Duplicate","Unique"))</x:f>
        <x:v>Unique</x:v>
      </x:c>
      <x:c r="K182" s="11" t="n">
        <x:f>IF(A182="",1,0)+IF(B182="",1,0)+IF(C182="Review",1,0)+IF(D182="",1,0)+IF(OR(E182="",E182&lt;=0),1,0)+IF(OR(F182="",F182&lt;=0),1,0)+IF(G182="",1,0)+IF(H182="Missing",1,0)+IF(I182="Review",1,0)+IF(J182="Duplicate",1,0)</x:f>
        <x:v>0</x:v>
      </x:c>
      <x:c r="L182" s="12" t="str">
        <x:f>IF(A182="","Missing order ID; ","")&amp;IF(B182="","Missing school; ","")&amp;IF(C182="Review","Unmapped region; ","")&amp;IF(D182="","Missing product; ","")&amp;IF(OR(E182="",E182&lt;=0),"Invalid units; ","")&amp;IF(OR(F182="",F182&lt;=0),"Invalid amount; ","")&amp;IF(G182="","Invalid date; ","")&amp;IF(H182="Missing","Missing sales rep; ","")&amp;IF(I182="Review","Unmapped payment status; ","")&amp;IF(J182="Duplicate","Duplicate ID; ","")</x:f>
      </x:c>
      <x:c r="M182" t="str">
        <x:f>IF(K182=0,"Ready","Review")</x:f>
        <x:v>Ready</x:v>
      </x:c>
    </x:row>
    <x:row r="183">
      <x:c r="A183" t="str">
        <x:f>UPPER(TRIM('Raw Sales'!A183))</x:f>
        <x:v>SAL-26-0178</x:v>
      </x:c>
      <x:c r="B183" t="str">
        <x:f>PROPER(TRIM('Raw Sales'!B183))</x:f>
        <x:v>Maple Secondary</x:v>
      </x:c>
      <x:c r="C183" t="str">
        <x:f>IF(OR(UPPER(TRIM('Raw Sales'!C183))="BOCHUM",UPPER(TRIM('Raw Sales'!C183))="BOCHUM REGION"),"Bochum",IF(OR(UPPER(TRIM('Raw Sales'!C183))="ELDORADO",UPPER(TRIM('Raw Sales'!C183))="ELDOS"),"Eldorado","Review"))</x:f>
        <x:v>Eldorado</x:v>
      </x:c>
      <x:c r="D183" t="str">
        <x:f>PROPER(TRIM('Raw Sales'!D183))</x:f>
        <x:v>Exercise Books</x:v>
      </x:c>
      <x:c r="E183" s="8" t="n">
        <x:f>IFERROR(VALUE('Raw Sales'!E183),"")</x:f>
        <x:v>23</x:v>
      </x:c>
      <x:c r="F183" s="9" t="n">
        <x:v>3726</x:v>
      </x:c>
      <x:c r="G183" s="10" t="n">
        <x:f>IFERROR(IF(OR(MID(TRIM('Raw Sales'!G183),5,1)="-",MID(TRIM('Raw Sales'!G183),5,1)="/"),DATE(VALUE(LEFT(TRIM('Raw Sales'!G183),4)),VALUE(MID(TRIM('Raw Sales'!G183),6,2)),VALUE(RIGHT(TRIM('Raw Sales'!G183),2))),IF(LEN(TRIM('Raw Sales'!G183))=10,DATE(VALUE(RIGHT(TRIM('Raw Sales'!G183),4)),VALUE(MID(TRIM('Raw Sales'!G183),4,2)),VALUE(LEFT(TRIM('Raw Sales'!G183),2))),IF(LEN(TRIM('Raw Sales'!G183))=8,DATE(2000+VALUE(RIGHT(TRIM('Raw Sales'!G183),2)),VALUE(MID(TRIM('Raw Sales'!G183),4,2)),VALUE(LEFT(TRIM('Raw Sales'!G183),2))),""))),"")</x:f>
        <x:v>46086</x:v>
      </x:c>
      <x:c r="H183" t="str">
        <x:f>IF(TRIM('Raw Sales'!H183)="","Missing",PROPER(TRIM('Raw Sales'!H183)))</x:f>
        <x:v>Lebo Nkosi</x:v>
      </x:c>
      <x:c r="I183" t="str">
        <x:f>IF(OR(UPPER(TRIM('Raw Sales'!I183))="PAID",UPPER(TRIM('Raw Sales'!I183))="SETTLED",UPPER(TRIM('Raw Sales'!I183))="COMPLETE"),"Paid",IF(UPPER(TRIM('Raw Sales'!I183))="PENDING","Pending","Review"))</x:f>
        <x:v>Pending</x:v>
      </x:c>
      <x:c r="J183" t="str">
        <x:f>IF(A183="","Missing",IF(COUNTIF($A$6:A183,A183)&gt;1,"Duplicate","Unique"))</x:f>
        <x:v>Unique</x:v>
      </x:c>
      <x:c r="K183" s="11" t="n">
        <x:f>IF(A183="",1,0)+IF(B183="",1,0)+IF(C183="Review",1,0)+IF(D183="",1,0)+IF(OR(E183="",E183&lt;=0),1,0)+IF(OR(F183="",F183&lt;=0),1,0)+IF(G183="",1,0)+IF(H183="Missing",1,0)+IF(I183="Review",1,0)+IF(J183="Duplicate",1,0)</x:f>
        <x:v>0</x:v>
      </x:c>
      <x:c r="L183" s="12" t="str">
        <x:f>IF(A183="","Missing order ID; ","")&amp;IF(B183="","Missing school; ","")&amp;IF(C183="Review","Unmapped region; ","")&amp;IF(D183="","Missing product; ","")&amp;IF(OR(E183="",E183&lt;=0),"Invalid units; ","")&amp;IF(OR(F183="",F183&lt;=0),"Invalid amount; ","")&amp;IF(G183="","Invalid date; ","")&amp;IF(H183="Missing","Missing sales rep; ","")&amp;IF(I183="Review","Unmapped payment status; ","")&amp;IF(J183="Duplicate","Duplicate ID; ","")</x:f>
      </x:c>
      <x:c r="M183" t="str">
        <x:f>IF(K183=0,"Ready","Review")</x:f>
        <x:v>Ready</x:v>
      </x:c>
    </x:row>
    <x:row r="184">
      <x:c r="A184" t="str">
        <x:f>UPPER(TRIM('Raw Sales'!A184))</x:f>
        <x:v>SAL-26-0179</x:v>
      </x:c>
      <x:c r="B184" t="str">
        <x:f>PROPER(TRIM('Raw Sales'!B184))</x:f>
        <x:v>Pinecrest School</x:v>
      </x:c>
      <x:c r="C184" t="str">
        <x:f>IF(OR(UPPER(TRIM('Raw Sales'!C184))="BOCHUM",UPPER(TRIM('Raw Sales'!C184))="BOCHUM REGION"),"Bochum",IF(OR(UPPER(TRIM('Raw Sales'!C184))="ELDORADO",UPPER(TRIM('Raw Sales'!C184))="ELDOS"),"Eldorado","Review"))</x:f>
        <x:v>Bochum</x:v>
      </x:c>
      <x:c r="D184" t="str">
        <x:f>PROPER(TRIM('Raw Sales'!D184))</x:f>
        <x:v>Pencils</x:v>
      </x:c>
      <x:c r="E184" s="8" t="n">
        <x:f>IFERROR(VALUE('Raw Sales'!E184),"")</x:f>
        <x:v>30</x:v>
      </x:c>
      <x:c r="F184" s="9" t="n">
        <x:v>5250</x:v>
      </x:c>
      <x:c r="G184" s="10" t="n">
        <x:f>IFERROR(IF(OR(MID(TRIM('Raw Sales'!G184),5,1)="-",MID(TRIM('Raw Sales'!G184),5,1)="/"),DATE(VALUE(LEFT(TRIM('Raw Sales'!G184),4)),VALUE(MID(TRIM('Raw Sales'!G184),6,2)),VALUE(RIGHT(TRIM('Raw Sales'!G184),2))),IF(LEN(TRIM('Raw Sales'!G184))=10,DATE(VALUE(RIGHT(TRIM('Raw Sales'!G184),4)),VALUE(MID(TRIM('Raw Sales'!G184),4,2)),VALUE(LEFT(TRIM('Raw Sales'!G184),2))),IF(LEN(TRIM('Raw Sales'!G184))=8,DATE(2000+VALUE(RIGHT(TRIM('Raw Sales'!G184),2)),VALUE(MID(TRIM('Raw Sales'!G184),4,2)),VALUE(LEFT(TRIM('Raw Sales'!G184),2))),""))),"")</x:f>
        <x:v>46118</x:v>
      </x:c>
      <x:c r="H184" t="str">
        <x:f>IF(TRIM('Raw Sales'!H184)="","Missing",PROPER(TRIM('Raw Sales'!H184)))</x:f>
        <x:v>Thabo Ndlovu</x:v>
      </x:c>
      <x:c r="I184" t="str">
        <x:f>IF(OR(UPPER(TRIM('Raw Sales'!I184))="PAID",UPPER(TRIM('Raw Sales'!I184))="SETTLED",UPPER(TRIM('Raw Sales'!I184))="COMPLETE"),"Paid",IF(UPPER(TRIM('Raw Sales'!I184))="PENDING","Pending","Review"))</x:f>
        <x:v>Paid</x:v>
      </x:c>
      <x:c r="J184" t="str">
        <x:f>IF(A184="","Missing",IF(COUNTIF($A$6:A184,A184)&gt;1,"Duplicate","Unique"))</x:f>
        <x:v>Unique</x:v>
      </x:c>
      <x:c r="K184" s="11" t="n">
        <x:f>IF(A184="",1,0)+IF(B184="",1,0)+IF(C184="Review",1,0)+IF(D184="",1,0)+IF(OR(E184="",E184&lt;=0),1,0)+IF(OR(F184="",F184&lt;=0),1,0)+IF(G184="",1,0)+IF(H184="Missing",1,0)+IF(I184="Review",1,0)+IF(J184="Duplicate",1,0)</x:f>
        <x:v>0</x:v>
      </x:c>
      <x:c r="L184" s="12" t="str">
        <x:f>IF(A184="","Missing order ID; ","")&amp;IF(B184="","Missing school; ","")&amp;IF(C184="Review","Unmapped region; ","")&amp;IF(D184="","Missing product; ","")&amp;IF(OR(E184="",E184&lt;=0),"Invalid units; ","")&amp;IF(OR(F184="",F184&lt;=0),"Invalid amount; ","")&amp;IF(G184="","Invalid date; ","")&amp;IF(H184="Missing","Missing sales rep; ","")&amp;IF(I184="Review","Unmapped payment status; ","")&amp;IF(J184="Duplicate","Duplicate ID; ","")</x:f>
      </x:c>
      <x:c r="M184" t="str">
        <x:f>IF(K184=0,"Ready","Review")</x:f>
        <x:v>Ready</x:v>
      </x:c>
    </x:row>
    <x:row r="185">
      <x:c r="A185" t="str">
        <x:f>UPPER(TRIM('Raw Sales'!A185))</x:f>
        <x:v>SAL-26-0180</x:v>
      </x:c>
      <x:c r="B185" t="str">
        <x:f>PROPER(TRIM('Raw Sales'!B185))</x:f>
        <x:v>Northstar Academy</x:v>
      </x:c>
      <x:c r="C185" t="str">
        <x:f>IF(OR(UPPER(TRIM('Raw Sales'!C185))="BOCHUM",UPPER(TRIM('Raw Sales'!C185))="BOCHUM REGION"),"Bochum",IF(OR(UPPER(TRIM('Raw Sales'!C185))="ELDORADO",UPPER(TRIM('Raw Sales'!C185))="ELDOS"),"Eldorado","Review"))</x:f>
        <x:v>Bochum</x:v>
      </x:c>
      <x:c r="D185" t="str">
        <x:f>PROPER(TRIM('Raw Sales'!D185))</x:f>
        <x:v>Folders</x:v>
      </x:c>
      <x:c r="E185" s="8" t="n">
        <x:f>IFERROR(VALUE('Raw Sales'!E185),"")</x:f>
        <x:v>1</x:v>
      </x:c>
      <x:c r="F185" s="9" t="n">
        <x:v>188</x:v>
      </x:c>
      <x:c r="G185" s="10" t="n">
        <x:f>IFERROR(IF(OR(MID(TRIM('Raw Sales'!G185),5,1)="-",MID(TRIM('Raw Sales'!G185),5,1)="/"),DATE(VALUE(LEFT(TRIM('Raw Sales'!G185),4)),VALUE(MID(TRIM('Raw Sales'!G185),6,2)),VALUE(RIGHT(TRIM('Raw Sales'!G185),2))),IF(LEN(TRIM('Raw Sales'!G185))=10,DATE(VALUE(RIGHT(TRIM('Raw Sales'!G185),4)),VALUE(MID(TRIM('Raw Sales'!G185),4,2)),VALUE(LEFT(TRIM('Raw Sales'!G185),2))),IF(LEN(TRIM('Raw Sales'!G185))=8,DATE(2000+VALUE(RIGHT(TRIM('Raw Sales'!G185),2)),VALUE(MID(TRIM('Raw Sales'!G185),4,2)),VALUE(LEFT(TRIM('Raw Sales'!G185),2))),""))),"")</x:f>
        <x:v>46149</x:v>
      </x:c>
      <x:c r="H185" t="str">
        <x:f>IF(TRIM('Raw Sales'!H185)="","Missing",PROPER(TRIM('Raw Sales'!H185)))</x:f>
        <x:v>Lebo Nkosi</x:v>
      </x:c>
      <x:c r="I185" t="str">
        <x:f>IF(OR(UPPER(TRIM('Raw Sales'!I185))="PAID",UPPER(TRIM('Raw Sales'!I185))="SETTLED",UPPER(TRIM('Raw Sales'!I185))="COMPLETE"),"Paid",IF(UPPER(TRIM('Raw Sales'!I185))="PENDING","Pending","Review"))</x:f>
        <x:v>Paid</x:v>
      </x:c>
      <x:c r="J185" t="str">
        <x:f>IF(A185="","Missing",IF(COUNTIF($A$6:A185,A185)&gt;1,"Duplicate","Unique"))</x:f>
        <x:v>Unique</x:v>
      </x:c>
      <x:c r="K185" s="11" t="n">
        <x:f>IF(A185="",1,0)+IF(B185="",1,0)+IF(C185="Review",1,0)+IF(D185="",1,0)+IF(OR(E185="",E185&lt;=0),1,0)+IF(OR(F185="",F185&lt;=0),1,0)+IF(G185="",1,0)+IF(H185="Missing",1,0)+IF(I185="Review",1,0)+IF(J185="Duplicate",1,0)</x:f>
        <x:v>0</x:v>
      </x:c>
      <x:c r="L185" s="12" t="str">
        <x:f>IF(A185="","Missing order ID; ","")&amp;IF(B185="","Missing school; ","")&amp;IF(C185="Review","Unmapped region; ","")&amp;IF(D185="","Missing product; ","")&amp;IF(OR(E185="",E185&lt;=0),"Invalid units; ","")&amp;IF(OR(F185="",F185&lt;=0),"Invalid amount; ","")&amp;IF(G185="","Invalid date; ","")&amp;IF(H185="Missing","Missing sales rep; ","")&amp;IF(I185="Review","Unmapped payment status; ","")&amp;IF(J185="Duplicate","Duplicate ID; ","")</x:f>
      </x:c>
      <x:c r="M185" t="str">
        <x:f>IF(K185=0,"Ready","Review")</x:f>
        <x:v>Ready</x:v>
      </x:c>
    </x:row>
    <x:row r="186">
      <x:c r="A186" t="str">
        <x:f>UPPER(TRIM('Raw Sales'!A186))</x:f>
        <x:v>SAL-26-0181</x:v>
      </x:c>
      <x:c r="B186" t="str">
        <x:f>PROPER(TRIM('Raw Sales'!B186))</x:f>
        <x:v>Crescent Primary</x:v>
      </x:c>
      <x:c r="C186" t="str">
        <x:f>IF(OR(UPPER(TRIM('Raw Sales'!C186))="BOCHUM",UPPER(TRIM('Raw Sales'!C186))="BOCHUM REGION"),"Bochum",IF(OR(UPPER(TRIM('Raw Sales'!C186))="ELDORADO",UPPER(TRIM('Raw Sales'!C186))="ELDOS"),"Eldorado","Review"))</x:f>
        <x:v>Eldorado</x:v>
      </x:c>
      <x:c r="D186" t="str">
        <x:f>PROPER(TRIM('Raw Sales'!D186))</x:f>
        <x:v>Pens</x:v>
      </x:c>
      <x:c r="E186" s="8" t="n">
        <x:f>IFERROR(VALUE('Raw Sales'!E186),"")</x:f>
        <x:v>8</x:v>
      </x:c>
      <x:c r="F186" s="9" t="n">
        <x:v>160</x:v>
      </x:c>
      <x:c r="G186" s="10" t="n">
        <x:f>IFERROR(IF(OR(MID(TRIM('Raw Sales'!G186),5,1)="-",MID(TRIM('Raw Sales'!G186),5,1)="/"),DATE(VALUE(LEFT(TRIM('Raw Sales'!G186),4)),VALUE(MID(TRIM('Raw Sales'!G186),6,2)),VALUE(RIGHT(TRIM('Raw Sales'!G186),2))),IF(LEN(TRIM('Raw Sales'!G186))=10,DATE(VALUE(RIGHT(TRIM('Raw Sales'!G186),4)),VALUE(MID(TRIM('Raw Sales'!G186),4,2)),VALUE(LEFT(TRIM('Raw Sales'!G186),2))),IF(LEN(TRIM('Raw Sales'!G186))=8,DATE(2000+VALUE(RIGHT(TRIM('Raw Sales'!G186),2)),VALUE(MID(TRIM('Raw Sales'!G186),4,2)),VALUE(LEFT(TRIM('Raw Sales'!G186),2))),""))),"")</x:f>
        <x:v>46181</x:v>
      </x:c>
      <x:c r="H186" t="str">
        <x:f>IF(TRIM('Raw Sales'!H186)="","Missing",PROPER(TRIM('Raw Sales'!H186)))</x:f>
        <x:v>Thabo Ndlovu</x:v>
      </x:c>
      <x:c r="I186" t="str">
        <x:f>IF(OR(UPPER(TRIM('Raw Sales'!I186))="PAID",UPPER(TRIM('Raw Sales'!I186))="SETTLED",UPPER(TRIM('Raw Sales'!I186))="COMPLETE"),"Paid",IF(UPPER(TRIM('Raw Sales'!I186))="PENDING","Pending","Review"))</x:f>
        <x:v>Pending</x:v>
      </x:c>
      <x:c r="J186" t="str">
        <x:f>IF(A186="","Missing",IF(COUNTIF($A$6:A186,A186)&gt;1,"Duplicate","Unique"))</x:f>
        <x:v>Unique</x:v>
      </x:c>
      <x:c r="K186" s="11" t="n">
        <x:f>IF(A186="",1,0)+IF(B186="",1,0)+IF(C186="Review",1,0)+IF(D186="",1,0)+IF(OR(E186="",E186&lt;=0),1,0)+IF(OR(F186="",F186&lt;=0),1,0)+IF(G186="",1,0)+IF(H186="Missing",1,0)+IF(I186="Review",1,0)+IF(J186="Duplicate",1,0)</x:f>
        <x:v>0</x:v>
      </x:c>
      <x:c r="L186" s="12" t="str">
        <x:f>IF(A186="","Missing order ID; ","")&amp;IF(B186="","Missing school; ","")&amp;IF(C186="Review","Unmapped region; ","")&amp;IF(D186="","Missing product; ","")&amp;IF(OR(E186="",E186&lt;=0),"Invalid units; ","")&amp;IF(OR(F186="",F186&lt;=0),"Invalid amount; ","")&amp;IF(G186="","Invalid date; ","")&amp;IF(H186="Missing","Missing sales rep; ","")&amp;IF(I186="Review","Unmapped payment status; ","")&amp;IF(J186="Duplicate","Duplicate ID; ","")</x:f>
      </x:c>
      <x:c r="M186" t="str">
        <x:f>IF(K186=0,"Ready","Review")</x:f>
        <x:v>Ready</x:v>
      </x:c>
    </x:row>
    <x:row r="187">
      <x:c r="A187" t="str">
        <x:f>UPPER(TRIM('Raw Sales'!A187))</x:f>
        <x:v>SAL-26-0182</x:v>
      </x:c>
      <x:c r="B187" t="str">
        <x:f>PROPER(TRIM('Raw Sales'!B187))</x:f>
        <x:v>Hillview Primary</x:v>
      </x:c>
      <x:c r="C187" t="str">
        <x:f>IF(OR(UPPER(TRIM('Raw Sales'!C187))="BOCHUM",UPPER(TRIM('Raw Sales'!C187))="BOCHUM REGION"),"Bochum",IF(OR(UPPER(TRIM('Raw Sales'!C187))="ELDORADO",UPPER(TRIM('Raw Sales'!C187))="ELDOS"),"Eldorado","Review"))</x:f>
        <x:v>Bochum</x:v>
      </x:c>
      <x:c r="D187" t="str">
        <x:f>PROPER(TRIM('Raw Sales'!D187))</x:f>
        <x:v>Glue Sticks</x:v>
      </x:c>
      <x:c r="E187" s="8" t="n">
        <x:f>IFERROR(VALUE('Raw Sales'!E187),"")</x:f>
        <x:v>15</x:v>
      </x:c>
      <x:c r="F187" s="9" t="n">
        <x:v>495</x:v>
      </x:c>
      <x:c r="G187" s="10" t="n">
        <x:f>IFERROR(IF(OR(MID(TRIM('Raw Sales'!G187),5,1)="-",MID(TRIM('Raw Sales'!G187),5,1)="/"),DATE(VALUE(LEFT(TRIM('Raw Sales'!G187),4)),VALUE(MID(TRIM('Raw Sales'!G187),6,2)),VALUE(RIGHT(TRIM('Raw Sales'!G187),2))),IF(LEN(TRIM('Raw Sales'!G187))=10,DATE(VALUE(RIGHT(TRIM('Raw Sales'!G187),4)),VALUE(MID(TRIM('Raw Sales'!G187),4,2)),VALUE(LEFT(TRIM('Raw Sales'!G187),2))),IF(LEN(TRIM('Raw Sales'!G187))=8,DATE(2000+VALUE(RIGHT(TRIM('Raw Sales'!G187),2)),VALUE(MID(TRIM('Raw Sales'!G187),4,2)),VALUE(LEFT(TRIM('Raw Sales'!G187),2))),""))),"")</x:f>
        <x:v>46212</x:v>
      </x:c>
      <x:c r="H187" t="str">
        <x:f>IF(TRIM('Raw Sales'!H187)="","Missing",PROPER(TRIM('Raw Sales'!H187)))</x:f>
        <x:v>Lebo Nkosi</x:v>
      </x:c>
      <x:c r="I187" t="str">
        <x:f>IF(OR(UPPER(TRIM('Raw Sales'!I187))="PAID",UPPER(TRIM('Raw Sales'!I187))="SETTLED",UPPER(TRIM('Raw Sales'!I187))="COMPLETE"),"Paid",IF(UPPER(TRIM('Raw Sales'!I187))="PENDING","Pending","Review"))</x:f>
        <x:v>Paid</x:v>
      </x:c>
      <x:c r="J187" t="str">
        <x:f>IF(A187="","Missing",IF(COUNTIF($A$6:A187,A187)&gt;1,"Duplicate","Unique"))</x:f>
        <x:v>Unique</x:v>
      </x:c>
      <x:c r="K187" s="11" t="n">
        <x:f>IF(A187="",1,0)+IF(B187="",1,0)+IF(C187="Review",1,0)+IF(D187="",1,0)+IF(OR(E187="",E187&lt;=0),1,0)+IF(OR(F187="",F187&lt;=0),1,0)+IF(G187="",1,0)+IF(H187="Missing",1,0)+IF(I187="Review",1,0)+IF(J187="Duplicate",1,0)</x:f>
        <x:v>0</x:v>
      </x:c>
      <x:c r="L187" s="12" t="str">
        <x:f>IF(A187="","Missing order ID; ","")&amp;IF(B187="","Missing school; ","")&amp;IF(C187="Review","Unmapped region; ","")&amp;IF(D187="","Missing product; ","")&amp;IF(OR(E187="",E187&lt;=0),"Invalid units; ","")&amp;IF(OR(F187="",F187&lt;=0),"Invalid amount; ","")&amp;IF(G187="","Invalid date; ","")&amp;IF(H187="Missing","Missing sales rep; ","")&amp;IF(I187="Review","Unmapped payment status; ","")&amp;IF(J187="Duplicate","Duplicate ID; ","")</x:f>
      </x:c>
      <x:c r="M187" t="str">
        <x:f>IF(K187=0,"Ready","Review")</x:f>
        <x:v>Ready</x:v>
      </x:c>
    </x:row>
    <x:row r="188">
      <x:c r="A188" t="str">
        <x:f>UPPER(TRIM('Raw Sales'!A188))</x:f>
        <x:v>SAL-26-0183</x:v>
      </x:c>
      <x:c r="B188" t="str">
        <x:f>PROPER(TRIM('Raw Sales'!B188))</x:f>
        <x:v>Eastwood Academy</x:v>
      </x:c>
      <x:c r="C188" t="str">
        <x:f>IF(OR(UPPER(TRIM('Raw Sales'!C188))="BOCHUM",UPPER(TRIM('Raw Sales'!C188))="BOCHUM REGION"),"Bochum",IF(OR(UPPER(TRIM('Raw Sales'!C188))="ELDORADO",UPPER(TRIM('Raw Sales'!C188))="ELDOS"),"Eldorado","Review"))</x:f>
        <x:v>Eldorado</x:v>
      </x:c>
      <x:c r="D188" t="str">
        <x:f>PROPER(TRIM('Raw Sales'!D188))</x:f>
        <x:v>Markers</x:v>
      </x:c>
      <x:c r="E188" s="8" t="n">
        <x:f>IFERROR(VALUE('Raw Sales'!E188),"")</x:f>
        <x:v>22</x:v>
      </x:c>
      <x:c r="F188" s="9" t="n">
        <x:v>1012</x:v>
      </x:c>
      <x:c r="G188" s="10" t="n">
        <x:f>IFERROR(IF(OR(MID(TRIM('Raw Sales'!G188),5,1)="-",MID(TRIM('Raw Sales'!G188),5,1)="/"),DATE(VALUE(LEFT(TRIM('Raw Sales'!G188),4)),VALUE(MID(TRIM('Raw Sales'!G188),6,2)),VALUE(RIGHT(TRIM('Raw Sales'!G188),2))),IF(LEN(TRIM('Raw Sales'!G188))=10,DATE(VALUE(RIGHT(TRIM('Raw Sales'!G188),4)),VALUE(MID(TRIM('Raw Sales'!G188),4,2)),VALUE(LEFT(TRIM('Raw Sales'!G188),2))),IF(LEN(TRIM('Raw Sales'!G188))=8,DATE(2000+VALUE(RIGHT(TRIM('Raw Sales'!G188),2)),VALUE(MID(TRIM('Raw Sales'!G188),4,2)),VALUE(LEFT(TRIM('Raw Sales'!G188),2))),""))),"")</x:f>
        <x:v>46244</x:v>
      </x:c>
      <x:c r="H188" t="str">
        <x:f>IF(TRIM('Raw Sales'!H188)="","Missing",PROPER(TRIM('Raw Sales'!H188)))</x:f>
        <x:v>Thabo Ndlovu</x:v>
      </x:c>
      <x:c r="I188" t="str">
        <x:f>IF(OR(UPPER(TRIM('Raw Sales'!I188))="PAID",UPPER(TRIM('Raw Sales'!I188))="SETTLED",UPPER(TRIM('Raw Sales'!I188))="COMPLETE"),"Paid",IF(UPPER(TRIM('Raw Sales'!I188))="PENDING","Pending","Review"))</x:f>
        <x:v>Paid</x:v>
      </x:c>
      <x:c r="J188" t="str">
        <x:f>IF(A188="","Missing",IF(COUNTIF($A$6:A188,A188)&gt;1,"Duplicate","Unique"))</x:f>
        <x:v>Unique</x:v>
      </x:c>
      <x:c r="K188" s="11" t="n">
        <x:f>IF(A188="",1,0)+IF(B188="",1,0)+IF(C188="Review",1,0)+IF(D188="",1,0)+IF(OR(E188="",E188&lt;=0),1,0)+IF(OR(F188="",F188&lt;=0),1,0)+IF(G188="",1,0)+IF(H188="Missing",1,0)+IF(I188="Review",1,0)+IF(J188="Duplicate",1,0)</x:f>
        <x:v>0</x:v>
      </x:c>
      <x:c r="L188" s="12" t="str">
        <x:f>IF(A188="","Missing order ID; ","")&amp;IF(B188="","Missing school; ","")&amp;IF(C188="Review","Unmapped region; ","")&amp;IF(D188="","Missing product; ","")&amp;IF(OR(E188="",E188&lt;=0),"Invalid units; ","")&amp;IF(OR(F188="",F188&lt;=0),"Invalid amount; ","")&amp;IF(G188="","Invalid date; ","")&amp;IF(H188="Missing","Missing sales rep; ","")&amp;IF(I188="Review","Unmapped payment status; ","")&amp;IF(J188="Duplicate","Duplicate ID; ","")</x:f>
      </x:c>
      <x:c r="M188" t="str">
        <x:f>IF(K188=0,"Ready","Review")</x:f>
        <x:v>Ready</x:v>
      </x:c>
    </x:row>
    <x:row r="189">
      <x:c r="A189" t="str">
        <x:f>UPPER(TRIM('Raw Sales'!A189))</x:f>
        <x:v>SAL-26-0184</x:v>
      </x:c>
      <x:c r="B189" t="str">
        <x:f>PROPER(TRIM('Raw Sales'!B189))</x:f>
        <x:v>Lakeside School</x:v>
      </x:c>
      <x:c r="C189" t="str">
        <x:f>IF(OR(UPPER(TRIM('Raw Sales'!C189))="BOCHUM",UPPER(TRIM('Raw Sales'!C189))="BOCHUM REGION"),"Bochum",IF(OR(UPPER(TRIM('Raw Sales'!C189))="ELDORADO",UPPER(TRIM('Raw Sales'!C189))="ELDOS"),"Eldorado","Review"))</x:f>
        <x:v>Bochum</x:v>
      </x:c>
      <x:c r="D189" t="str">
        <x:f>PROPER(TRIM('Raw Sales'!D189))</x:f>
        <x:v>Notebooks</x:v>
      </x:c>
      <x:c r="E189" s="8" t="n">
        <x:f>IFERROR(VALUE('Raw Sales'!E189),"")</x:f>
        <x:v>29</x:v>
      </x:c>
      <x:c r="F189" s="9" t="n">
        <x:v>1711</x:v>
      </x:c>
      <x:c r="G189" s="10" t="n">
        <x:f>IFERROR(IF(OR(MID(TRIM('Raw Sales'!G189),5,1)="-",MID(TRIM('Raw Sales'!G189),5,1)="/"),DATE(VALUE(LEFT(TRIM('Raw Sales'!G189),4)),VALUE(MID(TRIM('Raw Sales'!G189),6,2)),VALUE(RIGHT(TRIM('Raw Sales'!G189),2))),IF(LEN(TRIM('Raw Sales'!G189))=10,DATE(VALUE(RIGHT(TRIM('Raw Sales'!G189),4)),VALUE(MID(TRIM('Raw Sales'!G189),4,2)),VALUE(LEFT(TRIM('Raw Sales'!G189),2))),IF(LEN(TRIM('Raw Sales'!G189))=8,DATE(2000+VALUE(RIGHT(TRIM('Raw Sales'!G189),2)),VALUE(MID(TRIM('Raw Sales'!G189),4,2)),VALUE(LEFT(TRIM('Raw Sales'!G189),2))),""))),"")</x:f>
        <x:v>46033</x:v>
      </x:c>
      <x:c r="H189" t="str">
        <x:f>IF(TRIM('Raw Sales'!H189)="","Missing",PROPER(TRIM('Raw Sales'!H189)))</x:f>
        <x:v>Missing</x:v>
      </x:c>
      <x:c r="I189" t="str">
        <x:f>IF(OR(UPPER(TRIM('Raw Sales'!I189))="PAID",UPPER(TRIM('Raw Sales'!I189))="SETTLED",UPPER(TRIM('Raw Sales'!I189))="COMPLETE"),"Paid",IF(UPPER(TRIM('Raw Sales'!I189))="PENDING","Pending","Review"))</x:f>
        <x:v>Pending</x:v>
      </x:c>
      <x:c r="J189" t="str">
        <x:f>IF(A189="","Missing",IF(COUNTIF($A$6:A189,A189)&gt;1,"Duplicate","Unique"))</x:f>
        <x:v>Unique</x:v>
      </x:c>
      <x:c r="K189" s="11" t="n">
        <x:f>IF(A189="",1,0)+IF(B189="",1,0)+IF(C189="Review",1,0)+IF(D189="",1,0)+IF(OR(E189="",E189&lt;=0),1,0)+IF(OR(F189="",F189&lt;=0),1,0)+IF(G189="",1,0)+IF(H189="Missing",1,0)+IF(I189="Review",1,0)+IF(J189="Duplicate",1,0)</x:f>
        <x:v>1</x:v>
      </x:c>
      <x:c r="L189" s="12" t="str">
        <x:f>IF(A189="","Missing order ID; ","")&amp;IF(B189="","Missing school; ","")&amp;IF(C189="Review","Unmapped region; ","")&amp;IF(D189="","Missing product; ","")&amp;IF(OR(E189="",E189&lt;=0),"Invalid units; ","")&amp;IF(OR(F189="",F189&lt;=0),"Invalid amount; ","")&amp;IF(G189="","Invalid date; ","")&amp;IF(H189="Missing","Missing sales rep; ","")&amp;IF(I189="Review","Unmapped payment status; ","")&amp;IF(J189="Duplicate","Duplicate ID; ","")</x:f>
        <x:v>Missing sales rep; </x:v>
      </x:c>
      <x:c r="M189" t="str">
        <x:f>IF(K189=0,"Ready","Review")</x:f>
        <x:v>Review</x:v>
      </x:c>
    </x:row>
    <x:row r="190">
      <x:c r="A190" t="str">
        <x:f>UPPER(TRIM('Raw Sales'!A190))</x:f>
        <x:v>SAL-26-0184</x:v>
      </x:c>
      <x:c r="B190" t="str">
        <x:f>PROPER(TRIM('Raw Sales'!B190))</x:f>
        <x:v>Valley Primary</x:v>
      </x:c>
      <x:c r="C190" t="str">
        <x:f>IF(OR(UPPER(TRIM('Raw Sales'!C190))="BOCHUM",UPPER(TRIM('Raw Sales'!C190))="BOCHUM REGION"),"Bochum",IF(OR(UPPER(TRIM('Raw Sales'!C190))="ELDORADO",UPPER(TRIM('Raw Sales'!C190))="ELDOS"),"Eldorado","Review"))</x:f>
        <x:v>Eldorado</x:v>
      </x:c>
      <x:c r="D190" t="str">
        <x:f>PROPER(TRIM('Raw Sales'!D190))</x:f>
        <x:v>Rulers</x:v>
      </x:c>
      <x:c r="E190" s="8" t="n">
        <x:f>IFERROR(VALUE('Raw Sales'!E190),"")</x:f>
        <x:v>36</x:v>
      </x:c>
      <x:c r="F190" s="9" t="n">
        <x:v>2592</x:v>
      </x:c>
      <x:c r="G190" s="10" t="n">
        <x:f>IFERROR(IF(OR(MID(TRIM('Raw Sales'!G190),5,1)="-",MID(TRIM('Raw Sales'!G190),5,1)="/"),DATE(VALUE(LEFT(TRIM('Raw Sales'!G190),4)),VALUE(MID(TRIM('Raw Sales'!G190),6,2)),VALUE(RIGHT(TRIM('Raw Sales'!G190),2))),IF(LEN(TRIM('Raw Sales'!G190))=10,DATE(VALUE(RIGHT(TRIM('Raw Sales'!G190),4)),VALUE(MID(TRIM('Raw Sales'!G190),4,2)),VALUE(LEFT(TRIM('Raw Sales'!G190),2))),IF(LEN(TRIM('Raw Sales'!G190))=8,DATE(2000+VALUE(RIGHT(TRIM('Raw Sales'!G190),2)),VALUE(MID(TRIM('Raw Sales'!G190),4,2)),VALUE(LEFT(TRIM('Raw Sales'!G190),2))),""))),"")</x:f>
        <x:v>46065</x:v>
      </x:c>
      <x:c r="H190" t="str">
        <x:f>IF(TRIM('Raw Sales'!H190)="","Missing",PROPER(TRIM('Raw Sales'!H190)))</x:f>
        <x:v>Thabo Ndlovu</x:v>
      </x:c>
      <x:c r="I190" t="str">
        <x:f>IF(OR(UPPER(TRIM('Raw Sales'!I190))="PAID",UPPER(TRIM('Raw Sales'!I190))="SETTLED",UPPER(TRIM('Raw Sales'!I190))="COMPLETE"),"Paid",IF(UPPER(TRIM('Raw Sales'!I190))="PENDING","Pending","Review"))</x:f>
        <x:v>Paid</x:v>
      </x:c>
      <x:c r="J190" t="str">
        <x:f>IF(A190="","Missing",IF(COUNTIF($A$6:A190,A190)&gt;1,"Duplicate","Unique"))</x:f>
        <x:v>Duplicate</x:v>
      </x:c>
      <x:c r="K190" s="11" t="n">
        <x:f>IF(A190="",1,0)+IF(B190="",1,0)+IF(C190="Review",1,0)+IF(D190="",1,0)+IF(OR(E190="",E190&lt;=0),1,0)+IF(OR(F190="",F190&lt;=0),1,0)+IF(G190="",1,0)+IF(H190="Missing",1,0)+IF(I190="Review",1,0)+IF(J190="Duplicate",1,0)</x:f>
        <x:v>1</x:v>
      </x:c>
      <x:c r="L190" s="12" t="str">
        <x:f>IF(A190="","Missing order ID; ","")&amp;IF(B190="","Missing school; ","")&amp;IF(C190="Review","Unmapped region; ","")&amp;IF(D190="","Missing product; ","")&amp;IF(OR(E190="",E190&lt;=0),"Invalid units; ","")&amp;IF(OR(F190="",F190&lt;=0),"Invalid amount; ","")&amp;IF(G190="","Invalid date; ","")&amp;IF(H190="Missing","Missing sales rep; ","")&amp;IF(I190="Review","Unmapped payment status; ","")&amp;IF(J190="Duplicate","Duplicate ID; ","")</x:f>
        <x:v>Duplicate ID; </x:v>
      </x:c>
      <x:c r="M190" t="str">
        <x:f>IF(K190=0,"Ready","Review")</x:f>
        <x:v>Review</x:v>
      </x:c>
    </x:row>
    <x:row r="191">
      <x:c r="A191" t="str">
        <x:f>UPPER(TRIM('Raw Sales'!A191))</x:f>
        <x:v>SAL-26-0186</x:v>
      </x:c>
      <x:c r="B191" t="str">
        <x:f>PROPER(TRIM('Raw Sales'!B191))</x:f>
        <x:v>Mhlabeni Secondary</x:v>
      </x:c>
      <x:c r="C191" t="str">
        <x:f>IF(OR(UPPER(TRIM('Raw Sales'!C191))="BOCHUM",UPPER(TRIM('Raw Sales'!C191))="BOCHUM REGION"),"Bochum",IF(OR(UPPER(TRIM('Raw Sales'!C191))="ELDORADO",UPPER(TRIM('Raw Sales'!C191))="ELDOS"),"Eldorado","Review"))</x:f>
        <x:v>Eldorado</x:v>
      </x:c>
      <x:c r="D191" t="str">
        <x:f>PROPER(TRIM('Raw Sales'!D191))</x:f>
        <x:v>Exercise Books</x:v>
      </x:c>
      <x:c r="E191" s="8" t="n">
        <x:f>IFERROR(VALUE('Raw Sales'!E191),"")</x:f>
        <x:v>0</x:v>
      </x:c>
      <x:c r="F191" s="9" t="n">
        <x:v>595</x:v>
      </x:c>
      <x:c r="G191" s="10" t="str">
        <x:f>IFERROR(IF(OR(MID(TRIM('Raw Sales'!G191),5,1)="-",MID(TRIM('Raw Sales'!G191),5,1)="/"),DATE(VALUE(LEFT(TRIM('Raw Sales'!G191),4)),VALUE(MID(TRIM('Raw Sales'!G191),6,2)),VALUE(RIGHT(TRIM('Raw Sales'!G191),2))),IF(LEN(TRIM('Raw Sales'!G191))=10,DATE(VALUE(RIGHT(TRIM('Raw Sales'!G191),4)),VALUE(MID(TRIM('Raw Sales'!G191),4,2)),VALUE(LEFT(TRIM('Raw Sales'!G191),2))),IF(LEN(TRIM('Raw Sales'!G191))=8,DATE(2000+VALUE(RIGHT(TRIM('Raw Sales'!G191),2)),VALUE(MID(TRIM('Raw Sales'!G191),4,2)),VALUE(LEFT(TRIM('Raw Sales'!G191),2))),""))),"")</x:f>
      </x:c>
      <x:c r="H191" t="str">
        <x:f>IF(TRIM('Raw Sales'!H191)="","Missing",PROPER(TRIM('Raw Sales'!H191)))</x:f>
        <x:v>Lebo Nkosi</x:v>
      </x:c>
      <x:c r="I191" t="str">
        <x:f>IF(OR(UPPER(TRIM('Raw Sales'!I191))="PAID",UPPER(TRIM('Raw Sales'!I191))="SETTLED",UPPER(TRIM('Raw Sales'!I191))="COMPLETE"),"Paid",IF(UPPER(TRIM('Raw Sales'!I191))="PENDING","Pending","Review"))</x:f>
        <x:v>Paid</x:v>
      </x:c>
      <x:c r="J191" t="str">
        <x:f>IF(A191="","Missing",IF(COUNTIF($A$6:A191,A191)&gt;1,"Duplicate","Unique"))</x:f>
        <x:v>Unique</x:v>
      </x:c>
      <x:c r="K191" s="11" t="n">
        <x:f>IF(A191="",1,0)+IF(B191="",1,0)+IF(C191="Review",1,0)+IF(D191="",1,0)+IF(OR(E191="",E191&lt;=0),1,0)+IF(OR(F191="",F191&lt;=0),1,0)+IF(G191="",1,0)+IF(H191="Missing",1,0)+IF(I191="Review",1,0)+IF(J191="Duplicate",1,0)</x:f>
        <x:v>2</x:v>
      </x:c>
      <x:c r="L191" s="12" t="str">
        <x:f>IF(A191="","Missing order ID; ","")&amp;IF(B191="","Missing school; ","")&amp;IF(C191="Review","Unmapped region; ","")&amp;IF(D191="","Missing product; ","")&amp;IF(OR(E191="",E191&lt;=0),"Invalid units; ","")&amp;IF(OR(F191="",F191&lt;=0),"Invalid amount; ","")&amp;IF(G191="","Invalid date; ","")&amp;IF(H191="Missing","Missing sales rep; ","")&amp;IF(I191="Review","Unmapped payment status; ","")&amp;IF(J191="Duplicate","Duplicate ID; ","")</x:f>
        <x:v>Invalid units; Invalid date; </x:v>
      </x:c>
      <x:c r="M191" t="str">
        <x:f>IF(K191=0,"Ready","Review")</x:f>
        <x:v>Review</x:v>
      </x:c>
    </x:row>
    <x:row r="192">
      <x:c r="A192" t="str">
        <x:f>UPPER(TRIM('Raw Sales'!A192))</x:f>
        <x:v>SAL-26-0187</x:v>
      </x:c>
      <x:c r="B192" t="str">
        <x:f>PROPER(TRIM('Raw Sales'!B192))</x:f>
        <x:v>Meadowlands School</x:v>
      </x:c>
      <x:c r="C192" t="str">
        <x:f>IF(OR(UPPER(TRIM('Raw Sales'!C192))="BOCHUM",UPPER(TRIM('Raw Sales'!C192))="BOCHUM REGION"),"Bochum",IF(OR(UPPER(TRIM('Raw Sales'!C192))="ELDORADO",UPPER(TRIM('Raw Sales'!C192))="ELDOS"),"Eldorado","Review"))</x:f>
        <x:v>Bochum</x:v>
      </x:c>
      <x:c r="D192" t="str">
        <x:f>PROPER(TRIM('Raw Sales'!D192))</x:f>
        <x:v>Pencils</x:v>
      </x:c>
      <x:c r="E192" s="8" t="n">
        <x:f>IFERROR(VALUE('Raw Sales'!E192),"")</x:f>
        <x:v>14</x:v>
      </x:c>
      <x:c r="F192" s="9" t="n">
        <x:v>1372</x:v>
      </x:c>
      <x:c r="G192" s="10" t="n">
        <x:f>IFERROR(IF(OR(MID(TRIM('Raw Sales'!G192),5,1)="-",MID(TRIM('Raw Sales'!G192),5,1)="/"),DATE(VALUE(LEFT(TRIM('Raw Sales'!G192),4)),VALUE(MID(TRIM('Raw Sales'!G192),6,2)),VALUE(RIGHT(TRIM('Raw Sales'!G192),2))),IF(LEN(TRIM('Raw Sales'!G192))=10,DATE(VALUE(RIGHT(TRIM('Raw Sales'!G192),4)),VALUE(MID(TRIM('Raw Sales'!G192),4,2)),VALUE(LEFT(TRIM('Raw Sales'!G192),2))),IF(LEN(TRIM('Raw Sales'!G192))=8,DATE(2000+VALUE(RIGHT(TRIM('Raw Sales'!G192),2)),VALUE(MID(TRIM('Raw Sales'!G192),4,2)),VALUE(LEFT(TRIM('Raw Sales'!G192),2))),""))),"")</x:f>
        <x:v>46126</x:v>
      </x:c>
      <x:c r="H192" t="str">
        <x:f>IF(TRIM('Raw Sales'!H192)="","Missing",PROPER(TRIM('Raw Sales'!H192)))</x:f>
        <x:v>Thabo Ndlovu</x:v>
      </x:c>
      <x:c r="I192" t="str">
        <x:f>IF(OR(UPPER(TRIM('Raw Sales'!I192))="PAID",UPPER(TRIM('Raw Sales'!I192))="SETTLED",UPPER(TRIM('Raw Sales'!I192))="COMPLETE"),"Paid",IF(UPPER(TRIM('Raw Sales'!I192))="PENDING","Pending","Review"))</x:f>
        <x:v>Pending</x:v>
      </x:c>
      <x:c r="J192" t="str">
        <x:f>IF(A192="","Missing",IF(COUNTIF($A$6:A192,A192)&gt;1,"Duplicate","Unique"))</x:f>
        <x:v>Unique</x:v>
      </x:c>
      <x:c r="K192" s="11" t="n">
        <x:f>IF(A192="",1,0)+IF(B192="",1,0)+IF(C192="Review",1,0)+IF(D192="",1,0)+IF(OR(E192="",E192&lt;=0),1,0)+IF(OR(F192="",F192&lt;=0),1,0)+IF(G192="",1,0)+IF(H192="Missing",1,0)+IF(I192="Review",1,0)+IF(J192="Duplicate",1,0)</x:f>
        <x:v>0</x:v>
      </x:c>
      <x:c r="L192" s="12" t="str">
        <x:f>IF(A192="","Missing order ID; ","")&amp;IF(B192="","Missing school; ","")&amp;IF(C192="Review","Unmapped region; ","")&amp;IF(D192="","Missing product; ","")&amp;IF(OR(E192="",E192&lt;=0),"Invalid units; ","")&amp;IF(OR(F192="",F192&lt;=0),"Invalid amount; ","")&amp;IF(G192="","Invalid date; ","")&amp;IF(H192="Missing","Missing sales rep; ","")&amp;IF(I192="Review","Unmapped payment status; ","")&amp;IF(J192="Duplicate","Duplicate ID; ","")</x:f>
      </x:c>
      <x:c r="M192" t="str">
        <x:f>IF(K192=0,"Ready","Review")</x:f>
        <x:v>Ready</x:v>
      </x:c>
    </x:row>
    <x:row r="193">
      <x:c r="A193" t="str">
        <x:f>UPPER(TRIM('Raw Sales'!A193))</x:f>
        <x:v>SAL-26-0188</x:v>
      </x:c>
      <x:c r="B193" t="str">
        <x:f>PROPER(TRIM('Raw Sales'!B193))</x:f>
        <x:v>Gardenview School</x:v>
      </x:c>
      <x:c r="C193" t="str">
        <x:f>IF(OR(UPPER(TRIM('Raw Sales'!C193))="BOCHUM",UPPER(TRIM('Raw Sales'!C193))="BOCHUM REGION"),"Bochum",IF(OR(UPPER(TRIM('Raw Sales'!C193))="ELDORADO",UPPER(TRIM('Raw Sales'!C193))="ELDOS"),"Eldorado","Review"))</x:f>
        <x:v>Review</x:v>
      </x:c>
      <x:c r="D193" t="str">
        <x:f>PROPER(TRIM('Raw Sales'!D193))</x:f>
        <x:v>Folders</x:v>
      </x:c>
      <x:c r="E193" s="8" t="n">
        <x:f>IFERROR(VALUE('Raw Sales'!E193),"")</x:f>
        <x:v>21</x:v>
      </x:c>
      <x:c r="F193" s="9" t="n">
        <x:v>-300</x:v>
      </x:c>
      <x:c r="G193" s="10" t="n">
        <x:f>IFERROR(IF(OR(MID(TRIM('Raw Sales'!G193),5,1)="-",MID(TRIM('Raw Sales'!G193),5,1)="/"),DATE(VALUE(LEFT(TRIM('Raw Sales'!G193),4)),VALUE(MID(TRIM('Raw Sales'!G193),6,2)),VALUE(RIGHT(TRIM('Raw Sales'!G193),2))),IF(LEN(TRIM('Raw Sales'!G193))=10,DATE(VALUE(RIGHT(TRIM('Raw Sales'!G193),4)),VALUE(MID(TRIM('Raw Sales'!G193),4,2)),VALUE(LEFT(TRIM('Raw Sales'!G193),2))),IF(LEN(TRIM('Raw Sales'!G193))=8,DATE(2000+VALUE(RIGHT(TRIM('Raw Sales'!G193),2)),VALUE(MID(TRIM('Raw Sales'!G193),4,2)),VALUE(LEFT(TRIM('Raw Sales'!G193),2))),""))),"")</x:f>
        <x:v>46157</x:v>
      </x:c>
      <x:c r="H193" t="str">
        <x:f>IF(TRIM('Raw Sales'!H193)="","Missing",PROPER(TRIM('Raw Sales'!H193)))</x:f>
        <x:v>Lebo Nkosi</x:v>
      </x:c>
      <x:c r="I193" t="str">
        <x:f>IF(OR(UPPER(TRIM('Raw Sales'!I193))="PAID",UPPER(TRIM('Raw Sales'!I193))="SETTLED",UPPER(TRIM('Raw Sales'!I193))="COMPLETE"),"Paid",IF(UPPER(TRIM('Raw Sales'!I193))="PENDING","Pending","Review"))</x:f>
        <x:v>Paid</x:v>
      </x:c>
      <x:c r="J193" t="str">
        <x:f>IF(A193="","Missing",IF(COUNTIF($A$6:A193,A193)&gt;1,"Duplicate","Unique"))</x:f>
        <x:v>Unique</x:v>
      </x:c>
      <x:c r="K193" s="11" t="n">
        <x:f>IF(A193="",1,0)+IF(B193="",1,0)+IF(C193="Review",1,0)+IF(D193="",1,0)+IF(OR(E193="",E193&lt;=0),1,0)+IF(OR(F193="",F193&lt;=0),1,0)+IF(G193="",1,0)+IF(H193="Missing",1,0)+IF(I193="Review",1,0)+IF(J193="Duplicate",1,0)</x:f>
        <x:v>2</x:v>
      </x:c>
      <x:c r="L193" s="12" t="str">
        <x:f>IF(A193="","Missing order ID; ","")&amp;IF(B193="","Missing school; ","")&amp;IF(C193="Review","Unmapped region; ","")&amp;IF(D193="","Missing product; ","")&amp;IF(OR(E193="",E193&lt;=0),"Invalid units; ","")&amp;IF(OR(F193="",F193&lt;=0),"Invalid amount; ","")&amp;IF(G193="","Invalid date; ","")&amp;IF(H193="Missing","Missing sales rep; ","")&amp;IF(I193="Review","Unmapped payment status; ","")&amp;IF(J193="Duplicate","Duplicate ID; ","")</x:f>
        <x:v>Unmapped region; Invalid amount; </x:v>
      </x:c>
      <x:c r="M193" t="str">
        <x:f>IF(K193=0,"Ready","Review")</x:f>
        <x:v>Review</x:v>
      </x:c>
    </x:row>
    <x:row r="194">
      <x:c r="A194" t="str">
        <x:f>UPPER(TRIM('Raw Sales'!A194))</x:f>
        <x:v>SAL-26-0189</x:v>
      </x:c>
      <x:c r="B194" t="str">
        <x:f>PROPER(TRIM('Raw Sales'!B194))</x:f>
        <x:v>Riverside Academy</x:v>
      </x:c>
      <x:c r="C194" t="str">
        <x:f>IF(OR(UPPER(TRIM('Raw Sales'!C194))="BOCHUM",UPPER(TRIM('Raw Sales'!C194))="BOCHUM REGION"),"Bochum",IF(OR(UPPER(TRIM('Raw Sales'!C194))="ELDORADO",UPPER(TRIM('Raw Sales'!C194))="ELDOS"),"Eldorado","Review"))</x:f>
        <x:v>Bochum</x:v>
      </x:c>
      <x:c r="D194" t="str">
        <x:f>PROPER(TRIM('Raw Sales'!D194))</x:f>
        <x:v>Pens</x:v>
      </x:c>
      <x:c r="E194" s="8" t="n">
        <x:f>IFERROR(VALUE('Raw Sales'!E194),"")</x:f>
        <x:v>28</x:v>
      </x:c>
      <x:c r="F194" s="9" t="n">
        <x:v>3472</x:v>
      </x:c>
      <x:c r="G194" s="10" t="n">
        <x:f>IFERROR(IF(OR(MID(TRIM('Raw Sales'!G194),5,1)="-",MID(TRIM('Raw Sales'!G194),5,1)="/"),DATE(VALUE(LEFT(TRIM('Raw Sales'!G194),4)),VALUE(MID(TRIM('Raw Sales'!G194),6,2)),VALUE(RIGHT(TRIM('Raw Sales'!G194),2))),IF(LEN(TRIM('Raw Sales'!G194))=10,DATE(VALUE(RIGHT(TRIM('Raw Sales'!G194),4)),VALUE(MID(TRIM('Raw Sales'!G194),4,2)),VALUE(LEFT(TRIM('Raw Sales'!G194),2))),IF(LEN(TRIM('Raw Sales'!G194))=8,DATE(2000+VALUE(RIGHT(TRIM('Raw Sales'!G194),2)),VALUE(MID(TRIM('Raw Sales'!G194),4,2)),VALUE(LEFT(TRIM('Raw Sales'!G194),2))),""))),"")</x:f>
        <x:v>46189</x:v>
      </x:c>
      <x:c r="H194" t="str">
        <x:f>IF(TRIM('Raw Sales'!H194)="","Missing",PROPER(TRIM('Raw Sales'!H194)))</x:f>
        <x:v>Thabo Ndlovu</x:v>
      </x:c>
      <x:c r="I194" t="str">
        <x:f>IF(OR(UPPER(TRIM('Raw Sales'!I194))="PAID",UPPER(TRIM('Raw Sales'!I194))="SETTLED",UPPER(TRIM('Raw Sales'!I194))="COMPLETE"),"Paid",IF(UPPER(TRIM('Raw Sales'!I194))="PENDING","Pending","Review"))</x:f>
        <x:v>Pending</x:v>
      </x:c>
      <x:c r="J194" t="str">
        <x:f>IF(A194="","Missing",IF(COUNTIF($A$6:A194,A194)&gt;1,"Duplicate","Unique"))</x:f>
        <x:v>Unique</x:v>
      </x:c>
      <x:c r="K194" s="11" t="n">
        <x:f>IF(A194="",1,0)+IF(B194="",1,0)+IF(C194="Review",1,0)+IF(D194="",1,0)+IF(OR(E194="",E194&lt;=0),1,0)+IF(OR(F194="",F194&lt;=0),1,0)+IF(G194="",1,0)+IF(H194="Missing",1,0)+IF(I194="Review",1,0)+IF(J194="Duplicate",1,0)</x:f>
        <x:v>0</x:v>
      </x:c>
      <x:c r="L194" s="12" t="str">
        <x:f>IF(A194="","Missing order ID; ","")&amp;IF(B194="","Missing school; ","")&amp;IF(C194="Review","Unmapped region; ","")&amp;IF(D194="","Missing product; ","")&amp;IF(OR(E194="",E194&lt;=0),"Invalid units; ","")&amp;IF(OR(F194="",F194&lt;=0),"Invalid amount; ","")&amp;IF(G194="","Invalid date; ","")&amp;IF(H194="Missing","Missing sales rep; ","")&amp;IF(I194="Review","Unmapped payment status; ","")&amp;IF(J194="Duplicate","Duplicate ID; ","")</x:f>
      </x:c>
      <x:c r="M194" t="str">
        <x:f>IF(K194=0,"Ready","Review")</x:f>
        <x:v>Ready</x:v>
      </x:c>
    </x:row>
    <x:row r="195">
      <x:c r="A195" t="str">
        <x:f>UPPER(TRIM('Raw Sales'!A195))</x:f>
        <x:v>SAL-26-0190</x:v>
      </x:c>
      <x:c r="B195" t="str">
        <x:f>PROPER(TRIM('Raw Sales'!B195))</x:f>
        <x:v>Maple Secondary</x:v>
      </x:c>
      <x:c r="C195" t="str">
        <x:f>IF(OR(UPPER(TRIM('Raw Sales'!C195))="BOCHUM",UPPER(TRIM('Raw Sales'!C195))="BOCHUM REGION"),"Bochum",IF(OR(UPPER(TRIM('Raw Sales'!C195))="ELDORADO",UPPER(TRIM('Raw Sales'!C195))="ELDOS"),"Eldorado","Review"))</x:f>
        <x:v>Eldorado</x:v>
      </x:c>
      <x:c r="D195" t="str">
        <x:f>PROPER(TRIM('Raw Sales'!D195))</x:f>
        <x:v>Glue Sticks</x:v>
      </x:c>
      <x:c r="E195" s="8" t="n">
        <x:f>IFERROR(VALUE('Raw Sales'!E195),"")</x:f>
        <x:v>35</x:v>
      </x:c>
      <x:c r="F195" s="9" t="n">
        <x:v>4795</x:v>
      </x:c>
      <x:c r="G195" s="10" t="n">
        <x:f>IFERROR(IF(OR(MID(TRIM('Raw Sales'!G195),5,1)="-",MID(TRIM('Raw Sales'!G195),5,1)="/"),DATE(VALUE(LEFT(TRIM('Raw Sales'!G195),4)),VALUE(MID(TRIM('Raw Sales'!G195),6,2)),VALUE(RIGHT(TRIM('Raw Sales'!G195),2))),IF(LEN(TRIM('Raw Sales'!G195))=10,DATE(VALUE(RIGHT(TRIM('Raw Sales'!G195),4)),VALUE(MID(TRIM('Raw Sales'!G195),4,2)),VALUE(LEFT(TRIM('Raw Sales'!G195),2))),IF(LEN(TRIM('Raw Sales'!G195))=8,DATE(2000+VALUE(RIGHT(TRIM('Raw Sales'!G195),2)),VALUE(MID(TRIM('Raw Sales'!G195),4,2)),VALUE(LEFT(TRIM('Raw Sales'!G195),2))),""))),"")</x:f>
        <x:v>46220</x:v>
      </x:c>
      <x:c r="H195" t="str">
        <x:f>IF(TRIM('Raw Sales'!H195)="","Missing",PROPER(TRIM('Raw Sales'!H195)))</x:f>
        <x:v>Lebo Nkosi</x:v>
      </x:c>
      <x:c r="I195" t="str">
        <x:f>IF(OR(UPPER(TRIM('Raw Sales'!I195))="PAID",UPPER(TRIM('Raw Sales'!I195))="SETTLED",UPPER(TRIM('Raw Sales'!I195))="COMPLETE"),"Paid",IF(UPPER(TRIM('Raw Sales'!I195))="PENDING","Pending","Review"))</x:f>
        <x:v>Paid</x:v>
      </x:c>
      <x:c r="J195" t="str">
        <x:f>IF(A195="","Missing",IF(COUNTIF($A$6:A195,A195)&gt;1,"Duplicate","Unique"))</x:f>
        <x:v>Unique</x:v>
      </x:c>
      <x:c r="K195" s="11" t="n">
        <x:f>IF(A195="",1,0)+IF(B195="",1,0)+IF(C195="Review",1,0)+IF(D195="",1,0)+IF(OR(E195="",E195&lt;=0),1,0)+IF(OR(F195="",F195&lt;=0),1,0)+IF(G195="",1,0)+IF(H195="Missing",1,0)+IF(I195="Review",1,0)+IF(J195="Duplicate",1,0)</x:f>
        <x:v>0</x:v>
      </x:c>
      <x:c r="L195" s="12" t="str">
        <x:f>IF(A195="","Missing order ID; ","")&amp;IF(B195="","Missing school; ","")&amp;IF(C195="Review","Unmapped region; ","")&amp;IF(D195="","Missing product; ","")&amp;IF(OR(E195="",E195&lt;=0),"Invalid units; ","")&amp;IF(OR(F195="",F195&lt;=0),"Invalid amount; ","")&amp;IF(G195="","Invalid date; ","")&amp;IF(H195="Missing","Missing sales rep; ","")&amp;IF(I195="Review","Unmapped payment status; ","")&amp;IF(J195="Duplicate","Duplicate ID; ","")</x:f>
      </x:c>
      <x:c r="M195" t="str">
        <x:f>IF(K195=0,"Ready","Review")</x:f>
        <x:v>Ready</x:v>
      </x:c>
    </x:row>
    <x:row r="196">
      <x:c r="A196" t="str">
        <x:f>UPPER(TRIM('Raw Sales'!A196))</x:f>
        <x:v>SAL-26-0191</x:v>
      </x:c>
      <x:c r="B196" t="str">
        <x:f>PROPER(TRIM('Raw Sales'!B196))</x:f>
        <x:v>Pinecrest School</x:v>
      </x:c>
      <x:c r="C196" t="str">
        <x:f>IF(OR(UPPER(TRIM('Raw Sales'!C196))="BOCHUM",UPPER(TRIM('Raw Sales'!C196))="BOCHUM REGION"),"Bochum",IF(OR(UPPER(TRIM('Raw Sales'!C196))="ELDORADO",UPPER(TRIM('Raw Sales'!C196))="ELDOS"),"Eldorado","Review"))</x:f>
        <x:v>Bochum</x:v>
      </x:c>
      <x:c r="D196" t="str">
        <x:f>PROPER(TRIM('Raw Sales'!D196))</x:f>
        <x:v>Markers</x:v>
      </x:c>
      <x:c r="E196" s="8" t="n">
        <x:f>IFERROR(VALUE('Raw Sales'!E196),"")</x:f>
        <x:v>6</x:v>
      </x:c>
      <x:c r="F196" s="9" t="n">
        <x:v>900</x:v>
      </x:c>
      <x:c r="G196" s="10" t="n">
        <x:f>IFERROR(IF(OR(MID(TRIM('Raw Sales'!G196),5,1)="-",MID(TRIM('Raw Sales'!G196),5,1)="/"),DATE(VALUE(LEFT(TRIM('Raw Sales'!G196),4)),VALUE(MID(TRIM('Raw Sales'!G196),6,2)),VALUE(RIGHT(TRIM('Raw Sales'!G196),2))),IF(LEN(TRIM('Raw Sales'!G196))=10,DATE(VALUE(RIGHT(TRIM('Raw Sales'!G196),4)),VALUE(MID(TRIM('Raw Sales'!G196),4,2)),VALUE(LEFT(TRIM('Raw Sales'!G196),2))),IF(LEN(TRIM('Raw Sales'!G196))=8,DATE(2000+VALUE(RIGHT(TRIM('Raw Sales'!G196),2)),VALUE(MID(TRIM('Raw Sales'!G196),4,2)),VALUE(LEFT(TRIM('Raw Sales'!G196),2))),""))),"")</x:f>
        <x:v>46252</x:v>
      </x:c>
      <x:c r="H196" t="str">
        <x:f>IF(TRIM('Raw Sales'!H196)="","Missing",PROPER(TRIM('Raw Sales'!H196)))</x:f>
        <x:v>Thabo Ndlovu</x:v>
      </x:c>
      <x:c r="I196" t="str">
        <x:f>IF(OR(UPPER(TRIM('Raw Sales'!I196))="PAID",UPPER(TRIM('Raw Sales'!I196))="SETTLED",UPPER(TRIM('Raw Sales'!I196))="COMPLETE"),"Paid",IF(UPPER(TRIM('Raw Sales'!I196))="PENDING","Pending","Review"))</x:f>
        <x:v>Paid</x:v>
      </x:c>
      <x:c r="J196" t="str">
        <x:f>IF(A196="","Missing",IF(COUNTIF($A$6:A196,A196)&gt;1,"Duplicate","Unique"))</x:f>
        <x:v>Unique</x:v>
      </x:c>
      <x:c r="K196" s="11" t="n">
        <x:f>IF(A196="",1,0)+IF(B196="",1,0)+IF(C196="Review",1,0)+IF(D196="",1,0)+IF(OR(E196="",E196&lt;=0),1,0)+IF(OR(F196="",F196&lt;=0),1,0)+IF(G196="",1,0)+IF(H196="Missing",1,0)+IF(I196="Review",1,0)+IF(J196="Duplicate",1,0)</x:f>
        <x:v>0</x:v>
      </x:c>
      <x:c r="L196" s="12" t="str">
        <x:f>IF(A196="","Missing order ID; ","")&amp;IF(B196="","Missing school; ","")&amp;IF(C196="Review","Unmapped region; ","")&amp;IF(D196="","Missing product; ","")&amp;IF(OR(E196="",E196&lt;=0),"Invalid units; ","")&amp;IF(OR(F196="",F196&lt;=0),"Invalid amount; ","")&amp;IF(G196="","Invalid date; ","")&amp;IF(H196="Missing","Missing sales rep; ","")&amp;IF(I196="Review","Unmapped payment status; ","")&amp;IF(J196="Duplicate","Duplicate ID; ","")</x:f>
      </x:c>
      <x:c r="M196" t="str">
        <x:f>IF(K196=0,"Ready","Review")</x:f>
        <x:v>Ready</x:v>
      </x:c>
    </x:row>
    <x:row r="197">
      <x:c r="A197" t="str">
        <x:f>UPPER(TRIM('Raw Sales'!A197))</x:f>
        <x:v>SAL-26-0192</x:v>
      </x:c>
      <x:c r="B197" t="str">
        <x:f>PROPER(TRIM('Raw Sales'!B197))</x:f>
        <x:v>Northstar Academy</x:v>
      </x:c>
      <x:c r="C197" t="str">
        <x:f>IF(OR(UPPER(TRIM('Raw Sales'!C197))="BOCHUM",UPPER(TRIM('Raw Sales'!C197))="BOCHUM REGION"),"Bochum",IF(OR(UPPER(TRIM('Raw Sales'!C197))="ELDORADO",UPPER(TRIM('Raw Sales'!C197))="ELDOS"),"Eldorado","Review"))</x:f>
        <x:v>Bochum</x:v>
      </x:c>
      <x:c r="D197" t="str">
        <x:f>PROPER(TRIM('Raw Sales'!D197))</x:f>
        <x:v>Notebooks</x:v>
      </x:c>
      <x:c r="E197" s="8" t="n">
        <x:f>IFERROR(VALUE('Raw Sales'!E197),"")</x:f>
        <x:v>13</x:v>
      </x:c>
      <x:c r="F197" s="9" t="n">
        <x:v>2119</x:v>
      </x:c>
      <x:c r="G197" s="10" t="n">
        <x:f>IFERROR(IF(OR(MID(TRIM('Raw Sales'!G197),5,1)="-",MID(TRIM('Raw Sales'!G197),5,1)="/"),DATE(VALUE(LEFT(TRIM('Raw Sales'!G197),4)),VALUE(MID(TRIM('Raw Sales'!G197),6,2)),VALUE(RIGHT(TRIM('Raw Sales'!G197),2))),IF(LEN(TRIM('Raw Sales'!G197))=10,DATE(VALUE(RIGHT(TRIM('Raw Sales'!G197),4)),VALUE(MID(TRIM('Raw Sales'!G197),4,2)),VALUE(LEFT(TRIM('Raw Sales'!G197),2))),IF(LEN(TRIM('Raw Sales'!G197))=8,DATE(2000+VALUE(RIGHT(TRIM('Raw Sales'!G197),2)),VALUE(MID(TRIM('Raw Sales'!G197),4,2)),VALUE(LEFT(TRIM('Raw Sales'!G197),2))),""))),"")</x:f>
        <x:v>46041</x:v>
      </x:c>
      <x:c r="H197" t="str">
        <x:f>IF(TRIM('Raw Sales'!H197)="","Missing",PROPER(TRIM('Raw Sales'!H197)))</x:f>
        <x:v>Lebo Nkosi</x:v>
      </x:c>
      <x:c r="I197" t="str">
        <x:f>IF(OR(UPPER(TRIM('Raw Sales'!I197))="PAID",UPPER(TRIM('Raw Sales'!I197))="SETTLED",UPPER(TRIM('Raw Sales'!I197))="COMPLETE"),"Paid",IF(UPPER(TRIM('Raw Sales'!I197))="PENDING","Pending","Review"))</x:f>
        <x:v>Paid</x:v>
      </x:c>
      <x:c r="J197" t="str">
        <x:f>IF(A197="","Missing",IF(COUNTIF($A$6:A197,A197)&gt;1,"Duplicate","Unique"))</x:f>
        <x:v>Unique</x:v>
      </x:c>
      <x:c r="K197" s="11" t="n">
        <x:f>IF(A197="",1,0)+IF(B197="",1,0)+IF(C197="Review",1,0)+IF(D197="",1,0)+IF(OR(E197="",E197&lt;=0),1,0)+IF(OR(F197="",F197&lt;=0),1,0)+IF(G197="",1,0)+IF(H197="Missing",1,0)+IF(I197="Review",1,0)+IF(J197="Duplicate",1,0)</x:f>
        <x:v>0</x:v>
      </x:c>
      <x:c r="L197" s="12" t="str">
        <x:f>IF(A197="","Missing order ID; ","")&amp;IF(B197="","Missing school; ","")&amp;IF(C197="Review","Unmapped region; ","")&amp;IF(D197="","Missing product; ","")&amp;IF(OR(E197="",E197&lt;=0),"Invalid units; ","")&amp;IF(OR(F197="",F197&lt;=0),"Invalid amount; ","")&amp;IF(G197="","Invalid date; ","")&amp;IF(H197="Missing","Missing sales rep; ","")&amp;IF(I197="Review","Unmapped payment status; ","")&amp;IF(J197="Duplicate","Duplicate ID; ","")</x:f>
      </x:c>
      <x:c r="M197" t="str">
        <x:f>IF(K197=0,"Ready","Review")</x:f>
        <x:v>Ready</x:v>
      </x:c>
    </x:row>
    <x:row r="198">
      <x:c r="A198" t="str">
        <x:f>UPPER(TRIM('Raw Sales'!A198))</x:f>
        <x:v>SAL-26-0193</x:v>
      </x:c>
      <x:c r="B198" t="str">
        <x:f>PROPER(TRIM('Raw Sales'!B198))</x:f>
        <x:v>Crescent Primary</x:v>
      </x:c>
      <x:c r="C198" t="str">
        <x:f>IF(OR(UPPER(TRIM('Raw Sales'!C198))="BOCHUM",UPPER(TRIM('Raw Sales'!C198))="BOCHUM REGION"),"Bochum",IF(OR(UPPER(TRIM('Raw Sales'!C198))="ELDORADO",UPPER(TRIM('Raw Sales'!C198))="ELDOS"),"Eldorado","Review"))</x:f>
        <x:v>Eldorado</x:v>
      </x:c>
      <x:c r="D198" t="str">
        <x:f>PROPER(TRIM('Raw Sales'!D198))</x:f>
        <x:v>Rulers</x:v>
      </x:c>
      <x:c r="E198" s="8" t="n">
        <x:f>IFERROR(VALUE('Raw Sales'!E198),"")</x:f>
        <x:v>20</x:v>
      </x:c>
      <x:c r="F198" s="9" t="n">
        <x:v>3520</x:v>
      </x:c>
      <x:c r="G198" s="10" t="n">
        <x:f>IFERROR(IF(OR(MID(TRIM('Raw Sales'!G198),5,1)="-",MID(TRIM('Raw Sales'!G198),5,1)="/"),DATE(VALUE(LEFT(TRIM('Raw Sales'!G198),4)),VALUE(MID(TRIM('Raw Sales'!G198),6,2)),VALUE(RIGHT(TRIM('Raw Sales'!G198),2))),IF(LEN(TRIM('Raw Sales'!G198))=10,DATE(VALUE(RIGHT(TRIM('Raw Sales'!G198),4)),VALUE(MID(TRIM('Raw Sales'!G198),4,2)),VALUE(LEFT(TRIM('Raw Sales'!G198),2))),IF(LEN(TRIM('Raw Sales'!G198))=8,DATE(2000+VALUE(RIGHT(TRIM('Raw Sales'!G198),2)),VALUE(MID(TRIM('Raw Sales'!G198),4,2)),VALUE(LEFT(TRIM('Raw Sales'!G198),2))),""))),"")</x:f>
        <x:v>46073</x:v>
      </x:c>
      <x:c r="H198" t="str">
        <x:f>IF(TRIM('Raw Sales'!H198)="","Missing",PROPER(TRIM('Raw Sales'!H198)))</x:f>
        <x:v>Thabo Ndlovu</x:v>
      </x:c>
      <x:c r="I198" t="str">
        <x:f>IF(OR(UPPER(TRIM('Raw Sales'!I198))="PAID",UPPER(TRIM('Raw Sales'!I198))="SETTLED",UPPER(TRIM('Raw Sales'!I198))="COMPLETE"),"Paid",IF(UPPER(TRIM('Raw Sales'!I198))="PENDING","Pending","Review"))</x:f>
        <x:v>Pending</x:v>
      </x:c>
      <x:c r="J198" t="str">
        <x:f>IF(A198="","Missing",IF(COUNTIF($A$6:A198,A198)&gt;1,"Duplicate","Unique"))</x:f>
        <x:v>Unique</x:v>
      </x:c>
      <x:c r="K198" s="11" t="n">
        <x:f>IF(A198="",1,0)+IF(B198="",1,0)+IF(C198="Review",1,0)+IF(D198="",1,0)+IF(OR(E198="",E198&lt;=0),1,0)+IF(OR(F198="",F198&lt;=0),1,0)+IF(G198="",1,0)+IF(H198="Missing",1,0)+IF(I198="Review",1,0)+IF(J198="Duplicate",1,0)</x:f>
        <x:v>0</x:v>
      </x:c>
      <x:c r="L198" s="12" t="str">
        <x:f>IF(A198="","Missing order ID; ","")&amp;IF(B198="","Missing school; ","")&amp;IF(C198="Review","Unmapped region; ","")&amp;IF(D198="","Missing product; ","")&amp;IF(OR(E198="",E198&lt;=0),"Invalid units; ","")&amp;IF(OR(F198="",F198&lt;=0),"Invalid amount; ","")&amp;IF(G198="","Invalid date; ","")&amp;IF(H198="Missing","Missing sales rep; ","")&amp;IF(I198="Review","Unmapped payment status; ","")&amp;IF(J198="Duplicate","Duplicate ID; ","")</x:f>
      </x:c>
      <x:c r="M198" t="str">
        <x:f>IF(K198=0,"Ready","Review")</x:f>
        <x:v>Ready</x:v>
      </x:c>
    </x:row>
    <x:row r="199">
      <x:c r="A199" t="str">
        <x:f>UPPER(TRIM('Raw Sales'!A199))</x:f>
        <x:v>SAL-26-0194</x:v>
      </x:c>
      <x:c r="B199" t="str">
        <x:f>PROPER(TRIM('Raw Sales'!B199))</x:f>
        <x:v>Hillview Primary</x:v>
      </x:c>
      <x:c r="C199" t="str">
        <x:f>IF(OR(UPPER(TRIM('Raw Sales'!C199))="BOCHUM",UPPER(TRIM('Raw Sales'!C199))="BOCHUM REGION"),"Bochum",IF(OR(UPPER(TRIM('Raw Sales'!C199))="ELDORADO",UPPER(TRIM('Raw Sales'!C199))="ELDOS"),"Eldorado","Review"))</x:f>
        <x:v>Bochum</x:v>
      </x:c>
      <x:c r="D199" t="str">
        <x:f>PROPER(TRIM('Raw Sales'!D199))</x:f>
        <x:v>Exercise Books</x:v>
      </x:c>
      <x:c r="E199" s="8" t="n">
        <x:f>IFERROR(VALUE('Raw Sales'!E199),"")</x:f>
        <x:v>27</x:v>
      </x:c>
      <x:c r="F199" s="9" t="n">
        <x:v>5103</x:v>
      </x:c>
      <x:c r="G199" s="10" t="n">
        <x:f>IFERROR(IF(OR(MID(TRIM('Raw Sales'!G199),5,1)="-",MID(TRIM('Raw Sales'!G199),5,1)="/"),DATE(VALUE(LEFT(TRIM('Raw Sales'!G199),4)),VALUE(MID(TRIM('Raw Sales'!G199),6,2)),VALUE(RIGHT(TRIM('Raw Sales'!G199),2))),IF(LEN(TRIM('Raw Sales'!G199))=10,DATE(VALUE(RIGHT(TRIM('Raw Sales'!G199),4)),VALUE(MID(TRIM('Raw Sales'!G199),4,2)),VALUE(LEFT(TRIM('Raw Sales'!G199),2))),IF(LEN(TRIM('Raw Sales'!G199))=8,DATE(2000+VALUE(RIGHT(TRIM('Raw Sales'!G199),2)),VALUE(MID(TRIM('Raw Sales'!G199),4,2)),VALUE(LEFT(TRIM('Raw Sales'!G199),2))),""))),"")</x:f>
        <x:v>46102</x:v>
      </x:c>
      <x:c r="H199" t="str">
        <x:f>IF(TRIM('Raw Sales'!H199)="","Missing",PROPER(TRIM('Raw Sales'!H199)))</x:f>
        <x:v>Lebo Nkosi</x:v>
      </x:c>
      <x:c r="I199" t="str">
        <x:f>IF(OR(UPPER(TRIM('Raw Sales'!I199))="PAID",UPPER(TRIM('Raw Sales'!I199))="SETTLED",UPPER(TRIM('Raw Sales'!I199))="COMPLETE"),"Paid",IF(UPPER(TRIM('Raw Sales'!I199))="PENDING","Pending","Review"))</x:f>
        <x:v>Paid</x:v>
      </x:c>
      <x:c r="J199" t="str">
        <x:f>IF(A199="","Missing",IF(COUNTIF($A$6:A199,A199)&gt;1,"Duplicate","Unique"))</x:f>
        <x:v>Unique</x:v>
      </x:c>
      <x:c r="K199" s="11" t="n">
        <x:f>IF(A199="",1,0)+IF(B199="",1,0)+IF(C199="Review",1,0)+IF(D199="",1,0)+IF(OR(E199="",E199&lt;=0),1,0)+IF(OR(F199="",F199&lt;=0),1,0)+IF(G199="",1,0)+IF(H199="Missing",1,0)+IF(I199="Review",1,0)+IF(J199="Duplicate",1,0)</x:f>
        <x:v>0</x:v>
      </x:c>
      <x:c r="L199" s="12" t="str">
        <x:f>IF(A199="","Missing order ID; ","")&amp;IF(B199="","Missing school; ","")&amp;IF(C199="Review","Unmapped region; ","")&amp;IF(D199="","Missing product; ","")&amp;IF(OR(E199="",E199&lt;=0),"Invalid units; ","")&amp;IF(OR(F199="",F199&lt;=0),"Invalid amount; ","")&amp;IF(G199="","Invalid date; ","")&amp;IF(H199="Missing","Missing sales rep; ","")&amp;IF(I199="Review","Unmapped payment status; ","")&amp;IF(J199="Duplicate","Duplicate ID; ","")</x:f>
      </x:c>
      <x:c r="M199" t="str">
        <x:f>IF(K199=0,"Ready","Review")</x:f>
        <x:v>Ready</x:v>
      </x:c>
    </x:row>
    <x:row r="200">
      <x:c r="A200" t="str">
        <x:f>UPPER(TRIM('Raw Sales'!A200))</x:f>
        <x:v>SAL-26-0195</x:v>
      </x:c>
      <x:c r="B200" t="str">
        <x:f>PROPER(TRIM('Raw Sales'!B200))</x:f>
        <x:v>Eastwood Academy</x:v>
      </x:c>
      <x:c r="C200" t="str">
        <x:f>IF(OR(UPPER(TRIM('Raw Sales'!C200))="BOCHUM",UPPER(TRIM('Raw Sales'!C200))="BOCHUM REGION"),"Bochum",IF(OR(UPPER(TRIM('Raw Sales'!C200))="ELDORADO",UPPER(TRIM('Raw Sales'!C200))="ELDOS"),"Eldorado","Review"))</x:f>
        <x:v>Eldorado</x:v>
      </x:c>
      <x:c r="D200" t="str">
        <x:f>PROPER(TRIM('Raw Sales'!D200))</x:f>
        <x:v>Pencils</x:v>
      </x:c>
      <x:c r="E200" s="8" t="n">
        <x:f>IFERROR(VALUE('Raw Sales'!E200),"")</x:f>
        <x:v>34</x:v>
      </x:c>
      <x:c r="F200" s="9" t="n">
        <x:v>714</x:v>
      </x:c>
      <x:c r="G200" s="10" t="n">
        <x:f>IFERROR(IF(OR(MID(TRIM('Raw Sales'!G200),5,1)="-",MID(TRIM('Raw Sales'!G200),5,1)="/"),DATE(VALUE(LEFT(TRIM('Raw Sales'!G200),4)),VALUE(MID(TRIM('Raw Sales'!G200),6,2)),VALUE(RIGHT(TRIM('Raw Sales'!G200),2))),IF(LEN(TRIM('Raw Sales'!G200))=10,DATE(VALUE(RIGHT(TRIM('Raw Sales'!G200),4)),VALUE(MID(TRIM('Raw Sales'!G200),4,2)),VALUE(LEFT(TRIM('Raw Sales'!G200),2))),IF(LEN(TRIM('Raw Sales'!G200))=8,DATE(2000+VALUE(RIGHT(TRIM('Raw Sales'!G200),2)),VALUE(MID(TRIM('Raw Sales'!G200),4,2)),VALUE(LEFT(TRIM('Raw Sales'!G200),2))),""))),"")</x:f>
        <x:v>46134</x:v>
      </x:c>
      <x:c r="H200" t="str">
        <x:f>IF(TRIM('Raw Sales'!H200)="","Missing",PROPER(TRIM('Raw Sales'!H200)))</x:f>
        <x:v>Thabo Ndlovu</x:v>
      </x:c>
      <x:c r="I200" t="str">
        <x:f>IF(OR(UPPER(TRIM('Raw Sales'!I200))="PAID",UPPER(TRIM('Raw Sales'!I200))="SETTLED",UPPER(TRIM('Raw Sales'!I200))="COMPLETE"),"Paid",IF(UPPER(TRIM('Raw Sales'!I200))="PENDING","Pending","Review"))</x:f>
        <x:v>Paid</x:v>
      </x:c>
      <x:c r="J200" t="str">
        <x:f>IF(A200="","Missing",IF(COUNTIF($A$6:A200,A200)&gt;1,"Duplicate","Unique"))</x:f>
        <x:v>Unique</x:v>
      </x:c>
      <x:c r="K200" s="11" t="n">
        <x:f>IF(A200="",1,0)+IF(B200="",1,0)+IF(C200="Review",1,0)+IF(D200="",1,0)+IF(OR(E200="",E200&lt;=0),1,0)+IF(OR(F200="",F200&lt;=0),1,0)+IF(G200="",1,0)+IF(H200="Missing",1,0)+IF(I200="Review",1,0)+IF(J200="Duplicate",1,0)</x:f>
        <x:v>0</x:v>
      </x:c>
      <x:c r="L200" s="12" t="str">
        <x:f>IF(A200="","Missing order ID; ","")&amp;IF(B200="","Missing school; ","")&amp;IF(C200="Review","Unmapped region; ","")&amp;IF(D200="","Missing product; ","")&amp;IF(OR(E200="",E200&lt;=0),"Invalid units; ","")&amp;IF(OR(F200="",F200&lt;=0),"Invalid amount; ","")&amp;IF(G200="","Invalid date; ","")&amp;IF(H200="Missing","Missing sales rep; ","")&amp;IF(I200="Review","Unmapped payment status; ","")&amp;IF(J200="Duplicate","Duplicate ID; ","")</x:f>
      </x:c>
      <x:c r="M200" t="str">
        <x:f>IF(K200=0,"Ready","Review")</x:f>
        <x:v>Ready</x:v>
      </x:c>
    </x:row>
    <x:row r="201">
      <x:c r="A201" t="str">
        <x:f>UPPER(TRIM('Raw Sales'!A201))</x:f>
        <x:v>SAL-26-0196</x:v>
      </x:c>
      <x:c r="B201" t="str">
        <x:f>PROPER(TRIM('Raw Sales'!B201))</x:f>
        <x:v>Lakeside School</x:v>
      </x:c>
      <x:c r="C201" t="str">
        <x:f>IF(OR(UPPER(TRIM('Raw Sales'!C201))="BOCHUM",UPPER(TRIM('Raw Sales'!C201))="BOCHUM REGION"),"Bochum",IF(OR(UPPER(TRIM('Raw Sales'!C201))="ELDORADO",UPPER(TRIM('Raw Sales'!C201))="ELDOS"),"Eldorado","Review"))</x:f>
        <x:v>Bochum</x:v>
      </x:c>
      <x:c r="D201" t="str">
        <x:f>PROPER(TRIM('Raw Sales'!D201))</x:f>
        <x:v>Folders</x:v>
      </x:c>
      <x:c r="E201" s="8" t="n">
        <x:f>IFERROR(VALUE('Raw Sales'!E201),"")</x:f>
        <x:v>5</x:v>
      </x:c>
      <x:c r="F201" s="9" t="n">
        <x:v>170</x:v>
      </x:c>
      <x:c r="G201" s="10" t="n">
        <x:f>IFERROR(IF(OR(MID(TRIM('Raw Sales'!G201),5,1)="-",MID(TRIM('Raw Sales'!G201),5,1)="/"),DATE(VALUE(LEFT(TRIM('Raw Sales'!G201),4)),VALUE(MID(TRIM('Raw Sales'!G201),6,2)),VALUE(RIGHT(TRIM('Raw Sales'!G201),2))),IF(LEN(TRIM('Raw Sales'!G201))=10,DATE(VALUE(RIGHT(TRIM('Raw Sales'!G201),4)),VALUE(MID(TRIM('Raw Sales'!G201),4,2)),VALUE(LEFT(TRIM('Raw Sales'!G201),2))),IF(LEN(TRIM('Raw Sales'!G201))=8,DATE(2000+VALUE(RIGHT(TRIM('Raw Sales'!G201),2)),VALUE(MID(TRIM('Raw Sales'!G201),4,2)),VALUE(LEFT(TRIM('Raw Sales'!G201),2))),""))),"")</x:f>
        <x:v>46165</x:v>
      </x:c>
      <x:c r="H201" t="str">
        <x:f>IF(TRIM('Raw Sales'!H201)="","Missing",PROPER(TRIM('Raw Sales'!H201)))</x:f>
        <x:v>Lebo Nkosi</x:v>
      </x:c>
      <x:c r="I201" t="str">
        <x:f>IF(OR(UPPER(TRIM('Raw Sales'!I201))="PAID",UPPER(TRIM('Raw Sales'!I201))="SETTLED",UPPER(TRIM('Raw Sales'!I201))="COMPLETE"),"Paid",IF(UPPER(TRIM('Raw Sales'!I201))="PENDING","Pending","Review"))</x:f>
        <x:v>Pending</x:v>
      </x:c>
      <x:c r="J201" t="str">
        <x:f>IF(A201="","Missing",IF(COUNTIF($A$6:A201,A201)&gt;1,"Duplicate","Unique"))</x:f>
        <x:v>Unique</x:v>
      </x:c>
      <x:c r="K201" s="11" t="n">
        <x:f>IF(A201="",1,0)+IF(B201="",1,0)+IF(C201="Review",1,0)+IF(D201="",1,0)+IF(OR(E201="",E201&lt;=0),1,0)+IF(OR(F201="",F201&lt;=0),1,0)+IF(G201="",1,0)+IF(H201="Missing",1,0)+IF(I201="Review",1,0)+IF(J201="Duplicate",1,0)</x:f>
        <x:v>0</x:v>
      </x:c>
      <x:c r="L201" s="12" t="str">
        <x:f>IF(A201="","Missing order ID; ","")&amp;IF(B201="","Missing school; ","")&amp;IF(C201="Review","Unmapped region; ","")&amp;IF(D201="","Missing product; ","")&amp;IF(OR(E201="",E201&lt;=0),"Invalid units; ","")&amp;IF(OR(F201="",F201&lt;=0),"Invalid amount; ","")&amp;IF(G201="","Invalid date; ","")&amp;IF(H201="Missing","Missing sales rep; ","")&amp;IF(I201="Review","Unmapped payment status; ","")&amp;IF(J201="Duplicate","Duplicate ID; ","")</x:f>
      </x:c>
      <x:c r="M201" t="str">
        <x:f>IF(K201=0,"Ready","Review")</x:f>
        <x:v>Ready</x:v>
      </x:c>
    </x:row>
    <x:row r="202">
      <x:c r="A202" t="str">
        <x:f>UPPER(TRIM('Raw Sales'!A202))</x:f>
        <x:v>SAL-26-0197</x:v>
      </x:c>
      <x:c r="B202" t="str">
        <x:f>PROPER(TRIM('Raw Sales'!B202))</x:f>
        <x:v>Valley Primary</x:v>
      </x:c>
      <x:c r="C202" t="str">
        <x:f>IF(OR(UPPER(TRIM('Raw Sales'!C202))="BOCHUM",UPPER(TRIM('Raw Sales'!C202))="BOCHUM REGION"),"Bochum",IF(OR(UPPER(TRIM('Raw Sales'!C202))="ELDORADO",UPPER(TRIM('Raw Sales'!C202))="ELDOS"),"Eldorado","Review"))</x:f>
        <x:v>Eldorado</x:v>
      </x:c>
      <x:c r="D202" t="str">
        <x:f>PROPER(TRIM('Raw Sales'!D202))</x:f>
        <x:v>Pens</x:v>
      </x:c>
      <x:c r="E202" s="8" t="n">
        <x:f>IFERROR(VALUE('Raw Sales'!E202),"")</x:f>
        <x:v>12</x:v>
      </x:c>
      <x:c r="F202" s="9" t="n">
        <x:v>564</x:v>
      </x:c>
      <x:c r="G202" s="10" t="n">
        <x:f>IFERROR(IF(OR(MID(TRIM('Raw Sales'!G202),5,1)="-",MID(TRIM('Raw Sales'!G202),5,1)="/"),DATE(VALUE(LEFT(TRIM('Raw Sales'!G202),4)),VALUE(MID(TRIM('Raw Sales'!G202),6,2)),VALUE(RIGHT(TRIM('Raw Sales'!G202),2))),IF(LEN(TRIM('Raw Sales'!G202))=10,DATE(VALUE(RIGHT(TRIM('Raw Sales'!G202),4)),VALUE(MID(TRIM('Raw Sales'!G202),4,2)),VALUE(LEFT(TRIM('Raw Sales'!G202),2))),IF(LEN(TRIM('Raw Sales'!G202))=8,DATE(2000+VALUE(RIGHT(TRIM('Raw Sales'!G202),2)),VALUE(MID(TRIM('Raw Sales'!G202),4,2)),VALUE(LEFT(TRIM('Raw Sales'!G202),2))),""))),"")</x:f>
        <x:v>46197</x:v>
      </x:c>
      <x:c r="H202" t="str">
        <x:f>IF(TRIM('Raw Sales'!H202)="","Missing",PROPER(TRIM('Raw Sales'!H202)))</x:f>
        <x:v>Thabo Ndlovu</x:v>
      </x:c>
      <x:c r="I202" t="str">
        <x:f>IF(OR(UPPER(TRIM('Raw Sales'!I202))="PAID",UPPER(TRIM('Raw Sales'!I202))="SETTLED",UPPER(TRIM('Raw Sales'!I202))="COMPLETE"),"Paid",IF(UPPER(TRIM('Raw Sales'!I202))="PENDING","Pending","Review"))</x:f>
        <x:v>Paid</x:v>
      </x:c>
      <x:c r="J202" t="str">
        <x:f>IF(A202="","Missing",IF(COUNTIF($A$6:A202,A202)&gt;1,"Duplicate","Unique"))</x:f>
        <x:v>Unique</x:v>
      </x:c>
      <x:c r="K202" s="11" t="n">
        <x:f>IF(A202="",1,0)+IF(B202="",1,0)+IF(C202="Review",1,0)+IF(D202="",1,0)+IF(OR(E202="",E202&lt;=0),1,0)+IF(OR(F202="",F202&lt;=0),1,0)+IF(G202="",1,0)+IF(H202="Missing",1,0)+IF(I202="Review",1,0)+IF(J202="Duplicate",1,0)</x:f>
        <x:v>0</x:v>
      </x:c>
      <x:c r="L202" s="12" t="str">
        <x:f>IF(A202="","Missing order ID; ","")&amp;IF(B202="","Missing school; ","")&amp;IF(C202="Review","Unmapped region; ","")&amp;IF(D202="","Missing product; ","")&amp;IF(OR(E202="",E202&lt;=0),"Invalid units; ","")&amp;IF(OR(F202="",F202&lt;=0),"Invalid amount; ","")&amp;IF(G202="","Invalid date; ","")&amp;IF(H202="Missing","Missing sales rep; ","")&amp;IF(I202="Review","Unmapped payment status; ","")&amp;IF(J202="Duplicate","Duplicate ID; ","")</x:f>
      </x:c>
      <x:c r="M202" t="str">
        <x:f>IF(K202=0,"Ready","Review")</x:f>
        <x:v>Ready</x:v>
      </x:c>
    </x:row>
    <x:row r="203">
      <x:c r="A203" t="str">
        <x:f>UPPER(TRIM('Raw Sales'!A203))</x:f>
        <x:v>SAL-26-0198</x:v>
      </x:c>
      <x:c r="B203" t="str">
        <x:f>PROPER(TRIM('Raw Sales'!B203))</x:f>
        <x:v>Mhlabeni Secondary</x:v>
      </x:c>
      <x:c r="C203" t="str">
        <x:f>IF(OR(UPPER(TRIM('Raw Sales'!C203))="BOCHUM",UPPER(TRIM('Raw Sales'!C203))="BOCHUM REGION"),"Bochum",IF(OR(UPPER(TRIM('Raw Sales'!C203))="ELDORADO",UPPER(TRIM('Raw Sales'!C203))="ELDOS"),"Eldorado","Review"))</x:f>
        <x:v>Eldorado</x:v>
      </x:c>
      <x:c r="D203" t="str">
        <x:f>PROPER(TRIM('Raw Sales'!D203))</x:f>
        <x:v>Glue Sticks</x:v>
      </x:c>
      <x:c r="E203" s="8" t="n">
        <x:f>IFERROR(VALUE('Raw Sales'!E203),"")</x:f>
        <x:v>19</x:v>
      </x:c>
      <x:c r="F203" s="9" t="n">
        <x:v>1140</x:v>
      </x:c>
      <x:c r="G203" s="10" t="n">
        <x:f>IFERROR(IF(OR(MID(TRIM('Raw Sales'!G203),5,1)="-",MID(TRIM('Raw Sales'!G203),5,1)="/"),DATE(VALUE(LEFT(TRIM('Raw Sales'!G203),4)),VALUE(MID(TRIM('Raw Sales'!G203),6,2)),VALUE(RIGHT(TRIM('Raw Sales'!G203),2))),IF(LEN(TRIM('Raw Sales'!G203))=10,DATE(VALUE(RIGHT(TRIM('Raw Sales'!G203),4)),VALUE(MID(TRIM('Raw Sales'!G203),4,2)),VALUE(LEFT(TRIM('Raw Sales'!G203),2))),IF(LEN(TRIM('Raw Sales'!G203))=8,DATE(2000+VALUE(RIGHT(TRIM('Raw Sales'!G203),2)),VALUE(MID(TRIM('Raw Sales'!G203),4,2)),VALUE(LEFT(TRIM('Raw Sales'!G203),2))),""))),"")</x:f>
        <x:v>46228</x:v>
      </x:c>
      <x:c r="H203" t="str">
        <x:f>IF(TRIM('Raw Sales'!H203)="","Missing",PROPER(TRIM('Raw Sales'!H203)))</x:f>
        <x:v>Lebo Nkosi</x:v>
      </x:c>
      <x:c r="I203" t="str">
        <x:f>IF(OR(UPPER(TRIM('Raw Sales'!I203))="PAID",UPPER(TRIM('Raw Sales'!I203))="SETTLED",UPPER(TRIM('Raw Sales'!I203))="COMPLETE"),"Paid",IF(UPPER(TRIM('Raw Sales'!I203))="PENDING","Pending","Review"))</x:f>
        <x:v>Paid</x:v>
      </x:c>
      <x:c r="J203" t="str">
        <x:f>IF(A203="","Missing",IF(COUNTIF($A$6:A203,A203)&gt;1,"Duplicate","Unique"))</x:f>
        <x:v>Unique</x:v>
      </x:c>
      <x:c r="K203" s="11" t="n">
        <x:f>IF(A203="",1,0)+IF(B203="",1,0)+IF(C203="Review",1,0)+IF(D203="",1,0)+IF(OR(E203="",E203&lt;=0),1,0)+IF(OR(F203="",F203&lt;=0),1,0)+IF(G203="",1,0)+IF(H203="Missing",1,0)+IF(I203="Review",1,0)+IF(J203="Duplicate",1,0)</x:f>
        <x:v>0</x:v>
      </x:c>
      <x:c r="L203" s="12" t="str">
        <x:f>IF(A203="","Missing order ID; ","")&amp;IF(B203="","Missing school; ","")&amp;IF(C203="Review","Unmapped region; ","")&amp;IF(D203="","Missing product; ","")&amp;IF(OR(E203="",E203&lt;=0),"Invalid units; ","")&amp;IF(OR(F203="",F203&lt;=0),"Invalid amount; ","")&amp;IF(G203="","Invalid date; ","")&amp;IF(H203="Missing","Missing sales rep; ","")&amp;IF(I203="Review","Unmapped payment status; ","")&amp;IF(J203="Duplicate","Duplicate ID; ","")</x:f>
      </x:c>
      <x:c r="M203" t="str">
        <x:f>IF(K203=0,"Ready","Review")</x:f>
        <x:v>Ready</x:v>
      </x:c>
    </x:row>
    <x:row r="204">
      <x:c r="A204" t="str">
        <x:f>UPPER(TRIM('Raw Sales'!A204))</x:f>
        <x:v>SAL-26-0199</x:v>
      </x:c>
      <x:c r="B204" t="str">
        <x:f>PROPER(TRIM('Raw Sales'!B204))</x:f>
        <x:v>Meadowlands School</x:v>
      </x:c>
      <x:c r="C204" t="str">
        <x:f>IF(OR(UPPER(TRIM('Raw Sales'!C204))="BOCHUM",UPPER(TRIM('Raw Sales'!C204))="BOCHUM REGION"),"Bochum",IF(OR(UPPER(TRIM('Raw Sales'!C204))="ELDORADO",UPPER(TRIM('Raw Sales'!C204))="ELDOS"),"Eldorado","Review"))</x:f>
        <x:v>Bochum</x:v>
      </x:c>
      <x:c r="D204" t="str">
        <x:f>PROPER(TRIM('Raw Sales'!D204))</x:f>
        <x:v>Markers</x:v>
      </x:c>
      <x:c r="E204" s="8" t="n">
        <x:f>IFERROR(VALUE('Raw Sales'!E204),"")</x:f>
        <x:v>26</x:v>
      </x:c>
      <x:c r="F204" s="9" t="n">
        <x:v>1898</x:v>
      </x:c>
      <x:c r="G204" s="10" t="n">
        <x:f>IFERROR(IF(OR(MID(TRIM('Raw Sales'!G204),5,1)="-",MID(TRIM('Raw Sales'!G204),5,1)="/"),DATE(VALUE(LEFT(TRIM('Raw Sales'!G204),4)),VALUE(MID(TRIM('Raw Sales'!G204),6,2)),VALUE(RIGHT(TRIM('Raw Sales'!G204),2))),IF(LEN(TRIM('Raw Sales'!G204))=10,DATE(VALUE(RIGHT(TRIM('Raw Sales'!G204),4)),VALUE(MID(TRIM('Raw Sales'!G204),4,2)),VALUE(LEFT(TRIM('Raw Sales'!G204),2))),IF(LEN(TRIM('Raw Sales'!G204))=8,DATE(2000+VALUE(RIGHT(TRIM('Raw Sales'!G204),2)),VALUE(MID(TRIM('Raw Sales'!G204),4,2)),VALUE(LEFT(TRIM('Raw Sales'!G204),2))),""))),"")</x:f>
        <x:v>46260</x:v>
      </x:c>
      <x:c r="H204" t="str">
        <x:f>IF(TRIM('Raw Sales'!H204)="","Missing",PROPER(TRIM('Raw Sales'!H204)))</x:f>
        <x:v>Thabo Ndlovu</x:v>
      </x:c>
      <x:c r="I204" t="str">
        <x:f>IF(OR(UPPER(TRIM('Raw Sales'!I204))="PAID",UPPER(TRIM('Raw Sales'!I204))="SETTLED",UPPER(TRIM('Raw Sales'!I204))="COMPLETE"),"Paid",IF(UPPER(TRIM('Raw Sales'!I204))="PENDING","Pending","Review"))</x:f>
        <x:v>Pending</x:v>
      </x:c>
      <x:c r="J204" t="str">
        <x:f>IF(A204="","Missing",IF(COUNTIF($A$6:A204,A204)&gt;1,"Duplicate","Unique"))</x:f>
        <x:v>Unique</x:v>
      </x:c>
      <x:c r="K204" s="11" t="n">
        <x:f>IF(A204="",1,0)+IF(B204="",1,0)+IF(C204="Review",1,0)+IF(D204="",1,0)+IF(OR(E204="",E204&lt;=0),1,0)+IF(OR(F204="",F204&lt;=0),1,0)+IF(G204="",1,0)+IF(H204="Missing",1,0)+IF(I204="Review",1,0)+IF(J204="Duplicate",1,0)</x:f>
        <x:v>0</x:v>
      </x:c>
      <x:c r="L204" s="12" t="str">
        <x:f>IF(A204="","Missing order ID; ","")&amp;IF(B204="","Missing school; ","")&amp;IF(C204="Review","Unmapped region; ","")&amp;IF(D204="","Missing product; ","")&amp;IF(OR(E204="",E204&lt;=0),"Invalid units; ","")&amp;IF(OR(F204="",F204&lt;=0),"Invalid amount; ","")&amp;IF(G204="","Invalid date; ","")&amp;IF(H204="Missing","Missing sales rep; ","")&amp;IF(I204="Review","Unmapped payment status; ","")&amp;IF(J204="Duplicate","Duplicate ID; ","")</x:f>
      </x:c>
      <x:c r="M204" t="str">
        <x:f>IF(K204=0,"Ready","Review")</x:f>
        <x:v>Ready</x:v>
      </x:c>
    </x:row>
    <x:row r="205">
      <x:c r="A205" t="str">
        <x:f>UPPER(TRIM('Raw Sales'!A205))</x:f>
        <x:v>SAL-26-0200</x:v>
      </x:c>
      <x:c r="B205" t="str">
        <x:f>PROPER(TRIM('Raw Sales'!B205))</x:f>
        <x:v>Gardenview School</x:v>
      </x:c>
      <x:c r="C205" t="str">
        <x:f>IF(OR(UPPER(TRIM('Raw Sales'!C205))="BOCHUM",UPPER(TRIM('Raw Sales'!C205))="BOCHUM REGION"),"Bochum",IF(OR(UPPER(TRIM('Raw Sales'!C205))="ELDORADO",UPPER(TRIM('Raw Sales'!C205))="ELDOS"),"Eldorado","Review"))</x:f>
        <x:v>Eldorado</x:v>
      </x:c>
      <x:c r="D205" t="str">
        <x:f>PROPER(TRIM('Raw Sales'!D205))</x:f>
        <x:v>Notebooks</x:v>
      </x:c>
      <x:c r="E205" s="8" t="n">
        <x:f>IFERROR(VALUE('Raw Sales'!E205),"")</x:f>
        <x:v>33</x:v>
      </x:c>
      <x:c r="F205" s="9" t="n">
        <x:v>2838</x:v>
      </x:c>
      <x:c r="G205" s="10" t="n">
        <x:f>IFERROR(IF(OR(MID(TRIM('Raw Sales'!G205),5,1)="-",MID(TRIM('Raw Sales'!G205),5,1)="/"),DATE(VALUE(LEFT(TRIM('Raw Sales'!G205),4)),VALUE(MID(TRIM('Raw Sales'!G205),6,2)),VALUE(RIGHT(TRIM('Raw Sales'!G205),2))),IF(LEN(TRIM('Raw Sales'!G205))=10,DATE(VALUE(RIGHT(TRIM('Raw Sales'!G205),4)),VALUE(MID(TRIM('Raw Sales'!G205),4,2)),VALUE(LEFT(TRIM('Raw Sales'!G205),2))),IF(LEN(TRIM('Raw Sales'!G205))=8,DATE(2000+VALUE(RIGHT(TRIM('Raw Sales'!G205),2)),VALUE(MID(TRIM('Raw Sales'!G205),4,2)),VALUE(LEFT(TRIM('Raw Sales'!G205),2))),""))),"")</x:f>
        <x:v>46024</x:v>
      </x:c>
      <x:c r="H205" t="str">
        <x:f>IF(TRIM('Raw Sales'!H205)="","Missing",PROPER(TRIM('Raw Sales'!H205)))</x:f>
        <x:v>Lebo Nkosi</x:v>
      </x:c>
      <x:c r="I205" t="str">
        <x:f>IF(OR(UPPER(TRIM('Raw Sales'!I205))="PAID",UPPER(TRIM('Raw Sales'!I205))="SETTLED",UPPER(TRIM('Raw Sales'!I205))="COMPLETE"),"Paid",IF(UPPER(TRIM('Raw Sales'!I205))="PENDING","Pending","Review"))</x:f>
        <x:v>Paid</x:v>
      </x:c>
      <x:c r="J205" t="str">
        <x:f>IF(A205="","Missing",IF(COUNTIF($A$6:A205,A205)&gt;1,"Duplicate","Unique"))</x:f>
        <x:v>Unique</x:v>
      </x:c>
      <x:c r="K205" s="11" t="n">
        <x:f>IF(A205="",1,0)+IF(B205="",1,0)+IF(C205="Review",1,0)+IF(D205="",1,0)+IF(OR(E205="",E205&lt;=0),1,0)+IF(OR(F205="",F205&lt;=0),1,0)+IF(G205="",1,0)+IF(H205="Missing",1,0)+IF(I205="Review",1,0)+IF(J205="Duplicate",1,0)</x:f>
        <x:v>0</x:v>
      </x:c>
      <x:c r="L205" s="12" t="str">
        <x:f>IF(A205="","Missing order ID; ","")&amp;IF(B205="","Missing school; ","")&amp;IF(C205="Review","Unmapped region; ","")&amp;IF(D205="","Missing product; ","")&amp;IF(OR(E205="",E205&lt;=0),"Invalid units; ","")&amp;IF(OR(F205="",F205&lt;=0),"Invalid amount; ","")&amp;IF(G205="","Invalid date; ","")&amp;IF(H205="Missing","Missing sales rep; ","")&amp;IF(I205="Review","Unmapped payment status; ","")&amp;IF(J205="Duplicate","Duplicate ID; ","")</x:f>
      </x:c>
      <x:c r="M205" t="str">
        <x:f>IF(K205=0,"Ready","Review")</x:f>
        <x:v>Ready</x:v>
      </x:c>
    </x:row>
    <x:row r="206">
      <x:c r="A206" t="str">
        <x:f>UPPER(TRIM('Raw Sales'!A206))</x:f>
        <x:v>SAL-26-0201</x:v>
      </x:c>
      <x:c r="B206" t="str">
        <x:f>PROPER(TRIM('Raw Sales'!B206))</x:f>
        <x:v>Riverside Academy</x:v>
      </x:c>
      <x:c r="C206" t="str">
        <x:f>IF(OR(UPPER(TRIM('Raw Sales'!C206))="BOCHUM",UPPER(TRIM('Raw Sales'!C206))="BOCHUM REGION"),"Bochum",IF(OR(UPPER(TRIM('Raw Sales'!C206))="ELDORADO",UPPER(TRIM('Raw Sales'!C206))="ELDOS"),"Eldorado","Review"))</x:f>
        <x:v>Bochum</x:v>
      </x:c>
      <x:c r="D206" t="str">
        <x:f>PROPER(TRIM('Raw Sales'!D206))</x:f>
        <x:v>Rulers</x:v>
      </x:c>
      <x:c r="E206" s="8" t="n">
        <x:f>IFERROR(VALUE('Raw Sales'!E206),"")</x:f>
        <x:v>4</x:v>
      </x:c>
      <x:c r="F206" s="9" t="n">
        <x:v>396</x:v>
      </x:c>
      <x:c r="G206" s="10" t="n">
        <x:f>IFERROR(IF(OR(MID(TRIM('Raw Sales'!G206),5,1)="-",MID(TRIM('Raw Sales'!G206),5,1)="/"),DATE(VALUE(LEFT(TRIM('Raw Sales'!G206),4)),VALUE(MID(TRIM('Raw Sales'!G206),6,2)),VALUE(RIGHT(TRIM('Raw Sales'!G206),2))),IF(LEN(TRIM('Raw Sales'!G206))=10,DATE(VALUE(RIGHT(TRIM('Raw Sales'!G206),4)),VALUE(MID(TRIM('Raw Sales'!G206),4,2)),VALUE(LEFT(TRIM('Raw Sales'!G206),2))),IF(LEN(TRIM('Raw Sales'!G206))=8,DATE(2000+VALUE(RIGHT(TRIM('Raw Sales'!G206),2)),VALUE(MID(TRIM('Raw Sales'!G206),4,2)),VALUE(LEFT(TRIM('Raw Sales'!G206),2))),""))),"")</x:f>
        <x:v>46056</x:v>
      </x:c>
      <x:c r="H206" t="str">
        <x:f>IF(TRIM('Raw Sales'!H206)="","Missing",PROPER(TRIM('Raw Sales'!H206)))</x:f>
        <x:v>Thabo Ndlovu</x:v>
      </x:c>
      <x:c r="I206" t="str">
        <x:f>IF(OR(UPPER(TRIM('Raw Sales'!I206))="PAID",UPPER(TRIM('Raw Sales'!I206))="SETTLED",UPPER(TRIM('Raw Sales'!I206))="COMPLETE"),"Paid",IF(UPPER(TRIM('Raw Sales'!I206))="PENDING","Pending","Review"))</x:f>
        <x:v>Paid</x:v>
      </x:c>
      <x:c r="J206" t="str">
        <x:f>IF(A206="","Missing",IF(COUNTIF($A$6:A206,A206)&gt;1,"Duplicate","Unique"))</x:f>
        <x:v>Unique</x:v>
      </x:c>
      <x:c r="K206" s="11" t="n">
        <x:f>IF(A206="",1,0)+IF(B206="",1,0)+IF(C206="Review",1,0)+IF(D206="",1,0)+IF(OR(E206="",E206&lt;=0),1,0)+IF(OR(F206="",F206&lt;=0),1,0)+IF(G206="",1,0)+IF(H206="Missing",1,0)+IF(I206="Review",1,0)+IF(J206="Duplicate",1,0)</x:f>
        <x:v>0</x:v>
      </x:c>
      <x:c r="L206" s="12" t="str">
        <x:f>IF(A206="","Missing order ID; ","")&amp;IF(B206="","Missing school; ","")&amp;IF(C206="Review","Unmapped region; ","")&amp;IF(D206="","Missing product; ","")&amp;IF(OR(E206="",E206&lt;=0),"Invalid units; ","")&amp;IF(OR(F206="",F206&lt;=0),"Invalid amount; ","")&amp;IF(G206="","Invalid date; ","")&amp;IF(H206="Missing","Missing sales rep; ","")&amp;IF(I206="Review","Unmapped payment status; ","")&amp;IF(J206="Duplicate","Duplicate ID; ","")</x:f>
      </x:c>
      <x:c r="M206" t="str">
        <x:f>IF(K206=0,"Ready","Review")</x:f>
        <x:v>Ready</x:v>
      </x:c>
    </x:row>
    <x:row r="207">
      <x:c r="A207" t="str">
        <x:f>UPPER(TRIM('Raw Sales'!A207))</x:f>
        <x:v>SAL-26-0202</x:v>
      </x:c>
      <x:c r="B207" t="str">
        <x:f>PROPER(TRIM('Raw Sales'!B207))</x:f>
        <x:v>Maple Secondary</x:v>
      </x:c>
      <x:c r="C207" t="str">
        <x:f>IF(OR(UPPER(TRIM('Raw Sales'!C207))="BOCHUM",UPPER(TRIM('Raw Sales'!C207))="BOCHUM REGION"),"Bochum",IF(OR(UPPER(TRIM('Raw Sales'!C207))="ELDORADO",UPPER(TRIM('Raw Sales'!C207))="ELDOS"),"Eldorado","Review"))</x:f>
        <x:v>Eldorado</x:v>
      </x:c>
      <x:c r="D207" t="str">
        <x:f>PROPER(TRIM('Raw Sales'!D207))</x:f>
        <x:v>Exercise Books</x:v>
      </x:c>
      <x:c r="E207" s="8" t="n">
        <x:f>IFERROR(VALUE('Raw Sales'!E207),"")</x:f>
        <x:v>11</x:v>
      </x:c>
      <x:c r="F207" s="9" t="n">
        <x:v>1232</x:v>
      </x:c>
      <x:c r="G207" s="10" t="n">
        <x:f>IFERROR(IF(OR(MID(TRIM('Raw Sales'!G207),5,1)="-",MID(TRIM('Raw Sales'!G207),5,1)="/"),DATE(VALUE(LEFT(TRIM('Raw Sales'!G207),4)),VALUE(MID(TRIM('Raw Sales'!G207),6,2)),VALUE(RIGHT(TRIM('Raw Sales'!G207),2))),IF(LEN(TRIM('Raw Sales'!G207))=10,DATE(VALUE(RIGHT(TRIM('Raw Sales'!G207),4)),VALUE(MID(TRIM('Raw Sales'!G207),4,2)),VALUE(LEFT(TRIM('Raw Sales'!G207),2))),IF(LEN(TRIM('Raw Sales'!G207))=8,DATE(2000+VALUE(RIGHT(TRIM('Raw Sales'!G207),2)),VALUE(MID(TRIM('Raw Sales'!G207),4,2)),VALUE(LEFT(TRIM('Raw Sales'!G207),2))),""))),"")</x:f>
        <x:v>46085</x:v>
      </x:c>
      <x:c r="H207" t="str">
        <x:f>IF(TRIM('Raw Sales'!H207)="","Missing",PROPER(TRIM('Raw Sales'!H207)))</x:f>
        <x:v>Lebo Nkosi</x:v>
      </x:c>
      <x:c r="I207" t="str">
        <x:f>IF(OR(UPPER(TRIM('Raw Sales'!I207))="PAID",UPPER(TRIM('Raw Sales'!I207))="SETTLED",UPPER(TRIM('Raw Sales'!I207))="COMPLETE"),"Paid",IF(UPPER(TRIM('Raw Sales'!I207))="PENDING","Pending","Review"))</x:f>
        <x:v>Pending</x:v>
      </x:c>
      <x:c r="J207" t="str">
        <x:f>IF(A207="","Missing",IF(COUNTIF($A$6:A207,A207)&gt;1,"Duplicate","Unique"))</x:f>
        <x:v>Unique</x:v>
      </x:c>
      <x:c r="K207" s="11" t="n">
        <x:f>IF(A207="",1,0)+IF(B207="",1,0)+IF(C207="Review",1,0)+IF(D207="",1,0)+IF(OR(E207="",E207&lt;=0),1,0)+IF(OR(F207="",F207&lt;=0),1,0)+IF(G207="",1,0)+IF(H207="Missing",1,0)+IF(I207="Review",1,0)+IF(J207="Duplicate",1,0)</x:f>
        <x:v>0</x:v>
      </x:c>
      <x:c r="L207" s="12" t="str">
        <x:f>IF(A207="","Missing order ID; ","")&amp;IF(B207="","Missing school; ","")&amp;IF(C207="Review","Unmapped region; ","")&amp;IF(D207="","Missing product; ","")&amp;IF(OR(E207="",E207&lt;=0),"Invalid units; ","")&amp;IF(OR(F207="",F207&lt;=0),"Invalid amount; ","")&amp;IF(G207="","Invalid date; ","")&amp;IF(H207="Missing","Missing sales rep; ","")&amp;IF(I207="Review","Unmapped payment status; ","")&amp;IF(J207="Duplicate","Duplicate ID; ","")</x:f>
      </x:c>
      <x:c r="M207" t="str">
        <x:f>IF(K207=0,"Ready","Review")</x:f>
        <x:v>Ready</x:v>
      </x:c>
    </x:row>
    <x:row r="208">
      <x:c r="A208" t="str">
        <x:f>UPPER(TRIM('Raw Sales'!A208))</x:f>
        <x:v>SAL-26-0203</x:v>
      </x:c>
      <x:c r="B208" t="str">
        <x:f>PROPER(TRIM('Raw Sales'!B208))</x:f>
        <x:v>Pinecrest School</x:v>
      </x:c>
      <x:c r="C208" t="str">
        <x:f>IF(OR(UPPER(TRIM('Raw Sales'!C208))="BOCHUM",UPPER(TRIM('Raw Sales'!C208))="BOCHUM REGION"),"Bochum",IF(OR(UPPER(TRIM('Raw Sales'!C208))="ELDORADO",UPPER(TRIM('Raw Sales'!C208))="ELDOS"),"Eldorado","Review"))</x:f>
        <x:v>Bochum</x:v>
      </x:c>
      <x:c r="D208" t="str">
        <x:f>PROPER(TRIM('Raw Sales'!D208))</x:f>
        <x:v>Pencils</x:v>
      </x:c>
      <x:c r="E208" s="8" t="str">
        <x:f>IFERROR(VALUE('Raw Sales'!E208),"")</x:f>
      </x:c>
      <x:c r="F208" s="9" t="n">
        <x:v>2250</x:v>
      </x:c>
      <x:c r="G208" s="10" t="n">
        <x:f>IFERROR(IF(OR(MID(TRIM('Raw Sales'!G208),5,1)="-",MID(TRIM('Raw Sales'!G208),5,1)="/"),DATE(VALUE(LEFT(TRIM('Raw Sales'!G208),4)),VALUE(MID(TRIM('Raw Sales'!G208),6,2)),VALUE(RIGHT(TRIM('Raw Sales'!G208),2))),IF(LEN(TRIM('Raw Sales'!G208))=10,DATE(VALUE(RIGHT(TRIM('Raw Sales'!G208),4)),VALUE(MID(TRIM('Raw Sales'!G208),4,2)),VALUE(LEFT(TRIM('Raw Sales'!G208),2))),IF(LEN(TRIM('Raw Sales'!G208))=8,DATE(2000+VALUE(RIGHT(TRIM('Raw Sales'!G208),2)),VALUE(MID(TRIM('Raw Sales'!G208),4,2)),VALUE(LEFT(TRIM('Raw Sales'!G208),2))),""))),"")</x:f>
        <x:v>46117</x:v>
      </x:c>
      <x:c r="H208" t="str">
        <x:f>IF(TRIM('Raw Sales'!H208)="","Missing",PROPER(TRIM('Raw Sales'!H208)))</x:f>
        <x:v>Thabo Ndlovu</x:v>
      </x:c>
      <x:c r="I208" t="str">
        <x:f>IF(OR(UPPER(TRIM('Raw Sales'!I208))="PAID",UPPER(TRIM('Raw Sales'!I208))="SETTLED",UPPER(TRIM('Raw Sales'!I208))="COMPLETE"),"Paid",IF(UPPER(TRIM('Raw Sales'!I208))="PENDING","Pending","Review"))</x:f>
        <x:v>Paid</x:v>
      </x:c>
      <x:c r="J208" t="str">
        <x:f>IF(A208="","Missing",IF(COUNTIF($A$6:A208,A208)&gt;1,"Duplicate","Unique"))</x:f>
        <x:v>Unique</x:v>
      </x:c>
      <x:c r="K208" s="11" t="n">
        <x:f>IF(A208="",1,0)+IF(B208="",1,0)+IF(C208="Review",1,0)+IF(D208="",1,0)+IF(OR(E208="",E208&lt;=0),1,0)+IF(OR(F208="",F208&lt;=0),1,0)+IF(G208="",1,0)+IF(H208="Missing",1,0)+IF(I208="Review",1,0)+IF(J208="Duplicate",1,0)</x:f>
        <x:v>1</x:v>
      </x:c>
      <x:c r="L208" s="12" t="str">
        <x:f>IF(A208="","Missing order ID; ","")&amp;IF(B208="","Missing school; ","")&amp;IF(C208="Review","Unmapped region; ","")&amp;IF(D208="","Missing product; ","")&amp;IF(OR(E208="",E208&lt;=0),"Invalid units; ","")&amp;IF(OR(F208="",F208&lt;=0),"Invalid amount; ","")&amp;IF(G208="","Invalid date; ","")&amp;IF(H208="Missing","Missing sales rep; ","")&amp;IF(I208="Review","Unmapped payment status; ","")&amp;IF(J208="Duplicate","Duplicate ID; ","")</x:f>
        <x:v>Invalid units; </x:v>
      </x:c>
      <x:c r="M208" t="str">
        <x:f>IF(K208=0,"Ready","Review")</x:f>
        <x:v>Review</x:v>
      </x:c>
    </x:row>
    <x:row r="209">
      <x:c r="A209" t="str">
        <x:f>UPPER(TRIM('Raw Sales'!A209))</x:f>
        <x:v>SAL-26-0204</x:v>
      </x:c>
      <x:c r="B209" t="str">
        <x:f>PROPER(TRIM('Raw Sales'!B209))</x:f>
        <x:v>Northstar Academy</x:v>
      </x:c>
      <x:c r="C209" t="str">
        <x:f>IF(OR(UPPER(TRIM('Raw Sales'!C209))="BOCHUM",UPPER(TRIM('Raw Sales'!C209))="BOCHUM REGION"),"Bochum",IF(OR(UPPER(TRIM('Raw Sales'!C209))="ELDORADO",UPPER(TRIM('Raw Sales'!C209))="ELDOS"),"Eldorado","Review"))</x:f>
        <x:v>Bochum</x:v>
      </x:c>
      <x:c r="D209" t="str">
        <x:f>PROPER(TRIM('Raw Sales'!D209))</x:f>
        <x:v>Folders</x:v>
      </x:c>
      <x:c r="E209" s="8" t="n">
        <x:f>IFERROR(VALUE('Raw Sales'!E209),"")</x:f>
        <x:v>25</x:v>
      </x:c>
      <x:c r="F209" s="9"/>
      <x:c r="G209" s="10" t="n">
        <x:f>IFERROR(IF(OR(MID(TRIM('Raw Sales'!G209),5,1)="-",MID(TRIM('Raw Sales'!G209),5,1)="/"),DATE(VALUE(LEFT(TRIM('Raw Sales'!G209),4)),VALUE(MID(TRIM('Raw Sales'!G209),6,2)),VALUE(RIGHT(TRIM('Raw Sales'!G209),2))),IF(LEN(TRIM('Raw Sales'!G209))=10,DATE(VALUE(RIGHT(TRIM('Raw Sales'!G209),4)),VALUE(MID(TRIM('Raw Sales'!G209),4,2)),VALUE(LEFT(TRIM('Raw Sales'!G209),2))),IF(LEN(TRIM('Raw Sales'!G209))=8,DATE(2000+VALUE(RIGHT(TRIM('Raw Sales'!G209),2)),VALUE(MID(TRIM('Raw Sales'!G209),4,2)),VALUE(LEFT(TRIM('Raw Sales'!G209),2))),""))),"")</x:f>
        <x:v>46148</x:v>
      </x:c>
      <x:c r="H209" t="str">
        <x:f>IF(TRIM('Raw Sales'!H209)="","Missing",PROPER(TRIM('Raw Sales'!H209)))</x:f>
        <x:v>Lebo Nkosi</x:v>
      </x:c>
      <x:c r="I209" t="str">
        <x:f>IF(OR(UPPER(TRIM('Raw Sales'!I209))="PAID",UPPER(TRIM('Raw Sales'!I209))="SETTLED",UPPER(TRIM('Raw Sales'!I209))="COMPLETE"),"Paid",IF(UPPER(TRIM('Raw Sales'!I209))="PENDING","Pending","Review"))</x:f>
        <x:v>Paid</x:v>
      </x:c>
      <x:c r="J209" t="str">
        <x:f>IF(A209="","Missing",IF(COUNTIF($A$6:A209,A209)&gt;1,"Duplicate","Unique"))</x:f>
        <x:v>Unique</x:v>
      </x:c>
      <x:c r="K209" s="11" t="n">
        <x:f>IF(A209="",1,0)+IF(B209="",1,0)+IF(C209="Review",1,0)+IF(D209="",1,0)+IF(OR(E209="",E209&lt;=0),1,0)+IF(OR(F209="",F209&lt;=0),1,0)+IF(G209="",1,0)+IF(H209="Missing",1,0)+IF(I209="Review",1,0)+IF(J209="Duplicate",1,0)</x:f>
        <x:v>1</x:v>
      </x:c>
      <x:c r="L209" s="12" t="str">
        <x:f>IF(A209="","Missing order ID; ","")&amp;IF(B209="","Missing school; ","")&amp;IF(C209="Review","Unmapped region; ","")&amp;IF(D209="","Missing product; ","")&amp;IF(OR(E209="",E209&lt;=0),"Invalid units; ","")&amp;IF(OR(F209="",F209&lt;=0),"Invalid amount; ","")&amp;IF(G209="","Invalid date; ","")&amp;IF(H209="Missing","Missing sales rep; ","")&amp;IF(I209="Review","Unmapped payment status; ","")&amp;IF(J209="Duplicate","Duplicate ID; ","")</x:f>
        <x:v>Invalid amount; </x:v>
      </x:c>
      <x:c r="M209" t="str">
        <x:f>IF(K209=0,"Ready","Review")</x:f>
        <x:v>Review</x:v>
      </x:c>
    </x:row>
    <x:row r="210">
      <x:c r="A210" t="str">
        <x:f>UPPER(TRIM('Raw Sales'!A210))</x:f>
        <x:v>SAL-26-0205</x:v>
      </x:c>
      <x:c r="B210" t="str">
        <x:f>PROPER(TRIM('Raw Sales'!B210))</x:f>
        <x:v>Crescent Primary</x:v>
      </x:c>
      <x:c r="C210" t="str">
        <x:f>IF(OR(UPPER(TRIM('Raw Sales'!C210))="BOCHUM",UPPER(TRIM('Raw Sales'!C210))="BOCHUM REGION"),"Bochum",IF(OR(UPPER(TRIM('Raw Sales'!C210))="ELDORADO",UPPER(TRIM('Raw Sales'!C210))="ELDOS"),"Eldorado","Review"))</x:f>
        <x:v>Eldorado</x:v>
      </x:c>
      <x:c r="D210" t="str">
        <x:f>PROPER(TRIM('Raw Sales'!D210))</x:f>
        <x:v>Pens</x:v>
      </x:c>
      <x:c r="E210" s="8" t="n">
        <x:f>IFERROR(VALUE('Raw Sales'!E210),"")</x:f>
        <x:v>32</x:v>
      </x:c>
      <x:c r="F210" s="9" t="n">
        <x:v>4832</x:v>
      </x:c>
      <x:c r="G210" s="10" t="n">
        <x:f>IFERROR(IF(OR(MID(TRIM('Raw Sales'!G210),5,1)="-",MID(TRIM('Raw Sales'!G210),5,1)="/"),DATE(VALUE(LEFT(TRIM('Raw Sales'!G210),4)),VALUE(MID(TRIM('Raw Sales'!G210),6,2)),VALUE(RIGHT(TRIM('Raw Sales'!G210),2))),IF(LEN(TRIM('Raw Sales'!G210))=10,DATE(VALUE(RIGHT(TRIM('Raw Sales'!G210),4)),VALUE(MID(TRIM('Raw Sales'!G210),4,2)),VALUE(LEFT(TRIM('Raw Sales'!G210),2))),IF(LEN(TRIM('Raw Sales'!G210))=8,DATE(2000+VALUE(RIGHT(TRIM('Raw Sales'!G210),2)),VALUE(MID(TRIM('Raw Sales'!G210),4,2)),VALUE(LEFT(TRIM('Raw Sales'!G210),2))),""))),"")</x:f>
        <x:v>46180</x:v>
      </x:c>
      <x:c r="H210" t="str">
        <x:f>IF(TRIM('Raw Sales'!H210)="","Missing",PROPER(TRIM('Raw Sales'!H210)))</x:f>
        <x:v>Thabo Ndlovu</x:v>
      </x:c>
      <x:c r="I210" t="str">
        <x:f>IF(OR(UPPER(TRIM('Raw Sales'!I210))="PAID",UPPER(TRIM('Raw Sales'!I210))="SETTLED",UPPER(TRIM('Raw Sales'!I210))="COMPLETE"),"Paid",IF(UPPER(TRIM('Raw Sales'!I210))="PENDING","Pending","Review"))</x:f>
        <x:v>Pending</x:v>
      </x:c>
      <x:c r="J210" t="str">
        <x:f>IF(A210="","Missing",IF(COUNTIF($A$6:A210,A210)&gt;1,"Duplicate","Unique"))</x:f>
        <x:v>Unique</x:v>
      </x:c>
      <x:c r="K210" s="11" t="n">
        <x:f>IF(A210="",1,0)+IF(B210="",1,0)+IF(C210="Review",1,0)+IF(D210="",1,0)+IF(OR(E210="",E210&lt;=0),1,0)+IF(OR(F210="",F210&lt;=0),1,0)+IF(G210="",1,0)+IF(H210="Missing",1,0)+IF(I210="Review",1,0)+IF(J210="Duplicate",1,0)</x:f>
        <x:v>0</x:v>
      </x:c>
      <x:c r="L210" s="12" t="str">
        <x:f>IF(A210="","Missing order ID; ","")&amp;IF(B210="","Missing school; ","")&amp;IF(C210="Review","Unmapped region; ","")&amp;IF(D210="","Missing product; ","")&amp;IF(OR(E210="",E210&lt;=0),"Invalid units; ","")&amp;IF(OR(F210="",F210&lt;=0),"Invalid amount; ","")&amp;IF(G210="","Invalid date; ","")&amp;IF(H210="Missing","Missing sales rep; ","")&amp;IF(I210="Review","Unmapped payment status; ","")&amp;IF(J210="Duplicate","Duplicate ID; ","")</x:f>
      </x:c>
      <x:c r="M210" t="str">
        <x:f>IF(K210=0,"Ready","Review")</x:f>
        <x:v>Ready</x:v>
      </x:c>
    </x:row>
    <x:row r="211">
      <x:c r="A211" t="str">
        <x:f>UPPER(TRIM('Raw Sales'!A211))</x:f>
        <x:v>SAL-26-0206</x:v>
      </x:c>
      <x:c r="B211" t="str">
        <x:f>PROPER(TRIM('Raw Sales'!B211))</x:f>
        <x:v>Hillview Primary</x:v>
      </x:c>
      <x:c r="C211" t="str">
        <x:f>IF(OR(UPPER(TRIM('Raw Sales'!C211))="BOCHUM",UPPER(TRIM('Raw Sales'!C211))="BOCHUM REGION"),"Bochum",IF(OR(UPPER(TRIM('Raw Sales'!C211))="ELDORADO",UPPER(TRIM('Raw Sales'!C211))="ELDOS"),"Eldorado","Review"))</x:f>
        <x:v>Bochum</x:v>
      </x:c>
      <x:c r="D211" t="str">
        <x:f>PROPER(TRIM('Raw Sales'!D211))</x:f>
        <x:v>Glue Sticks</x:v>
      </x:c>
      <x:c r="E211" s="8" t="n">
        <x:f>IFERROR(VALUE('Raw Sales'!E211),"")</x:f>
        <x:v>3</x:v>
      </x:c>
      <x:c r="F211" s="9" t="n">
        <x:v>492</x:v>
      </x:c>
      <x:c r="G211" s="10" t="n">
        <x:f>IFERROR(IF(OR(MID(TRIM('Raw Sales'!G211),5,1)="-",MID(TRIM('Raw Sales'!G211),5,1)="/"),DATE(VALUE(LEFT(TRIM('Raw Sales'!G211),4)),VALUE(MID(TRIM('Raw Sales'!G211),6,2)),VALUE(RIGHT(TRIM('Raw Sales'!G211),2))),IF(LEN(TRIM('Raw Sales'!G211))=10,DATE(VALUE(RIGHT(TRIM('Raw Sales'!G211),4)),VALUE(MID(TRIM('Raw Sales'!G211),4,2)),VALUE(LEFT(TRIM('Raw Sales'!G211),2))),IF(LEN(TRIM('Raw Sales'!G211))=8,DATE(2000+VALUE(RIGHT(TRIM('Raw Sales'!G211),2)),VALUE(MID(TRIM('Raw Sales'!G211),4,2)),VALUE(LEFT(TRIM('Raw Sales'!G211),2))),""))),"")</x:f>
        <x:v>46211</x:v>
      </x:c>
      <x:c r="H211" t="str">
        <x:f>IF(TRIM('Raw Sales'!H211)="","Missing",PROPER(TRIM('Raw Sales'!H211)))</x:f>
        <x:v>Lebo Nkosi</x:v>
      </x:c>
      <x:c r="I211" t="str">
        <x:f>IF(OR(UPPER(TRIM('Raw Sales'!I211))="PAID",UPPER(TRIM('Raw Sales'!I211))="SETTLED",UPPER(TRIM('Raw Sales'!I211))="COMPLETE"),"Paid",IF(UPPER(TRIM('Raw Sales'!I211))="PENDING","Pending","Review"))</x:f>
        <x:v>Paid</x:v>
      </x:c>
      <x:c r="J211" t="str">
        <x:f>IF(A211="","Missing",IF(COUNTIF($A$6:A211,A211)&gt;1,"Duplicate","Unique"))</x:f>
        <x:v>Unique</x:v>
      </x:c>
      <x:c r="K211" s="11" t="n">
        <x:f>IF(A211="",1,0)+IF(B211="",1,0)+IF(C211="Review",1,0)+IF(D211="",1,0)+IF(OR(E211="",E211&lt;=0),1,0)+IF(OR(F211="",F211&lt;=0),1,0)+IF(G211="",1,0)+IF(H211="Missing",1,0)+IF(I211="Review",1,0)+IF(J211="Duplicate",1,0)</x:f>
        <x:v>0</x:v>
      </x:c>
      <x:c r="L211" s="12" t="str">
        <x:f>IF(A211="","Missing order ID; ","")&amp;IF(B211="","Missing school; ","")&amp;IF(C211="Review","Unmapped region; ","")&amp;IF(D211="","Missing product; ","")&amp;IF(OR(E211="",E211&lt;=0),"Invalid units; ","")&amp;IF(OR(F211="",F211&lt;=0),"Invalid amount; ","")&amp;IF(G211="","Invalid date; ","")&amp;IF(H211="Missing","Missing sales rep; ","")&amp;IF(I211="Review","Unmapped payment status; ","")&amp;IF(J211="Duplicate","Duplicate ID; ","")</x:f>
      </x:c>
      <x:c r="M211" t="str">
        <x:f>IF(K211=0,"Ready","Review")</x:f>
        <x:v>Ready</x:v>
      </x:c>
    </x:row>
    <x:row r="212">
      <x:c r="A212" t="str">
        <x:f>UPPER(TRIM('Raw Sales'!A212))</x:f>
        <x:v>SAL-26-0207</x:v>
      </x:c>
      <x:c r="B212" t="str">
        <x:f>PROPER(TRIM('Raw Sales'!B212))</x:f>
        <x:v>Eastwood Academy</x:v>
      </x:c>
      <x:c r="C212" t="str">
        <x:f>IF(OR(UPPER(TRIM('Raw Sales'!C212))="BOCHUM",UPPER(TRIM('Raw Sales'!C212))="BOCHUM REGION"),"Bochum",IF(OR(UPPER(TRIM('Raw Sales'!C212))="ELDORADO",UPPER(TRIM('Raw Sales'!C212))="ELDOS"),"Eldorado","Review"))</x:f>
        <x:v>Eldorado</x:v>
      </x:c>
      <x:c r="D212" t="str">
        <x:f>PROPER(TRIM('Raw Sales'!D212))</x:f>
        <x:v>Markers</x:v>
      </x:c>
      <x:c r="E212" s="8" t="n">
        <x:f>IFERROR(VALUE('Raw Sales'!E212),"")</x:f>
        <x:v>10</x:v>
      </x:c>
      <x:c r="F212" s="9" t="n">
        <x:v>1770</x:v>
      </x:c>
      <x:c r="G212" s="10" t="n">
        <x:f>IFERROR(IF(OR(MID(TRIM('Raw Sales'!G212),5,1)="-",MID(TRIM('Raw Sales'!G212),5,1)="/"),DATE(VALUE(LEFT(TRIM('Raw Sales'!G212),4)),VALUE(MID(TRIM('Raw Sales'!G212),6,2)),VALUE(RIGHT(TRIM('Raw Sales'!G212),2))),IF(LEN(TRIM('Raw Sales'!G212))=10,DATE(VALUE(RIGHT(TRIM('Raw Sales'!G212),4)),VALUE(MID(TRIM('Raw Sales'!G212),4,2)),VALUE(LEFT(TRIM('Raw Sales'!G212),2))),IF(LEN(TRIM('Raw Sales'!G212))=8,DATE(2000+VALUE(RIGHT(TRIM('Raw Sales'!G212),2)),VALUE(MID(TRIM('Raw Sales'!G212),4,2)),VALUE(LEFT(TRIM('Raw Sales'!G212),2))),""))),"")</x:f>
        <x:v>46243</x:v>
      </x:c>
      <x:c r="H212" t="str">
        <x:f>IF(TRIM('Raw Sales'!H212)="","Missing",PROPER(TRIM('Raw Sales'!H212)))</x:f>
        <x:v>Missing</x:v>
      </x:c>
      <x:c r="I212" t="str">
        <x:f>IF(OR(UPPER(TRIM('Raw Sales'!I212))="PAID",UPPER(TRIM('Raw Sales'!I212))="SETTLED",UPPER(TRIM('Raw Sales'!I212))="COMPLETE"),"Paid",IF(UPPER(TRIM('Raw Sales'!I212))="PENDING","Pending","Review"))</x:f>
        <x:v>Paid</x:v>
      </x:c>
      <x:c r="J212" t="str">
        <x:f>IF(A212="","Missing",IF(COUNTIF($A$6:A212,A212)&gt;1,"Duplicate","Unique"))</x:f>
        <x:v>Unique</x:v>
      </x:c>
      <x:c r="K212" s="11" t="n">
        <x:f>IF(A212="",1,0)+IF(B212="",1,0)+IF(C212="Review",1,0)+IF(D212="",1,0)+IF(OR(E212="",E212&lt;=0),1,0)+IF(OR(F212="",F212&lt;=0),1,0)+IF(G212="",1,0)+IF(H212="Missing",1,0)+IF(I212="Review",1,0)+IF(J212="Duplicate",1,0)</x:f>
        <x:v>1</x:v>
      </x:c>
      <x:c r="L212" s="12" t="str">
        <x:f>IF(A212="","Missing order ID; ","")&amp;IF(B212="","Missing school; ","")&amp;IF(C212="Review","Unmapped region; ","")&amp;IF(D212="","Missing product; ","")&amp;IF(OR(E212="",E212&lt;=0),"Invalid units; ","")&amp;IF(OR(F212="",F212&lt;=0),"Invalid amount; ","")&amp;IF(G212="","Invalid date; ","")&amp;IF(H212="Missing","Missing sales rep; ","")&amp;IF(I212="Review","Unmapped payment status; ","")&amp;IF(J212="Duplicate","Duplicate ID; ","")</x:f>
        <x:v>Missing sales rep; </x:v>
      </x:c>
      <x:c r="M212" t="str">
        <x:f>IF(K212=0,"Ready","Review")</x:f>
        <x:v>Review</x:v>
      </x:c>
    </x:row>
    <x:row r="213">
      <x:c r="A213" t="str">
        <x:f>UPPER(TRIM('Raw Sales'!A213))</x:f>
        <x:v>SAL-26-0208</x:v>
      </x:c>
      <x:c r="B213" t="str">
        <x:f>PROPER(TRIM('Raw Sales'!B213))</x:f>
        <x:v>Lakeside School</x:v>
      </x:c>
      <x:c r="C213" t="str">
        <x:f>IF(OR(UPPER(TRIM('Raw Sales'!C213))="BOCHUM",UPPER(TRIM('Raw Sales'!C213))="BOCHUM REGION"),"Bochum",IF(OR(UPPER(TRIM('Raw Sales'!C213))="ELDORADO",UPPER(TRIM('Raw Sales'!C213))="ELDOS"),"Eldorado","Review"))</x:f>
        <x:v>Bochum</x:v>
      </x:c>
      <x:c r="D213" t="str">
        <x:f>PROPER(TRIM('Raw Sales'!D213))</x:f>
        <x:v>Notebooks</x:v>
      </x:c>
      <x:c r="E213" s="8" t="n">
        <x:f>IFERROR(VALUE('Raw Sales'!E213),"")</x:f>
        <x:v>17</x:v>
      </x:c>
      <x:c r="F213" s="9" t="n">
        <x:v>3230</x:v>
      </x:c>
      <x:c r="G213" s="10" t="n">
        <x:f>IFERROR(IF(OR(MID(TRIM('Raw Sales'!G213),5,1)="-",MID(TRIM('Raw Sales'!G213),5,1)="/"),DATE(VALUE(LEFT(TRIM('Raw Sales'!G213),4)),VALUE(MID(TRIM('Raw Sales'!G213),6,2)),VALUE(RIGHT(TRIM('Raw Sales'!G213),2))),IF(LEN(TRIM('Raw Sales'!G213))=10,DATE(VALUE(RIGHT(TRIM('Raw Sales'!G213),4)),VALUE(MID(TRIM('Raw Sales'!G213),4,2)),VALUE(LEFT(TRIM('Raw Sales'!G213),2))),IF(LEN(TRIM('Raw Sales'!G213))=8,DATE(2000+VALUE(RIGHT(TRIM('Raw Sales'!G213),2)),VALUE(MID(TRIM('Raw Sales'!G213),4,2)),VALUE(LEFT(TRIM('Raw Sales'!G213),2))),""))),"")</x:f>
        <x:v>46032</x:v>
      </x:c>
      <x:c r="H213" t="str">
        <x:f>IF(TRIM('Raw Sales'!H213)="","Missing",PROPER(TRIM('Raw Sales'!H213)))</x:f>
        <x:v>Lebo Nkosi</x:v>
      </x:c>
      <x:c r="I213" t="str">
        <x:f>IF(OR(UPPER(TRIM('Raw Sales'!I213))="PAID",UPPER(TRIM('Raw Sales'!I213))="SETTLED",UPPER(TRIM('Raw Sales'!I213))="COMPLETE"),"Paid",IF(UPPER(TRIM('Raw Sales'!I213))="PENDING","Pending","Review"))</x:f>
        <x:v>Pending</x:v>
      </x:c>
      <x:c r="J213" t="str">
        <x:f>IF(A213="","Missing",IF(COUNTIF($A$6:A213,A213)&gt;1,"Duplicate","Unique"))</x:f>
        <x:v>Unique</x:v>
      </x:c>
      <x:c r="K213" s="11" t="n">
        <x:f>IF(A213="",1,0)+IF(B213="",1,0)+IF(C213="Review",1,0)+IF(D213="",1,0)+IF(OR(E213="",E213&lt;=0),1,0)+IF(OR(F213="",F213&lt;=0),1,0)+IF(G213="",1,0)+IF(H213="Missing",1,0)+IF(I213="Review",1,0)+IF(J213="Duplicate",1,0)</x:f>
        <x:v>0</x:v>
      </x:c>
      <x:c r="L213" s="12" t="str">
        <x:f>IF(A213="","Missing order ID; ","")&amp;IF(B213="","Missing school; ","")&amp;IF(C213="Review","Unmapped region; ","")&amp;IF(D213="","Missing product; ","")&amp;IF(OR(E213="",E213&lt;=0),"Invalid units; ","")&amp;IF(OR(F213="",F213&lt;=0),"Invalid amount; ","")&amp;IF(G213="","Invalid date; ","")&amp;IF(H213="Missing","Missing sales rep; ","")&amp;IF(I213="Review","Unmapped payment status; ","")&amp;IF(J213="Duplicate","Duplicate ID; ","")</x:f>
      </x:c>
      <x:c r="M213" t="str">
        <x:f>IF(K213=0,"Ready","Review")</x:f>
        <x:v>Ready</x:v>
      </x:c>
    </x:row>
    <x:row r="214">
      <x:c r="A214" t="str">
        <x:f>UPPER(TRIM('Raw Sales'!A214))</x:f>
        <x:v>SAL-26-0209</x:v>
      </x:c>
      <x:c r="B214" t="str">
        <x:f>PROPER(TRIM('Raw Sales'!B214))</x:f>
        <x:v>Valley Primary</x:v>
      </x:c>
      <x:c r="C214" t="str">
        <x:f>IF(OR(UPPER(TRIM('Raw Sales'!C214))="BOCHUM",UPPER(TRIM('Raw Sales'!C214))="BOCHUM REGION"),"Bochum",IF(OR(UPPER(TRIM('Raw Sales'!C214))="ELDORADO",UPPER(TRIM('Raw Sales'!C214))="ELDOS"),"Eldorado","Review"))</x:f>
        <x:v>Eldorado</x:v>
      </x:c>
      <x:c r="D214" t="str">
        <x:f>PROPER(TRIM('Raw Sales'!D214))</x:f>
        <x:v>Rulers</x:v>
      </x:c>
      <x:c r="E214" s="8" t="n">
        <x:f>IFERROR(VALUE('Raw Sales'!E214),"")</x:f>
        <x:v>24</x:v>
      </x:c>
      <x:c r="F214" s="9" t="n">
        <x:v>528</x:v>
      </x:c>
      <x:c r="G214" s="10" t="n">
        <x:f>IFERROR(IF(OR(MID(TRIM('Raw Sales'!G214),5,1)="-",MID(TRIM('Raw Sales'!G214),5,1)="/"),DATE(VALUE(LEFT(TRIM('Raw Sales'!G214),4)),VALUE(MID(TRIM('Raw Sales'!G214),6,2)),VALUE(RIGHT(TRIM('Raw Sales'!G214),2))),IF(LEN(TRIM('Raw Sales'!G214))=10,DATE(VALUE(RIGHT(TRIM('Raw Sales'!G214),4)),VALUE(MID(TRIM('Raw Sales'!G214),4,2)),VALUE(LEFT(TRIM('Raw Sales'!G214),2))),IF(LEN(TRIM('Raw Sales'!G214))=8,DATE(2000+VALUE(RIGHT(TRIM('Raw Sales'!G214),2)),VALUE(MID(TRIM('Raw Sales'!G214),4,2)),VALUE(LEFT(TRIM('Raw Sales'!G214),2))),""))),"")</x:f>
        <x:v>46064</x:v>
      </x:c>
      <x:c r="H214" t="str">
        <x:f>IF(TRIM('Raw Sales'!H214)="","Missing",PROPER(TRIM('Raw Sales'!H214)))</x:f>
        <x:v>Thabo Ndlovu</x:v>
      </x:c>
      <x:c r="I214" t="str">
        <x:f>IF(OR(UPPER(TRIM('Raw Sales'!I214))="PAID",UPPER(TRIM('Raw Sales'!I214))="SETTLED",UPPER(TRIM('Raw Sales'!I214))="COMPLETE"),"Paid",IF(UPPER(TRIM('Raw Sales'!I214))="PENDING","Pending","Review"))</x:f>
        <x:v>Paid</x:v>
      </x:c>
      <x:c r="J214" t="str">
        <x:f>IF(A214="","Missing",IF(COUNTIF($A$6:A214,A214)&gt;1,"Duplicate","Unique"))</x:f>
        <x:v>Unique</x:v>
      </x:c>
      <x:c r="K214" s="11" t="n">
        <x:f>IF(A214="",1,0)+IF(B214="",1,0)+IF(C214="Review",1,0)+IF(D214="",1,0)+IF(OR(E214="",E214&lt;=0),1,0)+IF(OR(F214="",F214&lt;=0),1,0)+IF(G214="",1,0)+IF(H214="Missing",1,0)+IF(I214="Review",1,0)+IF(J214="Duplicate",1,0)</x:f>
        <x:v>0</x:v>
      </x:c>
      <x:c r="L214" s="12" t="str">
        <x:f>IF(A214="","Missing order ID; ","")&amp;IF(B214="","Missing school; ","")&amp;IF(C214="Review","Unmapped region; ","")&amp;IF(D214="","Missing product; ","")&amp;IF(OR(E214="",E214&lt;=0),"Invalid units; ","")&amp;IF(OR(F214="",F214&lt;=0),"Invalid amount; ","")&amp;IF(G214="","Invalid date; ","")&amp;IF(H214="Missing","Missing sales rep; ","")&amp;IF(I214="Review","Unmapped payment status; ","")&amp;IF(J214="Duplicate","Duplicate ID; ","")</x:f>
      </x:c>
      <x:c r="M214" t="str">
        <x:f>IF(K214=0,"Ready","Review")</x:f>
        <x:v>Ready</x:v>
      </x:c>
    </x:row>
    <x:row r="215">
      <x:c r="A215" t="str">
        <x:f>UPPER(TRIM('Raw Sales'!A215))</x:f>
        <x:v>SAL-26-0210</x:v>
      </x:c>
      <x:c r="B215" t="str">
        <x:f>PROPER(TRIM('Raw Sales'!B215))</x:f>
        <x:v>Mhlabeni Secondary</x:v>
      </x:c>
      <x:c r="C215" t="str">
        <x:f>IF(OR(UPPER(TRIM('Raw Sales'!C215))="BOCHUM",UPPER(TRIM('Raw Sales'!C215))="BOCHUM REGION"),"Bochum",IF(OR(UPPER(TRIM('Raw Sales'!C215))="ELDORADO",UPPER(TRIM('Raw Sales'!C215))="ELDOS"),"Eldorado","Review"))</x:f>
        <x:v>Eldorado</x:v>
      </x:c>
      <x:c r="D215" t="str">
        <x:f>PROPER(TRIM('Raw Sales'!D215))</x:f>
        <x:v>Exercise Books</x:v>
      </x:c>
      <x:c r="E215" s="8" t="n">
        <x:f>IFERROR(VALUE('Raw Sales'!E215),"")</x:f>
        <x:v>31</x:v>
      </x:c>
      <x:c r="F215" s="9" t="n">
        <x:v>1085</x:v>
      </x:c>
      <x:c r="G215" s="10" t="n">
        <x:f>IFERROR(IF(OR(MID(TRIM('Raw Sales'!G215),5,1)="-",MID(TRIM('Raw Sales'!G215),5,1)="/"),DATE(VALUE(LEFT(TRIM('Raw Sales'!G215),4)),VALUE(MID(TRIM('Raw Sales'!G215),6,2)),VALUE(RIGHT(TRIM('Raw Sales'!G215),2))),IF(LEN(TRIM('Raw Sales'!G215))=10,DATE(VALUE(RIGHT(TRIM('Raw Sales'!G215),4)),VALUE(MID(TRIM('Raw Sales'!G215),4,2)),VALUE(LEFT(TRIM('Raw Sales'!G215),2))),IF(LEN(TRIM('Raw Sales'!G215))=8,DATE(2000+VALUE(RIGHT(TRIM('Raw Sales'!G215),2)),VALUE(MID(TRIM('Raw Sales'!G215),4,2)),VALUE(LEFT(TRIM('Raw Sales'!G215),2))),""))),"")</x:f>
        <x:v>46093</x:v>
      </x:c>
      <x:c r="H215" t="str">
        <x:f>IF(TRIM('Raw Sales'!H215)="","Missing",PROPER(TRIM('Raw Sales'!H215)))</x:f>
        <x:v>Lebo Nkosi</x:v>
      </x:c>
      <x:c r="I215" t="str">
        <x:f>IF(OR(UPPER(TRIM('Raw Sales'!I215))="PAID",UPPER(TRIM('Raw Sales'!I215))="SETTLED",UPPER(TRIM('Raw Sales'!I215))="COMPLETE"),"Paid",IF(UPPER(TRIM('Raw Sales'!I215))="PENDING","Pending","Review"))</x:f>
        <x:v>Paid</x:v>
      </x:c>
      <x:c r="J215" t="str">
        <x:f>IF(A215="","Missing",IF(COUNTIF($A$6:A215,A215)&gt;1,"Duplicate","Unique"))</x:f>
        <x:v>Unique</x:v>
      </x:c>
      <x:c r="K215" s="11" t="n">
        <x:f>IF(A215="",1,0)+IF(B215="",1,0)+IF(C215="Review",1,0)+IF(D215="",1,0)+IF(OR(E215="",E215&lt;=0),1,0)+IF(OR(F215="",F215&lt;=0),1,0)+IF(G215="",1,0)+IF(H215="Missing",1,0)+IF(I215="Review",1,0)+IF(J215="Duplicate",1,0)</x:f>
        <x:v>0</x:v>
      </x:c>
      <x:c r="L215" s="12" t="str">
        <x:f>IF(A215="","Missing order ID; ","")&amp;IF(B215="","Missing school; ","")&amp;IF(C215="Review","Unmapped region; ","")&amp;IF(D215="","Missing product; ","")&amp;IF(OR(E215="",E215&lt;=0),"Invalid units; ","")&amp;IF(OR(F215="",F215&lt;=0),"Invalid amount; ","")&amp;IF(G215="","Invalid date; ","")&amp;IF(H215="Missing","Missing sales rep; ","")&amp;IF(I215="Review","Unmapped payment status; ","")&amp;IF(J215="Duplicate","Duplicate ID; ","")</x:f>
      </x:c>
      <x:c r="M215" t="str">
        <x:f>IF(K215=0,"Ready","Review")</x:f>
        <x:v>Ready</x:v>
      </x:c>
    </x:row>
    <x:row r="216">
      <x:c r="A216" t="str">
        <x:f>UPPER(TRIM('Raw Sales'!A216))</x:f>
        <x:v>SAL-26-0211</x:v>
      </x:c>
      <x:c r="B216" t="str">
        <x:f>PROPER(TRIM('Raw Sales'!B216))</x:f>
        <x:v>Meadowlands School</x:v>
      </x:c>
      <x:c r="C216" t="str">
        <x:f>IF(OR(UPPER(TRIM('Raw Sales'!C216))="BOCHUM",UPPER(TRIM('Raw Sales'!C216))="BOCHUM REGION"),"Bochum",IF(OR(UPPER(TRIM('Raw Sales'!C216))="ELDORADO",UPPER(TRIM('Raw Sales'!C216))="ELDOS"),"Eldorado","Review"))</x:f>
        <x:v>Bochum</x:v>
      </x:c>
      <x:c r="D216" t="str">
        <x:f>PROPER(TRIM('Raw Sales'!D216))</x:f>
        <x:v>Pencils</x:v>
      </x:c>
      <x:c r="E216" s="8" t="n">
        <x:f>IFERROR(VALUE('Raw Sales'!E216),"")</x:f>
        <x:v>2</x:v>
      </x:c>
      <x:c r="F216" s="9" t="n">
        <x:v>96</x:v>
      </x:c>
      <x:c r="G216" s="10" t="n">
        <x:f>IFERROR(IF(OR(MID(TRIM('Raw Sales'!G216),5,1)="-",MID(TRIM('Raw Sales'!G216),5,1)="/"),DATE(VALUE(LEFT(TRIM('Raw Sales'!G216),4)),VALUE(MID(TRIM('Raw Sales'!G216),6,2)),VALUE(RIGHT(TRIM('Raw Sales'!G216),2))),IF(LEN(TRIM('Raw Sales'!G216))=10,DATE(VALUE(RIGHT(TRIM('Raw Sales'!G216),4)),VALUE(MID(TRIM('Raw Sales'!G216),4,2)),VALUE(LEFT(TRIM('Raw Sales'!G216),2))),IF(LEN(TRIM('Raw Sales'!G216))=8,DATE(2000+VALUE(RIGHT(TRIM('Raw Sales'!G216),2)),VALUE(MID(TRIM('Raw Sales'!G216),4,2)),VALUE(LEFT(TRIM('Raw Sales'!G216),2))),""))),"")</x:f>
        <x:v>46125</x:v>
      </x:c>
      <x:c r="H216" t="str">
        <x:f>IF(TRIM('Raw Sales'!H216)="","Missing",PROPER(TRIM('Raw Sales'!H216)))</x:f>
        <x:v>Thabo Ndlovu</x:v>
      </x:c>
      <x:c r="I216" t="str">
        <x:f>IF(OR(UPPER(TRIM('Raw Sales'!I216))="PAID",UPPER(TRIM('Raw Sales'!I216))="SETTLED",UPPER(TRIM('Raw Sales'!I216))="COMPLETE"),"Paid",IF(UPPER(TRIM('Raw Sales'!I216))="PENDING","Pending","Review"))</x:f>
        <x:v>Pending</x:v>
      </x:c>
      <x:c r="J216" t="str">
        <x:f>IF(A216="","Missing",IF(COUNTIF($A$6:A216,A216)&gt;1,"Duplicate","Unique"))</x:f>
        <x:v>Unique</x:v>
      </x:c>
      <x:c r="K216" s="11" t="n">
        <x:f>IF(A216="",1,0)+IF(B216="",1,0)+IF(C216="Review",1,0)+IF(D216="",1,0)+IF(OR(E216="",E216&lt;=0),1,0)+IF(OR(F216="",F216&lt;=0),1,0)+IF(G216="",1,0)+IF(H216="Missing",1,0)+IF(I216="Review",1,0)+IF(J216="Duplicate",1,0)</x:f>
        <x:v>0</x:v>
      </x:c>
      <x:c r="L216" s="12" t="str">
        <x:f>IF(A216="","Missing order ID; ","")&amp;IF(B216="","Missing school; ","")&amp;IF(C216="Review","Unmapped region; ","")&amp;IF(D216="","Missing product; ","")&amp;IF(OR(E216="",E216&lt;=0),"Invalid units; ","")&amp;IF(OR(F216="",F216&lt;=0),"Invalid amount; ","")&amp;IF(G216="","Invalid date; ","")&amp;IF(H216="Missing","Missing sales rep; ","")&amp;IF(I216="Review","Unmapped payment status; ","")&amp;IF(J216="Duplicate","Duplicate ID; ","")</x:f>
      </x:c>
      <x:c r="M216" t="str">
        <x:f>IF(K216=0,"Ready","Review")</x:f>
        <x:v>Ready</x:v>
      </x:c>
    </x:row>
    <x:row r="217">
      <x:c r="A217" t="str">
        <x:f>UPPER(TRIM('Raw Sales'!A217))</x:f>
        <x:v>SAL-26-0212</x:v>
      </x:c>
      <x:c r="B217" t="str">
        <x:f>PROPER(TRIM('Raw Sales'!B217))</x:f>
        <x:v>Gardenview School</x:v>
      </x:c>
      <x:c r="C217" t="str">
        <x:f>IF(OR(UPPER(TRIM('Raw Sales'!C217))="BOCHUM",UPPER(TRIM('Raw Sales'!C217))="BOCHUM REGION"),"Bochum",IF(OR(UPPER(TRIM('Raw Sales'!C217))="ELDORADO",UPPER(TRIM('Raw Sales'!C217))="ELDOS"),"Eldorado","Review"))</x:f>
        <x:v>Eldorado</x:v>
      </x:c>
      <x:c r="D217" t="str">
        <x:f>PROPER(TRIM('Raw Sales'!D217))</x:f>
        <x:v>Folders</x:v>
      </x:c>
      <x:c r="E217" s="8" t="n">
        <x:f>IFERROR(VALUE('Raw Sales'!E217),"")</x:f>
        <x:v>9</x:v>
      </x:c>
      <x:c r="F217" s="9" t="n">
        <x:v>549</x:v>
      </x:c>
      <x:c r="G217" s="10" t="n">
        <x:f>IFERROR(IF(OR(MID(TRIM('Raw Sales'!G217),5,1)="-",MID(TRIM('Raw Sales'!G217),5,1)="/"),DATE(VALUE(LEFT(TRIM('Raw Sales'!G217),4)),VALUE(MID(TRIM('Raw Sales'!G217),6,2)),VALUE(RIGHT(TRIM('Raw Sales'!G217),2))),IF(LEN(TRIM('Raw Sales'!G217))=10,DATE(VALUE(RIGHT(TRIM('Raw Sales'!G217),4)),VALUE(MID(TRIM('Raw Sales'!G217),4,2)),VALUE(LEFT(TRIM('Raw Sales'!G217),2))),IF(LEN(TRIM('Raw Sales'!G217))=8,DATE(2000+VALUE(RIGHT(TRIM('Raw Sales'!G217),2)),VALUE(MID(TRIM('Raw Sales'!G217),4,2)),VALUE(LEFT(TRIM('Raw Sales'!G217),2))),""))),"")</x:f>
        <x:v>46612</x:v>
      </x:c>
      <x:c r="H217" t="str">
        <x:f>IF(TRIM('Raw Sales'!H217)="","Missing",PROPER(TRIM('Raw Sales'!H217)))</x:f>
        <x:v>Lebo Nkosi</x:v>
      </x:c>
      <x:c r="I217" t="str">
        <x:f>IF(OR(UPPER(TRIM('Raw Sales'!I217))="PAID",UPPER(TRIM('Raw Sales'!I217))="SETTLED",UPPER(TRIM('Raw Sales'!I217))="COMPLETE"),"Paid",IF(UPPER(TRIM('Raw Sales'!I217))="PENDING","Pending","Review"))</x:f>
        <x:v>Paid</x:v>
      </x:c>
      <x:c r="J217" t="str">
        <x:f>IF(A217="","Missing",IF(COUNTIF($A$6:A217,A217)&gt;1,"Duplicate","Unique"))</x:f>
        <x:v>Unique</x:v>
      </x:c>
      <x:c r="K217" s="11" t="n">
        <x:f>IF(A217="",1,0)+IF(B217="",1,0)+IF(C217="Review",1,0)+IF(D217="",1,0)+IF(OR(E217="",E217&lt;=0),1,0)+IF(OR(F217="",F217&lt;=0),1,0)+IF(G217="",1,0)+IF(H217="Missing",1,0)+IF(I217="Review",1,0)+IF(J217="Duplicate",1,0)</x:f>
        <x:v>0</x:v>
      </x:c>
      <x:c r="L217" s="12" t="str">
        <x:f>IF(A217="","Missing order ID; ","")&amp;IF(B217="","Missing school; ","")&amp;IF(C217="Review","Unmapped region; ","")&amp;IF(D217="","Missing product; ","")&amp;IF(OR(E217="",E217&lt;=0),"Invalid units; ","")&amp;IF(OR(F217="",F217&lt;=0),"Invalid amount; ","")&amp;IF(G217="","Invalid date; ","")&amp;IF(H217="Missing","Missing sales rep; ","")&amp;IF(I217="Review","Unmapped payment status; ","")&amp;IF(J217="Duplicate","Duplicate ID; ","")</x:f>
      </x:c>
      <x:c r="M217" t="str">
        <x:f>IF(K217=0,"Ready","Review")</x:f>
        <x:v>Ready</x:v>
      </x:c>
    </x:row>
    <x:row r="218">
      <x:c r="A218" t="str">
        <x:f>UPPER(TRIM('Raw Sales'!A218))</x:f>
        <x:v>SAL-26-0213</x:v>
      </x:c>
      <x:c r="B218" t="str">
        <x:f>PROPER(TRIM('Raw Sales'!B218))</x:f>
        <x:v>Riverside Academy</x:v>
      </x:c>
      <x:c r="C218" t="str">
        <x:f>IF(OR(UPPER(TRIM('Raw Sales'!C218))="BOCHUM",UPPER(TRIM('Raw Sales'!C218))="BOCHUM REGION"),"Bochum",IF(OR(UPPER(TRIM('Raw Sales'!C218))="ELDORADO",UPPER(TRIM('Raw Sales'!C218))="ELDOS"),"Eldorado","Review"))</x:f>
        <x:v>Bochum</x:v>
      </x:c>
      <x:c r="D218" t="str">
        <x:f>PROPER(TRIM('Raw Sales'!D218))</x:f>
        <x:v>Pens</x:v>
      </x:c>
      <x:c r="E218" s="8" t="n">
        <x:f>IFERROR(VALUE('Raw Sales'!E218),"")</x:f>
        <x:v>16</x:v>
      </x:c>
      <x:c r="F218" s="9" t="n">
        <x:v>1184</x:v>
      </x:c>
      <x:c r="G218" s="10" t="n">
        <x:f>IFERROR(IF(OR(MID(TRIM('Raw Sales'!G218),5,1)="-",MID(TRIM('Raw Sales'!G218),5,1)="/"),DATE(VALUE(LEFT(TRIM('Raw Sales'!G218),4)),VALUE(MID(TRIM('Raw Sales'!G218),6,2)),VALUE(RIGHT(TRIM('Raw Sales'!G218),2))),IF(LEN(TRIM('Raw Sales'!G218))=10,DATE(VALUE(RIGHT(TRIM('Raw Sales'!G218),4)),VALUE(MID(TRIM('Raw Sales'!G218),4,2)),VALUE(LEFT(TRIM('Raw Sales'!G218),2))),IF(LEN(TRIM('Raw Sales'!G218))=8,DATE(2000+VALUE(RIGHT(TRIM('Raw Sales'!G218),2)),VALUE(MID(TRIM('Raw Sales'!G218),4,2)),VALUE(LEFT(TRIM('Raw Sales'!G218),2))),""))),"")</x:f>
        <x:v>46188</x:v>
      </x:c>
      <x:c r="H218" t="str">
        <x:f>IF(TRIM('Raw Sales'!H218)="","Missing",PROPER(TRIM('Raw Sales'!H218)))</x:f>
        <x:v>Thabo Ndlovu</x:v>
      </x:c>
      <x:c r="I218" t="str">
        <x:f>IF(OR(UPPER(TRIM('Raw Sales'!I218))="PAID",UPPER(TRIM('Raw Sales'!I218))="SETTLED",UPPER(TRIM('Raw Sales'!I218))="COMPLETE"),"Paid",IF(UPPER(TRIM('Raw Sales'!I218))="PENDING","Pending","Review"))</x:f>
        <x:v>Paid</x:v>
      </x:c>
      <x:c r="J218" t="str">
        <x:f>IF(A218="","Missing",IF(COUNTIF($A$6:A218,A218)&gt;1,"Duplicate","Unique"))</x:f>
        <x:v>Unique</x:v>
      </x:c>
      <x:c r="K218" s="11" t="n">
        <x:f>IF(A218="",1,0)+IF(B218="",1,0)+IF(C218="Review",1,0)+IF(D218="",1,0)+IF(OR(E218="",E218&lt;=0),1,0)+IF(OR(F218="",F218&lt;=0),1,0)+IF(G218="",1,0)+IF(H218="Missing",1,0)+IF(I218="Review",1,0)+IF(J218="Duplicate",1,0)</x:f>
        <x:v>0</x:v>
      </x:c>
      <x:c r="L218" s="12" t="str">
        <x:f>IF(A218="","Missing order ID; ","")&amp;IF(B218="","Missing school; ","")&amp;IF(C218="Review","Unmapped region; ","")&amp;IF(D218="","Missing product; ","")&amp;IF(OR(E218="",E218&lt;=0),"Invalid units; ","")&amp;IF(OR(F218="",F218&lt;=0),"Invalid amount; ","")&amp;IF(G218="","Invalid date; ","")&amp;IF(H218="Missing","Missing sales rep; ","")&amp;IF(I218="Review","Unmapped payment status; ","")&amp;IF(J218="Duplicate","Duplicate ID; ","")</x:f>
      </x:c>
      <x:c r="M218" t="str">
        <x:f>IF(K218=0,"Ready","Review")</x:f>
        <x:v>Ready</x:v>
      </x:c>
    </x:row>
    <x:row r="219">
      <x:c r="A219" t="str">
        <x:f>UPPER(TRIM('Raw Sales'!A219))</x:f>
        <x:v>SAL-26-0214</x:v>
      </x:c>
      <x:c r="B219" t="str">
        <x:f>PROPER(TRIM('Raw Sales'!B219))</x:f>
        <x:v>Maple Secondary</x:v>
      </x:c>
      <x:c r="C219" t="str">
        <x:f>IF(OR(UPPER(TRIM('Raw Sales'!C219))="BOCHUM",UPPER(TRIM('Raw Sales'!C219))="BOCHUM REGION"),"Bochum",IF(OR(UPPER(TRIM('Raw Sales'!C219))="ELDORADO",UPPER(TRIM('Raw Sales'!C219))="ELDOS"),"Eldorado","Review"))</x:f>
        <x:v>Eldorado</x:v>
      </x:c>
      <x:c r="D219" t="str">
        <x:f>PROPER(TRIM('Raw Sales'!D219))</x:f>
        <x:v>Glue Sticks</x:v>
      </x:c>
      <x:c r="E219" s="8" t="n">
        <x:f>IFERROR(VALUE('Raw Sales'!E219),"")</x:f>
        <x:v>23</x:v>
      </x:c>
      <x:c r="F219" s="9" t="n">
        <x:v>2001</x:v>
      </x:c>
      <x:c r="G219" s="10" t="n">
        <x:f>IFERROR(IF(OR(MID(TRIM('Raw Sales'!G219),5,1)="-",MID(TRIM('Raw Sales'!G219),5,1)="/"),DATE(VALUE(LEFT(TRIM('Raw Sales'!G219),4)),VALUE(MID(TRIM('Raw Sales'!G219),6,2)),VALUE(RIGHT(TRIM('Raw Sales'!G219),2))),IF(LEN(TRIM('Raw Sales'!G219))=10,DATE(VALUE(RIGHT(TRIM('Raw Sales'!G219),4)),VALUE(MID(TRIM('Raw Sales'!G219),4,2)),VALUE(LEFT(TRIM('Raw Sales'!G219),2))),IF(LEN(TRIM('Raw Sales'!G219))=8,DATE(2000+VALUE(RIGHT(TRIM('Raw Sales'!G219),2)),VALUE(MID(TRIM('Raw Sales'!G219),4,2)),VALUE(LEFT(TRIM('Raw Sales'!G219),2))),""))),"")</x:f>
        <x:v>46219</x:v>
      </x:c>
      <x:c r="H219" t="str">
        <x:f>IF(TRIM('Raw Sales'!H219)="","Missing",PROPER(TRIM('Raw Sales'!H219)))</x:f>
        <x:v>Lebo Nkosi</x:v>
      </x:c>
      <x:c r="I219" t="str">
        <x:f>IF(OR(UPPER(TRIM('Raw Sales'!I219))="PAID",UPPER(TRIM('Raw Sales'!I219))="SETTLED",UPPER(TRIM('Raw Sales'!I219))="COMPLETE"),"Paid",IF(UPPER(TRIM('Raw Sales'!I219))="PENDING","Pending","Review"))</x:f>
        <x:v>Pending</x:v>
      </x:c>
      <x:c r="J219" t="str">
        <x:f>IF(A219="","Missing",IF(COUNTIF($A$6:A219,A219)&gt;1,"Duplicate","Unique"))</x:f>
        <x:v>Unique</x:v>
      </x:c>
      <x:c r="K219" s="11" t="n">
        <x:f>IF(A219="",1,0)+IF(B219="",1,0)+IF(C219="Review",1,0)+IF(D219="",1,0)+IF(OR(E219="",E219&lt;=0),1,0)+IF(OR(F219="",F219&lt;=0),1,0)+IF(G219="",1,0)+IF(H219="Missing",1,0)+IF(I219="Review",1,0)+IF(J219="Duplicate",1,0)</x:f>
        <x:v>0</x:v>
      </x:c>
      <x:c r="L219" s="12" t="str">
        <x:f>IF(A219="","Missing order ID; ","")&amp;IF(B219="","Missing school; ","")&amp;IF(C219="Review","Unmapped region; ","")&amp;IF(D219="","Missing product; ","")&amp;IF(OR(E219="",E219&lt;=0),"Invalid units; ","")&amp;IF(OR(F219="",F219&lt;=0),"Invalid amount; ","")&amp;IF(G219="","Invalid date; ","")&amp;IF(H219="Missing","Missing sales rep; ","")&amp;IF(I219="Review","Unmapped payment status; ","")&amp;IF(J219="Duplicate","Duplicate ID; ","")</x:f>
      </x:c>
      <x:c r="M219" t="str">
        <x:f>IF(K219=0,"Ready","Review")</x:f>
        <x:v>Ready</x:v>
      </x:c>
    </x:row>
    <x:row r="220">
      <x:c r="A220" t="str">
        <x:f>UPPER(TRIM('Raw Sales'!A220))</x:f>
        <x:v>SAL-26-0215</x:v>
      </x:c>
      <x:c r="B220" t="str">
        <x:f>PROPER(TRIM('Raw Sales'!B220))</x:f>
        <x:v>Pinecrest School</x:v>
      </x:c>
      <x:c r="C220" t="str">
        <x:f>IF(OR(UPPER(TRIM('Raw Sales'!C220))="BOCHUM",UPPER(TRIM('Raw Sales'!C220))="BOCHUM REGION"),"Bochum",IF(OR(UPPER(TRIM('Raw Sales'!C220))="ELDORADO",UPPER(TRIM('Raw Sales'!C220))="ELDOS"),"Eldorado","Review"))</x:f>
        <x:v>Bochum</x:v>
      </x:c>
      <x:c r="D220" t="str">
        <x:f>PROPER(TRIM('Raw Sales'!D220))</x:f>
        <x:v>Markers</x:v>
      </x:c>
      <x:c r="E220" s="8" t="n">
        <x:f>IFERROR(VALUE('Raw Sales'!E220),"")</x:f>
        <x:v>30</x:v>
      </x:c>
      <x:c r="F220" s="9"/>
      <x:c r="G220" s="10" t="n">
        <x:f>IFERROR(IF(OR(MID(TRIM('Raw Sales'!G220),5,1)="-",MID(TRIM('Raw Sales'!G220),5,1)="/"),DATE(VALUE(LEFT(TRIM('Raw Sales'!G220),4)),VALUE(MID(TRIM('Raw Sales'!G220),6,2)),VALUE(RIGHT(TRIM('Raw Sales'!G220),2))),IF(LEN(TRIM('Raw Sales'!G220))=10,DATE(VALUE(RIGHT(TRIM('Raw Sales'!G220),4)),VALUE(MID(TRIM('Raw Sales'!G220),4,2)),VALUE(LEFT(TRIM('Raw Sales'!G220),2))),IF(LEN(TRIM('Raw Sales'!G220))=8,DATE(2000+VALUE(RIGHT(TRIM('Raw Sales'!G220),2)),VALUE(MID(TRIM('Raw Sales'!G220),4,2)),VALUE(LEFT(TRIM('Raw Sales'!G220),2))),""))),"")</x:f>
        <x:v>46251</x:v>
      </x:c>
      <x:c r="H220" t="str">
        <x:f>IF(TRIM('Raw Sales'!H220)="","Missing",PROPER(TRIM('Raw Sales'!H220)))</x:f>
        <x:v>Thabo Ndlovu</x:v>
      </x:c>
      <x:c r="I220" t="str">
        <x:f>IF(OR(UPPER(TRIM('Raw Sales'!I220))="PAID",UPPER(TRIM('Raw Sales'!I220))="SETTLED",UPPER(TRIM('Raw Sales'!I220))="COMPLETE"),"Paid",IF(UPPER(TRIM('Raw Sales'!I220))="PENDING","Pending","Review"))</x:f>
        <x:v>Paid</x:v>
      </x:c>
      <x:c r="J220" t="str">
        <x:f>IF(A220="","Missing",IF(COUNTIF($A$6:A220,A220)&gt;1,"Duplicate","Unique"))</x:f>
        <x:v>Unique</x:v>
      </x:c>
      <x:c r="K220" s="11" t="n">
        <x:f>IF(A220="",1,0)+IF(B220="",1,0)+IF(C220="Review",1,0)+IF(D220="",1,0)+IF(OR(E220="",E220&lt;=0),1,0)+IF(OR(F220="",F220&lt;=0),1,0)+IF(G220="",1,0)+IF(H220="Missing",1,0)+IF(I220="Review",1,0)+IF(J220="Duplicate",1,0)</x:f>
        <x:v>1</x:v>
      </x:c>
      <x:c r="L220" s="12" t="str">
        <x:f>IF(A220="","Missing order ID; ","")&amp;IF(B220="","Missing school; ","")&amp;IF(C220="Review","Unmapped region; ","")&amp;IF(D220="","Missing product; ","")&amp;IF(OR(E220="",E220&lt;=0),"Invalid units; ","")&amp;IF(OR(F220="",F220&lt;=0),"Invalid amount; ","")&amp;IF(G220="","Invalid date; ","")&amp;IF(H220="Missing","Missing sales rep; ","")&amp;IF(I220="Review","Unmapped payment status; ","")&amp;IF(J220="Duplicate","Duplicate ID; ","")</x:f>
        <x:v>Invalid amount; </x:v>
      </x:c>
      <x:c r="M220" t="str">
        <x:f>IF(K220=0,"Ready","Review")</x:f>
        <x:v>Review</x:v>
      </x:c>
    </x:row>
    <x:row r="221">
      <x:c r="A221" t="str">
        <x:f>UPPER(TRIM('Raw Sales'!A221))</x:f>
        <x:v>SAL-26-0216</x:v>
      </x:c>
      <x:c r="B221" t="str">
        <x:f>PROPER(TRIM('Raw Sales'!B221))</x:f>
        <x:v>Northstar Academy</x:v>
      </x:c>
      <x:c r="C221" t="str">
        <x:f>IF(OR(UPPER(TRIM('Raw Sales'!C221))="BOCHUM",UPPER(TRIM('Raw Sales'!C221))="BOCHUM REGION"),"Bochum",IF(OR(UPPER(TRIM('Raw Sales'!C221))="ELDORADO",UPPER(TRIM('Raw Sales'!C221))="ELDOS"),"Eldorado","Review"))</x:f>
        <x:v>Bochum</x:v>
      </x:c>
      <x:c r="D221" t="str">
        <x:f>PROPER(TRIM('Raw Sales'!D221))</x:f>
        <x:v>Notebooks</x:v>
      </x:c>
      <x:c r="E221" s="8" t="n">
        <x:f>IFERROR(VALUE('Raw Sales'!E221),"")</x:f>
        <x:v>1</x:v>
      </x:c>
      <x:c r="F221" s="9" t="n">
        <x:v>113</x:v>
      </x:c>
      <x:c r="G221" s="10" t="n">
        <x:f>IFERROR(IF(OR(MID(TRIM('Raw Sales'!G221),5,1)="-",MID(TRIM('Raw Sales'!G221),5,1)="/"),DATE(VALUE(LEFT(TRIM('Raw Sales'!G221),4)),VALUE(MID(TRIM('Raw Sales'!G221),6,2)),VALUE(RIGHT(TRIM('Raw Sales'!G221),2))),IF(LEN(TRIM('Raw Sales'!G221))=10,DATE(VALUE(RIGHT(TRIM('Raw Sales'!G221),4)),VALUE(MID(TRIM('Raw Sales'!G221),4,2)),VALUE(LEFT(TRIM('Raw Sales'!G221),2))),IF(LEN(TRIM('Raw Sales'!G221))=8,DATE(2000+VALUE(RIGHT(TRIM('Raw Sales'!G221),2)),VALUE(MID(TRIM('Raw Sales'!G221),4,2)),VALUE(LEFT(TRIM('Raw Sales'!G221),2))),""))),"")</x:f>
        <x:v>46040</x:v>
      </x:c>
      <x:c r="H221" t="str">
        <x:f>IF(TRIM('Raw Sales'!H221)="","Missing",PROPER(TRIM('Raw Sales'!H221)))</x:f>
        <x:v>Lebo Nkosi</x:v>
      </x:c>
      <x:c r="I221" t="str">
        <x:f>IF(OR(UPPER(TRIM('Raw Sales'!I221))="PAID",UPPER(TRIM('Raw Sales'!I221))="SETTLED",UPPER(TRIM('Raw Sales'!I221))="COMPLETE"),"Paid",IF(UPPER(TRIM('Raw Sales'!I221))="PENDING","Pending","Review"))</x:f>
        <x:v>Pending</x:v>
      </x:c>
      <x:c r="J221" t="str">
        <x:f>IF(A221="","Missing",IF(COUNTIF($A$6:A221,A221)&gt;1,"Duplicate","Unique"))</x:f>
        <x:v>Unique</x:v>
      </x:c>
      <x:c r="K221" s="11" t="n">
        <x:f>IF(A221="",1,0)+IF(B221="",1,0)+IF(C221="Review",1,0)+IF(D221="",1,0)+IF(OR(E221="",E221&lt;=0),1,0)+IF(OR(F221="",F221&lt;=0),1,0)+IF(G221="",1,0)+IF(H221="Missing",1,0)+IF(I221="Review",1,0)+IF(J221="Duplicate",1,0)</x:f>
        <x:v>0</x:v>
      </x:c>
      <x:c r="L221" s="12" t="str">
        <x:f>IF(A221="","Missing order ID; ","")&amp;IF(B221="","Missing school; ","")&amp;IF(C221="Review","Unmapped region; ","")&amp;IF(D221="","Missing product; ","")&amp;IF(OR(E221="",E221&lt;=0),"Invalid units; ","")&amp;IF(OR(F221="",F221&lt;=0),"Invalid amount; ","")&amp;IF(G221="","Invalid date; ","")&amp;IF(H221="Missing","Missing sales rep; ","")&amp;IF(I221="Review","Unmapped payment status; ","")&amp;IF(J221="Duplicate","Duplicate ID; ","")</x:f>
      </x:c>
      <x:c r="M221" t="str">
        <x:f>IF(K221=0,"Ready","Review")</x:f>
        <x:v>Ready</x:v>
      </x:c>
    </x:row>
    <x:row r="222">
      <x:c r="A222" t="str">
        <x:f>UPPER(TRIM('Raw Sales'!A222))</x:f>
        <x:v>SAL-26-0217</x:v>
      </x:c>
      <x:c r="B222" t="str">
        <x:f>PROPER(TRIM('Raw Sales'!B222))</x:f>
        <x:v>Crescent Primary</x:v>
      </x:c>
      <x:c r="C222" t="str">
        <x:f>IF(OR(UPPER(TRIM('Raw Sales'!C222))="BOCHUM",UPPER(TRIM('Raw Sales'!C222))="BOCHUM REGION"),"Bochum",IF(OR(UPPER(TRIM('Raw Sales'!C222))="ELDORADO",UPPER(TRIM('Raw Sales'!C222))="ELDOS"),"Eldorado","Review"))</x:f>
        <x:v>Eldorado</x:v>
      </x:c>
      <x:c r="D222" t="str">
        <x:f>PROPER(TRIM('Raw Sales'!D222))</x:f>
        <x:v>Rulers</x:v>
      </x:c>
      <x:c r="E222" s="8" t="n">
        <x:f>IFERROR(VALUE('Raw Sales'!E222),"")</x:f>
        <x:v>0</x:v>
      </x:c>
      <x:c r="F222" s="9" t="n">
        <x:v>1008</x:v>
      </x:c>
      <x:c r="G222" s="10" t="str">
        <x:f>IFERROR(IF(OR(MID(TRIM('Raw Sales'!G222),5,1)="-",MID(TRIM('Raw Sales'!G222),5,1)="/"),DATE(VALUE(LEFT(TRIM('Raw Sales'!G222),4)),VALUE(MID(TRIM('Raw Sales'!G222),6,2)),VALUE(RIGHT(TRIM('Raw Sales'!G222),2))),IF(LEN(TRIM('Raw Sales'!G222))=10,DATE(VALUE(RIGHT(TRIM('Raw Sales'!G222),4)),VALUE(MID(TRIM('Raw Sales'!G222),4,2)),VALUE(LEFT(TRIM('Raw Sales'!G222),2))),IF(LEN(TRIM('Raw Sales'!G222))=8,DATE(2000+VALUE(RIGHT(TRIM('Raw Sales'!G222),2)),VALUE(MID(TRIM('Raw Sales'!G222),4,2)),VALUE(LEFT(TRIM('Raw Sales'!G222),2))),""))),"")</x:f>
      </x:c>
      <x:c r="H222" t="str">
        <x:f>IF(TRIM('Raw Sales'!H222)="","Missing",PROPER(TRIM('Raw Sales'!H222)))</x:f>
        <x:v>Thabo Ndlovu</x:v>
      </x:c>
      <x:c r="I222" t="str">
        <x:f>IF(OR(UPPER(TRIM('Raw Sales'!I222))="PAID",UPPER(TRIM('Raw Sales'!I222))="SETTLED",UPPER(TRIM('Raw Sales'!I222))="COMPLETE"),"Paid",IF(UPPER(TRIM('Raw Sales'!I222))="PENDING","Pending","Review"))</x:f>
        <x:v>Pending</x:v>
      </x:c>
      <x:c r="J222" t="str">
        <x:f>IF(A222="","Missing",IF(COUNTIF($A$6:A222,A222)&gt;1,"Duplicate","Unique"))</x:f>
        <x:v>Unique</x:v>
      </x:c>
      <x:c r="K222" s="11" t="n">
        <x:f>IF(A222="",1,0)+IF(B222="",1,0)+IF(C222="Review",1,0)+IF(D222="",1,0)+IF(OR(E222="",E222&lt;=0),1,0)+IF(OR(F222="",F222&lt;=0),1,0)+IF(G222="",1,0)+IF(H222="Missing",1,0)+IF(I222="Review",1,0)+IF(J222="Duplicate",1,0)</x:f>
        <x:v>2</x:v>
      </x:c>
      <x:c r="L222" s="12" t="str">
        <x:f>IF(A222="","Missing order ID; ","")&amp;IF(B222="","Missing school; ","")&amp;IF(C222="Review","Unmapped region; ","")&amp;IF(D222="","Missing product; ","")&amp;IF(OR(E222="",E222&lt;=0),"Invalid units; ","")&amp;IF(OR(F222="",F222&lt;=0),"Invalid amount; ","")&amp;IF(G222="","Invalid date; ","")&amp;IF(H222="Missing","Missing sales rep; ","")&amp;IF(I222="Review","Unmapped payment status; ","")&amp;IF(J222="Duplicate","Duplicate ID; ","")</x:f>
        <x:v>Invalid units; Invalid date; </x:v>
      </x:c>
      <x:c r="M222" t="str">
        <x:f>IF(K222=0,"Ready","Review")</x:f>
        <x:v>Review</x:v>
      </x:c>
    </x:row>
    <x:row r="223">
      <x:c r="A223" t="str">
        <x:f>UPPER(TRIM('Raw Sales'!A223))</x:f>
        <x:v>SAL-26-0218</x:v>
      </x:c>
      <x:c r="B223" t="str">
        <x:f>PROPER(TRIM('Raw Sales'!B223))</x:f>
        <x:v>Hillview Primary</x:v>
      </x:c>
      <x:c r="C223" t="str">
        <x:f>IF(OR(UPPER(TRIM('Raw Sales'!C223))="BOCHUM",UPPER(TRIM('Raw Sales'!C223))="BOCHUM REGION"),"Bochum",IF(OR(UPPER(TRIM('Raw Sales'!C223))="ELDORADO",UPPER(TRIM('Raw Sales'!C223))="ELDOS"),"Eldorado","Review"))</x:f>
        <x:v>Bochum</x:v>
      </x:c>
      <x:c r="D223" t="str">
        <x:f>PROPER(TRIM('Raw Sales'!D223))</x:f>
        <x:v>Exercise Books</x:v>
      </x:c>
      <x:c r="E223" s="8" t="n">
        <x:f>IFERROR(VALUE('Raw Sales'!E223),"")</x:f>
        <x:v>15</x:v>
      </x:c>
      <x:c r="F223" s="9" t="n">
        <x:v>2085</x:v>
      </x:c>
      <x:c r="G223" s="10" t="n">
        <x:f>IFERROR(IF(OR(MID(TRIM('Raw Sales'!G223),5,1)="-",MID(TRIM('Raw Sales'!G223),5,1)="/"),DATE(VALUE(LEFT(TRIM('Raw Sales'!G223),4)),VALUE(MID(TRIM('Raw Sales'!G223),6,2)),VALUE(RIGHT(TRIM('Raw Sales'!G223),2))),IF(LEN(TRIM('Raw Sales'!G223))=10,DATE(VALUE(RIGHT(TRIM('Raw Sales'!G223),4)),VALUE(MID(TRIM('Raw Sales'!G223),4,2)),VALUE(LEFT(TRIM('Raw Sales'!G223),2))),IF(LEN(TRIM('Raw Sales'!G223))=8,DATE(2000+VALUE(RIGHT(TRIM('Raw Sales'!G223),2)),VALUE(MID(TRIM('Raw Sales'!G223),4,2)),VALUE(LEFT(TRIM('Raw Sales'!G223),2))),""))),"")</x:f>
        <x:v>46101</x:v>
      </x:c>
      <x:c r="H223" t="str">
        <x:f>IF(TRIM('Raw Sales'!H223)="","Missing",PROPER(TRIM('Raw Sales'!H223)))</x:f>
        <x:v>Lebo Nkosi</x:v>
      </x:c>
      <x:c r="I223" t="str">
        <x:f>IF(OR(UPPER(TRIM('Raw Sales'!I223))="PAID",UPPER(TRIM('Raw Sales'!I223))="SETTLED",UPPER(TRIM('Raw Sales'!I223))="COMPLETE"),"Paid",IF(UPPER(TRIM('Raw Sales'!I223))="PENDING","Pending","Review"))</x:f>
        <x:v>Paid</x:v>
      </x:c>
      <x:c r="J223" t="str">
        <x:f>IF(A223="","Missing",IF(COUNTIF($A$6:A223,A223)&gt;1,"Duplicate","Unique"))</x:f>
        <x:v>Unique</x:v>
      </x:c>
      <x:c r="K223" s="11" t="n">
        <x:f>IF(A223="",1,0)+IF(B223="",1,0)+IF(C223="Review",1,0)+IF(D223="",1,0)+IF(OR(E223="",E223&lt;=0),1,0)+IF(OR(F223="",F223&lt;=0),1,0)+IF(G223="",1,0)+IF(H223="Missing",1,0)+IF(I223="Review",1,0)+IF(J223="Duplicate",1,0)</x:f>
        <x:v>0</x:v>
      </x:c>
      <x:c r="L223" s="12" t="str">
        <x:f>IF(A223="","Missing order ID; ","")&amp;IF(B223="","Missing school; ","")&amp;IF(C223="Review","Unmapped region; ","")&amp;IF(D223="","Missing product; ","")&amp;IF(OR(E223="",E223&lt;=0),"Invalid units; ","")&amp;IF(OR(F223="",F223&lt;=0),"Invalid amount; ","")&amp;IF(G223="","Invalid date; ","")&amp;IF(H223="Missing","Missing sales rep; ","")&amp;IF(I223="Review","Unmapped payment status; ","")&amp;IF(J223="Duplicate","Duplicate ID; ","")</x:f>
      </x:c>
      <x:c r="M223" t="str">
        <x:f>IF(K223=0,"Ready","Review")</x:f>
        <x:v>Ready</x:v>
      </x:c>
    </x:row>
    <x:row r="224">
      <x:c r="A224" t="str">
        <x:f>UPPER(TRIM('Raw Sales'!A224))</x:f>
        <x:v>SAL-26-0219</x:v>
      </x:c>
      <x:c r="B224" t="str">
        <x:f>PROPER(TRIM('Raw Sales'!B224))</x:f>
        <x:v>Eastwood Academy</x:v>
      </x:c>
      <x:c r="C224" t="str">
        <x:f>IF(OR(UPPER(TRIM('Raw Sales'!C224))="BOCHUM",UPPER(TRIM('Raw Sales'!C224))="BOCHUM REGION"),"Bochum",IF(OR(UPPER(TRIM('Raw Sales'!C224))="ELDORADO",UPPER(TRIM('Raw Sales'!C224))="ELDOS"),"Eldorado","Review"))</x:f>
        <x:v>Eldorado</x:v>
      </x:c>
      <x:c r="D224" t="str">
        <x:f>PROPER(TRIM('Raw Sales'!D224))</x:f>
        <x:v>Pencils</x:v>
      </x:c>
      <x:c r="E224" s="8" t="n">
        <x:f>IFERROR(VALUE('Raw Sales'!E224),"")</x:f>
        <x:v>22</x:v>
      </x:c>
      <x:c r="F224" s="9" t="n">
        <x:v>3344</x:v>
      </x:c>
      <x:c r="G224" s="10" t="n">
        <x:f>IFERROR(IF(OR(MID(TRIM('Raw Sales'!G224),5,1)="-",MID(TRIM('Raw Sales'!G224),5,1)="/"),DATE(VALUE(LEFT(TRIM('Raw Sales'!G224),4)),VALUE(MID(TRIM('Raw Sales'!G224),6,2)),VALUE(RIGHT(TRIM('Raw Sales'!G224),2))),IF(LEN(TRIM('Raw Sales'!G224))=10,DATE(VALUE(RIGHT(TRIM('Raw Sales'!G224),4)),VALUE(MID(TRIM('Raw Sales'!G224),4,2)),VALUE(LEFT(TRIM('Raw Sales'!G224),2))),IF(LEN(TRIM('Raw Sales'!G224))=8,DATE(2000+VALUE(RIGHT(TRIM('Raw Sales'!G224),2)),VALUE(MID(TRIM('Raw Sales'!G224),4,2)),VALUE(LEFT(TRIM('Raw Sales'!G224),2))),""))),"")</x:f>
        <x:v>46133</x:v>
      </x:c>
      <x:c r="H224" t="str">
        <x:f>IF(TRIM('Raw Sales'!H224)="","Missing",PROPER(TRIM('Raw Sales'!H224)))</x:f>
        <x:v>Thabo Ndlovu</x:v>
      </x:c>
      <x:c r="I224" t="str">
        <x:f>IF(OR(UPPER(TRIM('Raw Sales'!I224))="PAID",UPPER(TRIM('Raw Sales'!I224))="SETTLED",UPPER(TRIM('Raw Sales'!I224))="COMPLETE"),"Paid",IF(UPPER(TRIM('Raw Sales'!I224))="PENDING","Pending","Review"))</x:f>
        <x:v>Paid</x:v>
      </x:c>
      <x:c r="J224" t="str">
        <x:f>IF(A224="","Missing",IF(COUNTIF($A$6:A224,A224)&gt;1,"Duplicate","Unique"))</x:f>
        <x:v>Unique</x:v>
      </x:c>
      <x:c r="K224" s="11" t="n">
        <x:f>IF(A224="",1,0)+IF(B224="",1,0)+IF(C224="Review",1,0)+IF(D224="",1,0)+IF(OR(E224="",E224&lt;=0),1,0)+IF(OR(F224="",F224&lt;=0),1,0)+IF(G224="",1,0)+IF(H224="Missing",1,0)+IF(I224="Review",1,0)+IF(J224="Duplicate",1,0)</x:f>
        <x:v>0</x:v>
      </x:c>
      <x:c r="L224" s="12" t="str">
        <x:f>IF(A224="","Missing order ID; ","")&amp;IF(B224="","Missing school; ","")&amp;IF(C224="Review","Unmapped region; ","")&amp;IF(D224="","Missing product; ","")&amp;IF(OR(E224="",E224&lt;=0),"Invalid units; ","")&amp;IF(OR(F224="",F224&lt;=0),"Invalid amount; ","")&amp;IF(G224="","Invalid date; ","")&amp;IF(H224="Missing","Missing sales rep; ","")&amp;IF(I224="Review","Unmapped payment status; ","")&amp;IF(J224="Duplicate","Duplicate ID; ","")</x:f>
      </x:c>
      <x:c r="M224" t="str">
        <x:f>IF(K224=0,"Ready","Review")</x:f>
        <x:v>Ready</x:v>
      </x:c>
    </x:row>
    <x:row r="225">
      <x:c r="A225" t="str">
        <x:f>UPPER(TRIM('Raw Sales'!A225))</x:f>
        <x:v>SAL-26-0220</x:v>
      </x:c>
      <x:c r="B225" t="str">
        <x:f>PROPER(TRIM('Raw Sales'!B225))</x:f>
        <x:v>Lakeside School</x:v>
      </x:c>
      <x:c r="C225" t="str">
        <x:f>IF(OR(UPPER(TRIM('Raw Sales'!C225))="BOCHUM",UPPER(TRIM('Raw Sales'!C225))="BOCHUM REGION"),"Bochum",IF(OR(UPPER(TRIM('Raw Sales'!C225))="ELDORADO",UPPER(TRIM('Raw Sales'!C225))="ELDOS"),"Eldorado","Review"))</x:f>
        <x:v>Bochum</x:v>
      </x:c>
      <x:c r="D225" t="str">
        <x:f>PROPER(TRIM('Raw Sales'!D225))</x:f>
        <x:v>Folders</x:v>
      </x:c>
      <x:c r="E225" s="8" t="n">
        <x:f>IFERROR(VALUE('Raw Sales'!E225),"")</x:f>
        <x:v>29</x:v>
      </x:c>
      <x:c r="F225" s="9" t="n">
        <x:v>4785</x:v>
      </x:c>
      <x:c r="G225" s="10" t="n">
        <x:f>IFERROR(IF(OR(MID(TRIM('Raw Sales'!G225),5,1)="-",MID(TRIM('Raw Sales'!G225),5,1)="/"),DATE(VALUE(LEFT(TRIM('Raw Sales'!G225),4)),VALUE(MID(TRIM('Raw Sales'!G225),6,2)),VALUE(RIGHT(TRIM('Raw Sales'!G225),2))),IF(LEN(TRIM('Raw Sales'!G225))=10,DATE(VALUE(RIGHT(TRIM('Raw Sales'!G225),4)),VALUE(MID(TRIM('Raw Sales'!G225),4,2)),VALUE(LEFT(TRIM('Raw Sales'!G225),2))),IF(LEN(TRIM('Raw Sales'!G225))=8,DATE(2000+VALUE(RIGHT(TRIM('Raw Sales'!G225),2)),VALUE(MID(TRIM('Raw Sales'!G225),4,2)),VALUE(LEFT(TRIM('Raw Sales'!G225),2))),""))),"")</x:f>
        <x:v>46164</x:v>
      </x:c>
      <x:c r="H225" t="str">
        <x:f>IF(TRIM('Raw Sales'!H225)="","Missing",PROPER(TRIM('Raw Sales'!H225)))</x:f>
        <x:v>Lebo Nkosi</x:v>
      </x:c>
      <x:c r="I225" t="str">
        <x:f>IF(OR(UPPER(TRIM('Raw Sales'!I225))="PAID",UPPER(TRIM('Raw Sales'!I225))="SETTLED",UPPER(TRIM('Raw Sales'!I225))="COMPLETE"),"Paid",IF(UPPER(TRIM('Raw Sales'!I225))="PENDING","Pending","Review"))</x:f>
        <x:v>Pending</x:v>
      </x:c>
      <x:c r="J225" t="str">
        <x:f>IF(A225="","Missing",IF(COUNTIF($A$6:A225,A225)&gt;1,"Duplicate","Unique"))</x:f>
        <x:v>Unique</x:v>
      </x:c>
      <x:c r="K225" s="11" t="n">
        <x:f>IF(A225="",1,0)+IF(B225="",1,0)+IF(C225="Review",1,0)+IF(D225="",1,0)+IF(OR(E225="",E225&lt;=0),1,0)+IF(OR(F225="",F225&lt;=0),1,0)+IF(G225="",1,0)+IF(H225="Missing",1,0)+IF(I225="Review",1,0)+IF(J225="Duplicate",1,0)</x:f>
        <x:v>0</x:v>
      </x:c>
      <x:c r="L225" s="12" t="str">
        <x:f>IF(A225="","Missing order ID; ","")&amp;IF(B225="","Missing school; ","")&amp;IF(C225="Review","Unmapped region; ","")&amp;IF(D225="","Missing product; ","")&amp;IF(OR(E225="",E225&lt;=0),"Invalid units; ","")&amp;IF(OR(F225="",F225&lt;=0),"Invalid amount; ","")&amp;IF(G225="","Invalid date; ","")&amp;IF(H225="Missing","Missing sales rep; ","")&amp;IF(I225="Review","Unmapped payment status; ","")&amp;IF(J225="Duplicate","Duplicate ID; ","")</x:f>
      </x:c>
      <x:c r="M225" t="str">
        <x:f>IF(K225=0,"Ready","Review")</x:f>
        <x:v>Ready</x:v>
      </x:c>
    </x:row>
    <x:row r="226">
      <x:c r="A226" t="str">
        <x:f>UPPER(TRIM('Raw Sales'!A226))</x:f>
        <x:v>SAL-26-0221</x:v>
      </x:c>
      <x:c r="B226" t="str">
        <x:f>PROPER(TRIM('Raw Sales'!B226))</x:f>
        <x:v>Valley Primary</x:v>
      </x:c>
      <x:c r="C226" t="str">
        <x:f>IF(OR(UPPER(TRIM('Raw Sales'!C226))="BOCHUM",UPPER(TRIM('Raw Sales'!C226))="BOCHUM REGION"),"Bochum",IF(OR(UPPER(TRIM('Raw Sales'!C226))="ELDORADO",UPPER(TRIM('Raw Sales'!C226))="ELDOS"),"Eldorado","Review"))</x:f>
        <x:v>Eldorado</x:v>
      </x:c>
      <x:c r="D226" t="str">
        <x:f>PROPER(TRIM('Raw Sales'!D226))</x:f>
        <x:v>Pens</x:v>
      </x:c>
      <x:c r="E226" s="8" t="n">
        <x:f>IFERROR(VALUE('Raw Sales'!E226),"")</x:f>
        <x:v>36</x:v>
      </x:c>
      <x:c r="F226" s="9" t="n">
        <x:v>6408</x:v>
      </x:c>
      <x:c r="G226" s="10" t="n">
        <x:f>IFERROR(IF(OR(MID(TRIM('Raw Sales'!G226),5,1)="-",MID(TRIM('Raw Sales'!G226),5,1)="/"),DATE(VALUE(LEFT(TRIM('Raw Sales'!G226),4)),VALUE(MID(TRIM('Raw Sales'!G226),6,2)),VALUE(RIGHT(TRIM('Raw Sales'!G226),2))),IF(LEN(TRIM('Raw Sales'!G226))=10,DATE(VALUE(RIGHT(TRIM('Raw Sales'!G226),4)),VALUE(MID(TRIM('Raw Sales'!G226),4,2)),VALUE(LEFT(TRIM('Raw Sales'!G226),2))),IF(LEN(TRIM('Raw Sales'!G226))=8,DATE(2000+VALUE(RIGHT(TRIM('Raw Sales'!G226),2)),VALUE(MID(TRIM('Raw Sales'!G226),4,2)),VALUE(LEFT(TRIM('Raw Sales'!G226),2))),""))),"")</x:f>
        <x:v>46196</x:v>
      </x:c>
      <x:c r="H226" t="str">
        <x:f>IF(TRIM('Raw Sales'!H226)="","Missing",PROPER(TRIM('Raw Sales'!H226)))</x:f>
        <x:v>Thabo Ndlovu</x:v>
      </x:c>
      <x:c r="I226" t="str">
        <x:f>IF(OR(UPPER(TRIM('Raw Sales'!I226))="PAID",UPPER(TRIM('Raw Sales'!I226))="SETTLED",UPPER(TRIM('Raw Sales'!I226))="COMPLETE"),"Paid",IF(UPPER(TRIM('Raw Sales'!I226))="PENDING","Pending","Review"))</x:f>
        <x:v>Paid</x:v>
      </x:c>
      <x:c r="J226" t="str">
        <x:f>IF(A226="","Missing",IF(COUNTIF($A$6:A226,A226)&gt;1,"Duplicate","Unique"))</x:f>
        <x:v>Unique</x:v>
      </x:c>
      <x:c r="K226" s="11" t="n">
        <x:f>IF(A226="",1,0)+IF(B226="",1,0)+IF(C226="Review",1,0)+IF(D226="",1,0)+IF(OR(E226="",E226&lt;=0),1,0)+IF(OR(F226="",F226&lt;=0),1,0)+IF(G226="",1,0)+IF(H226="Missing",1,0)+IF(I226="Review",1,0)+IF(J226="Duplicate",1,0)</x:f>
        <x:v>0</x:v>
      </x:c>
      <x:c r="L226" s="12" t="str">
        <x:f>IF(A226="","Missing order ID; ","")&amp;IF(B226="","Missing school; ","")&amp;IF(C226="Review","Unmapped region; ","")&amp;IF(D226="","Missing product; ","")&amp;IF(OR(E226="",E226&lt;=0),"Invalid units; ","")&amp;IF(OR(F226="",F226&lt;=0),"Invalid amount; ","")&amp;IF(G226="","Invalid date; ","")&amp;IF(H226="Missing","Missing sales rep; ","")&amp;IF(I226="Review","Unmapped payment status; ","")&amp;IF(J226="Duplicate","Duplicate ID; ","")</x:f>
      </x:c>
      <x:c r="M226" t="str">
        <x:f>IF(K226=0,"Ready","Review")</x:f>
        <x:v>Ready</x:v>
      </x:c>
    </x:row>
    <x:row r="227">
      <x:c r="A227" t="str">
        <x:f>UPPER(TRIM('Raw Sales'!A227))</x:f>
        <x:v>SAL-26-0221</x:v>
      </x:c>
      <x:c r="B227" t="str">
        <x:f>PROPER(TRIM('Raw Sales'!B227))</x:f>
        <x:v>Mhlabeni Secondary</x:v>
      </x:c>
      <x:c r="C227" t="str">
        <x:f>IF(OR(UPPER(TRIM('Raw Sales'!C227))="BOCHUM",UPPER(TRIM('Raw Sales'!C227))="BOCHUM REGION"),"Bochum",IF(OR(UPPER(TRIM('Raw Sales'!C227))="ELDORADO",UPPER(TRIM('Raw Sales'!C227))="ELDOS"),"Eldorado","Review"))</x:f>
        <x:v>Eldorado</x:v>
      </x:c>
      <x:c r="D227" t="str">
        <x:f>PROPER(TRIM('Raw Sales'!D227))</x:f>
        <x:v>Glue Sticks</x:v>
      </x:c>
      <x:c r="E227" s="8" t="n">
        <x:f>IFERROR(VALUE('Raw Sales'!E227),"")</x:f>
        <x:v>7</x:v>
      </x:c>
      <x:c r="F227" s="9" t="n">
        <x:v>1337</x:v>
      </x:c>
      <x:c r="G227" s="10" t="n">
        <x:f>IFERROR(IF(OR(MID(TRIM('Raw Sales'!G227),5,1)="-",MID(TRIM('Raw Sales'!G227),5,1)="/"),DATE(VALUE(LEFT(TRIM('Raw Sales'!G227),4)),VALUE(MID(TRIM('Raw Sales'!G227),6,2)),VALUE(RIGHT(TRIM('Raw Sales'!G227),2))),IF(LEN(TRIM('Raw Sales'!G227))=10,DATE(VALUE(RIGHT(TRIM('Raw Sales'!G227),4)),VALUE(MID(TRIM('Raw Sales'!G227),4,2)),VALUE(LEFT(TRIM('Raw Sales'!G227),2))),IF(LEN(TRIM('Raw Sales'!G227))=8,DATE(2000+VALUE(RIGHT(TRIM('Raw Sales'!G227),2)),VALUE(MID(TRIM('Raw Sales'!G227),4,2)),VALUE(LEFT(TRIM('Raw Sales'!G227),2))),""))),"")</x:f>
        <x:v>46227</x:v>
      </x:c>
      <x:c r="H227" t="str">
        <x:f>IF(TRIM('Raw Sales'!H227)="","Missing",PROPER(TRIM('Raw Sales'!H227)))</x:f>
        <x:v>Lebo Nkosi</x:v>
      </x:c>
      <x:c r="I227" t="str">
        <x:f>IF(OR(UPPER(TRIM('Raw Sales'!I227))="PAID",UPPER(TRIM('Raw Sales'!I227))="SETTLED",UPPER(TRIM('Raw Sales'!I227))="COMPLETE"),"Paid",IF(UPPER(TRIM('Raw Sales'!I227))="PENDING","Pending","Review"))</x:f>
        <x:v>Paid</x:v>
      </x:c>
      <x:c r="J227" t="str">
        <x:f>IF(A227="","Missing",IF(COUNTIF($A$6:A227,A227)&gt;1,"Duplicate","Unique"))</x:f>
        <x:v>Duplicate</x:v>
      </x:c>
      <x:c r="K227" s="11" t="n">
        <x:f>IF(A227="",1,0)+IF(B227="",1,0)+IF(C227="Review",1,0)+IF(D227="",1,0)+IF(OR(E227="",E227&lt;=0),1,0)+IF(OR(F227="",F227&lt;=0),1,0)+IF(G227="",1,0)+IF(H227="Missing",1,0)+IF(I227="Review",1,0)+IF(J227="Duplicate",1,0)</x:f>
        <x:v>1</x:v>
      </x:c>
      <x:c r="L227" s="12" t="str">
        <x:f>IF(A227="","Missing order ID; ","")&amp;IF(B227="","Missing school; ","")&amp;IF(C227="Review","Unmapped region; ","")&amp;IF(D227="","Missing product; ","")&amp;IF(OR(E227="",E227&lt;=0),"Invalid units; ","")&amp;IF(OR(F227="",F227&lt;=0),"Invalid amount; ","")&amp;IF(G227="","Invalid date; ","")&amp;IF(H227="Missing","Missing sales rep; ","")&amp;IF(I227="Review","Unmapped payment status; ","")&amp;IF(J227="Duplicate","Duplicate ID; ","")</x:f>
        <x:v>Duplicate ID; </x:v>
      </x:c>
      <x:c r="M227" t="str">
        <x:f>IF(K227=0,"Ready","Review")</x:f>
        <x:v>Review</x:v>
      </x:c>
    </x:row>
    <x:row r="228">
      <x:c r="A228" t="str">
        <x:f>UPPER(TRIM('Raw Sales'!A228))</x:f>
        <x:v>SAL-26-0223</x:v>
      </x:c>
      <x:c r="B228" t="str">
        <x:f>PROPER(TRIM('Raw Sales'!B228))</x:f>
        <x:v>Meadowlands School</x:v>
      </x:c>
      <x:c r="C228" t="str">
        <x:f>IF(OR(UPPER(TRIM('Raw Sales'!C228))="BOCHUM",UPPER(TRIM('Raw Sales'!C228))="BOCHUM REGION"),"Bochum",IF(OR(UPPER(TRIM('Raw Sales'!C228))="ELDORADO",UPPER(TRIM('Raw Sales'!C228))="ELDOS"),"Eldorado","Review"))</x:f>
        <x:v>Bochum</x:v>
      </x:c>
      <x:c r="D228" t="str">
        <x:f>PROPER(TRIM('Raw Sales'!D228))</x:f>
        <x:v>Markers</x:v>
      </x:c>
      <x:c r="E228" s="8" t="n">
        <x:f>IFERROR(VALUE('Raw Sales'!E228),"")</x:f>
        <x:v>14</x:v>
      </x:c>
      <x:c r="F228" s="9" t="n">
        <x:v>322</x:v>
      </x:c>
      <x:c r="G228" s="10" t="n">
        <x:f>IFERROR(IF(OR(MID(TRIM('Raw Sales'!G228),5,1)="-",MID(TRIM('Raw Sales'!G228),5,1)="/"),DATE(VALUE(LEFT(TRIM('Raw Sales'!G228),4)),VALUE(MID(TRIM('Raw Sales'!G228),6,2)),VALUE(RIGHT(TRIM('Raw Sales'!G228),2))),IF(LEN(TRIM('Raw Sales'!G228))=10,DATE(VALUE(RIGHT(TRIM('Raw Sales'!G228),4)),VALUE(MID(TRIM('Raw Sales'!G228),4,2)),VALUE(LEFT(TRIM('Raw Sales'!G228),2))),IF(LEN(TRIM('Raw Sales'!G228))=8,DATE(2000+VALUE(RIGHT(TRIM('Raw Sales'!G228),2)),VALUE(MID(TRIM('Raw Sales'!G228),4,2)),VALUE(LEFT(TRIM('Raw Sales'!G228),2))),""))),"")</x:f>
        <x:v>46259</x:v>
      </x:c>
      <x:c r="H228" t="str">
        <x:f>IF(TRIM('Raw Sales'!H228)="","Missing",PROPER(TRIM('Raw Sales'!H228)))</x:f>
        <x:v>Thabo Ndlovu</x:v>
      </x:c>
      <x:c r="I228" t="str">
        <x:f>IF(OR(UPPER(TRIM('Raw Sales'!I228))="PAID",UPPER(TRIM('Raw Sales'!I228))="SETTLED",UPPER(TRIM('Raw Sales'!I228))="COMPLETE"),"Paid",IF(UPPER(TRIM('Raw Sales'!I228))="PENDING","Pending","Review"))</x:f>
        <x:v>Pending</x:v>
      </x:c>
      <x:c r="J228" t="str">
        <x:f>IF(A228="","Missing",IF(COUNTIF($A$6:A228,A228)&gt;1,"Duplicate","Unique"))</x:f>
        <x:v>Unique</x:v>
      </x:c>
      <x:c r="K228" s="11" t="n">
        <x:f>IF(A228="",1,0)+IF(B228="",1,0)+IF(C228="Review",1,0)+IF(D228="",1,0)+IF(OR(E228="",E228&lt;=0),1,0)+IF(OR(F228="",F228&lt;=0),1,0)+IF(G228="",1,0)+IF(H228="Missing",1,0)+IF(I228="Review",1,0)+IF(J228="Duplicate",1,0)</x:f>
        <x:v>0</x:v>
      </x:c>
      <x:c r="L228" s="12" t="str">
        <x:f>IF(A228="","Missing order ID; ","")&amp;IF(B228="","Missing school; ","")&amp;IF(C228="Review","Unmapped region; ","")&amp;IF(D228="","Missing product; ","")&amp;IF(OR(E228="",E228&lt;=0),"Invalid units; ","")&amp;IF(OR(F228="",F228&lt;=0),"Invalid amount; ","")&amp;IF(G228="","Invalid date; ","")&amp;IF(H228="Missing","Missing sales rep; ","")&amp;IF(I228="Review","Unmapped payment status; ","")&amp;IF(J228="Duplicate","Duplicate ID; ","")</x:f>
      </x:c>
      <x:c r="M228" t="str">
        <x:f>IF(K228=0,"Ready","Review")</x:f>
        <x:v>Ready</x:v>
      </x:c>
    </x:row>
    <x:row r="229">
      <x:c r="A229" t="str">
        <x:f>UPPER(TRIM('Raw Sales'!A229))</x:f>
        <x:v>SAL-26-0224</x:v>
      </x:c>
      <x:c r="B229" t="str">
        <x:f>PROPER(TRIM('Raw Sales'!B229))</x:f>
        <x:v>Gardenview School</x:v>
      </x:c>
      <x:c r="C229" t="str">
        <x:f>IF(OR(UPPER(TRIM('Raw Sales'!C229))="BOCHUM",UPPER(TRIM('Raw Sales'!C229))="BOCHUM REGION"),"Bochum",IF(OR(UPPER(TRIM('Raw Sales'!C229))="ELDORADO",UPPER(TRIM('Raw Sales'!C229))="ELDOS"),"Eldorado","Review"))</x:f>
        <x:v>Eldorado</x:v>
      </x:c>
      <x:c r="D229" t="str">
        <x:f>PROPER(TRIM('Raw Sales'!D229))</x:f>
        <x:v>Notebooks</x:v>
      </x:c>
      <x:c r="E229" s="8" t="n">
        <x:f>IFERROR(VALUE('Raw Sales'!E229),"")</x:f>
        <x:v>21</x:v>
      </x:c>
      <x:c r="F229" s="9" t="n">
        <x:v>756</x:v>
      </x:c>
      <x:c r="G229" s="10" t="n">
        <x:f>IFERROR(IF(OR(MID(TRIM('Raw Sales'!G229),5,1)="-",MID(TRIM('Raw Sales'!G229),5,1)="/"),DATE(VALUE(LEFT(TRIM('Raw Sales'!G229),4)),VALUE(MID(TRIM('Raw Sales'!G229),6,2)),VALUE(RIGHT(TRIM('Raw Sales'!G229),2))),IF(LEN(TRIM('Raw Sales'!G229))=10,DATE(VALUE(RIGHT(TRIM('Raw Sales'!G229),4)),VALUE(MID(TRIM('Raw Sales'!G229),4,2)),VALUE(LEFT(TRIM('Raw Sales'!G229),2))),IF(LEN(TRIM('Raw Sales'!G229))=8,DATE(2000+VALUE(RIGHT(TRIM('Raw Sales'!G229),2)),VALUE(MID(TRIM('Raw Sales'!G229),4,2)),VALUE(LEFT(TRIM('Raw Sales'!G229),2))),""))),"")</x:f>
        <x:v>46048</x:v>
      </x:c>
      <x:c r="H229" t="str">
        <x:f>IF(TRIM('Raw Sales'!H229)="","Missing",PROPER(TRIM('Raw Sales'!H229)))</x:f>
        <x:v>Lebo Nkosi</x:v>
      </x:c>
      <x:c r="I229" t="str">
        <x:f>IF(OR(UPPER(TRIM('Raw Sales'!I229))="PAID",UPPER(TRIM('Raw Sales'!I229))="SETTLED",UPPER(TRIM('Raw Sales'!I229))="COMPLETE"),"Paid",IF(UPPER(TRIM('Raw Sales'!I229))="PENDING","Pending","Review"))</x:f>
        <x:v>Paid</x:v>
      </x:c>
      <x:c r="J229" t="str">
        <x:f>IF(A229="","Missing",IF(COUNTIF($A$6:A229,A229)&gt;1,"Duplicate","Unique"))</x:f>
        <x:v>Unique</x:v>
      </x:c>
      <x:c r="K229" s="11" t="n">
        <x:f>IF(A229="",1,0)+IF(B229="",1,0)+IF(C229="Review",1,0)+IF(D229="",1,0)+IF(OR(E229="",E229&lt;=0),1,0)+IF(OR(F229="",F229&lt;=0),1,0)+IF(G229="",1,0)+IF(H229="Missing",1,0)+IF(I229="Review",1,0)+IF(J229="Duplicate",1,0)</x:f>
        <x:v>0</x:v>
      </x:c>
      <x:c r="L229" s="12" t="str">
        <x:f>IF(A229="","Missing order ID; ","")&amp;IF(B229="","Missing school; ","")&amp;IF(C229="Review","Unmapped region; ","")&amp;IF(D229="","Missing product; ","")&amp;IF(OR(E229="",E229&lt;=0),"Invalid units; ","")&amp;IF(OR(F229="",F229&lt;=0),"Invalid amount; ","")&amp;IF(G229="","Invalid date; ","")&amp;IF(H229="Missing","Missing sales rep; ","")&amp;IF(I229="Review","Unmapped payment status; ","")&amp;IF(J229="Duplicate","Duplicate ID; ","")</x:f>
      </x:c>
      <x:c r="M229" t="str">
        <x:f>IF(K229=0,"Ready","Review")</x:f>
        <x:v>Ready</x:v>
      </x:c>
    </x:row>
    <x:row r="230">
      <x:c r="A230" t="str">
        <x:f>UPPER(TRIM('Raw Sales'!A230))</x:f>
        <x:v>SAL-26-0225</x:v>
      </x:c>
      <x:c r="B230" t="str">
        <x:f>PROPER(TRIM('Raw Sales'!B230))</x:f>
        <x:v>Riverside Academy</x:v>
      </x:c>
      <x:c r="C230" t="str">
        <x:f>IF(OR(UPPER(TRIM('Raw Sales'!C230))="BOCHUM",UPPER(TRIM('Raw Sales'!C230))="BOCHUM REGION"),"Bochum",IF(OR(UPPER(TRIM('Raw Sales'!C230))="ELDORADO",UPPER(TRIM('Raw Sales'!C230))="ELDOS"),"Eldorado","Review"))</x:f>
        <x:v>Bochum</x:v>
      </x:c>
      <x:c r="D230" t="str">
        <x:f>PROPER(TRIM('Raw Sales'!D230))</x:f>
        <x:v>Rulers</x:v>
      </x:c>
      <x:c r="E230" s="8" t="n">
        <x:f>IFERROR(VALUE('Raw Sales'!E230),"")</x:f>
        <x:v>28</x:v>
      </x:c>
      <x:c r="F230" s="9" t="n">
        <x:v>1372</x:v>
      </x:c>
      <x:c r="G230" s="10" t="n">
        <x:f>IFERROR(IF(OR(MID(TRIM('Raw Sales'!G230),5,1)="-",MID(TRIM('Raw Sales'!G230),5,1)="/"),DATE(VALUE(LEFT(TRIM('Raw Sales'!G230),4)),VALUE(MID(TRIM('Raw Sales'!G230),6,2)),VALUE(RIGHT(TRIM('Raw Sales'!G230),2))),IF(LEN(TRIM('Raw Sales'!G230))=10,DATE(VALUE(RIGHT(TRIM('Raw Sales'!G230),4)),VALUE(MID(TRIM('Raw Sales'!G230),4,2)),VALUE(LEFT(TRIM('Raw Sales'!G230),2))),IF(LEN(TRIM('Raw Sales'!G230))=8,DATE(2000+VALUE(RIGHT(TRIM('Raw Sales'!G230),2)),VALUE(MID(TRIM('Raw Sales'!G230),4,2)),VALUE(LEFT(TRIM('Raw Sales'!G230),2))),""))),"")</x:f>
        <x:v>46055</x:v>
      </x:c>
      <x:c r="H230" t="str">
        <x:f>IF(TRIM('Raw Sales'!H230)="","Missing",PROPER(TRIM('Raw Sales'!H230)))</x:f>
        <x:v>Thabo Ndlovu</x:v>
      </x:c>
      <x:c r="I230" t="str">
        <x:f>IF(OR(UPPER(TRIM('Raw Sales'!I230))="PAID",UPPER(TRIM('Raw Sales'!I230))="SETTLED",UPPER(TRIM('Raw Sales'!I230))="COMPLETE"),"Paid",IF(UPPER(TRIM('Raw Sales'!I230))="PENDING","Pending","Review"))</x:f>
        <x:v>Paid</x:v>
      </x:c>
      <x:c r="J230" t="str">
        <x:f>IF(A230="","Missing",IF(COUNTIF($A$6:A230,A230)&gt;1,"Duplicate","Unique"))</x:f>
        <x:v>Unique</x:v>
      </x:c>
      <x:c r="K230" s="11" t="n">
        <x:f>IF(A230="",1,0)+IF(B230="",1,0)+IF(C230="Review",1,0)+IF(D230="",1,0)+IF(OR(E230="",E230&lt;=0),1,0)+IF(OR(F230="",F230&lt;=0),1,0)+IF(G230="",1,0)+IF(H230="Missing",1,0)+IF(I230="Review",1,0)+IF(J230="Duplicate",1,0)</x:f>
        <x:v>0</x:v>
      </x:c>
      <x:c r="L230" s="12" t="str">
        <x:f>IF(A230="","Missing order ID; ","")&amp;IF(B230="","Missing school; ","")&amp;IF(C230="Review","Unmapped region; ","")&amp;IF(D230="","Missing product; ","")&amp;IF(OR(E230="",E230&lt;=0),"Invalid units; ","")&amp;IF(OR(F230="",F230&lt;=0),"Invalid amount; ","")&amp;IF(G230="","Invalid date; ","")&amp;IF(H230="Missing","Missing sales rep; ","")&amp;IF(I230="Review","Unmapped payment status; ","")&amp;IF(J230="Duplicate","Duplicate ID; ","")</x:f>
      </x:c>
      <x:c r="M230" t="str">
        <x:f>IF(K230=0,"Ready","Review")</x:f>
        <x:v>Ready</x:v>
      </x:c>
    </x:row>
    <x:row r="231">
      <x:c r="A231" t="str">
        <x:f>UPPER(TRIM('Raw Sales'!A231))</x:f>
        <x:v>SAL-26-0226</x:v>
      </x:c>
      <x:c r="B231" t="str">
        <x:f>PROPER(TRIM('Raw Sales'!B231))</x:f>
        <x:v>Maple Secondary</x:v>
      </x:c>
      <x:c r="C231" t="str">
        <x:f>IF(OR(UPPER(TRIM('Raw Sales'!C231))="BOCHUM",UPPER(TRIM('Raw Sales'!C231))="BOCHUM REGION"),"Bochum",IF(OR(UPPER(TRIM('Raw Sales'!C231))="ELDORADO",UPPER(TRIM('Raw Sales'!C231))="ELDOS"),"Eldorado","Review"))</x:f>
        <x:v>Eldorado</x:v>
      </x:c>
      <x:c r="D231" t="str">
        <x:f>PROPER(TRIM('Raw Sales'!D231))</x:f>
        <x:v>Exercise Books</x:v>
      </x:c>
      <x:c r="E231" s="8" t="n">
        <x:f>IFERROR(VALUE('Raw Sales'!E231),"")</x:f>
        <x:v>35</x:v>
      </x:c>
      <x:c r="F231" s="9" t="n">
        <x:v>2170</x:v>
      </x:c>
      <x:c r="G231" s="10" t="n">
        <x:f>IFERROR(IF(OR(MID(TRIM('Raw Sales'!G231),5,1)="-",MID(TRIM('Raw Sales'!G231),5,1)="/"),DATE(VALUE(LEFT(TRIM('Raw Sales'!G231),4)),VALUE(MID(TRIM('Raw Sales'!G231),6,2)),VALUE(RIGHT(TRIM('Raw Sales'!G231),2))),IF(LEN(TRIM('Raw Sales'!G231))=10,DATE(VALUE(RIGHT(TRIM('Raw Sales'!G231),4)),VALUE(MID(TRIM('Raw Sales'!G231),4,2)),VALUE(LEFT(TRIM('Raw Sales'!G231),2))),IF(LEN(TRIM('Raw Sales'!G231))=8,DATE(2000+VALUE(RIGHT(TRIM('Raw Sales'!G231),2)),VALUE(MID(TRIM('Raw Sales'!G231),4,2)),VALUE(LEFT(TRIM('Raw Sales'!G231),2))),""))),"")</x:f>
        <x:v>46084</x:v>
      </x:c>
      <x:c r="H231" t="str">
        <x:f>IF(TRIM('Raw Sales'!H231)="","Missing",PROPER(TRIM('Raw Sales'!H231)))</x:f>
        <x:v>Lebo Nkosi</x:v>
      </x:c>
      <x:c r="I231" t="str">
        <x:f>IF(OR(UPPER(TRIM('Raw Sales'!I231))="PAID",UPPER(TRIM('Raw Sales'!I231))="SETTLED",UPPER(TRIM('Raw Sales'!I231))="COMPLETE"),"Paid",IF(UPPER(TRIM('Raw Sales'!I231))="PENDING","Pending","Review"))</x:f>
        <x:v>Pending</x:v>
      </x:c>
      <x:c r="J231" t="str">
        <x:f>IF(A231="","Missing",IF(COUNTIF($A$6:A231,A231)&gt;1,"Duplicate","Unique"))</x:f>
        <x:v>Unique</x:v>
      </x:c>
      <x:c r="K231" s="11" t="n">
        <x:f>IF(A231="",1,0)+IF(B231="",1,0)+IF(C231="Review",1,0)+IF(D231="",1,0)+IF(OR(E231="",E231&lt;=0),1,0)+IF(OR(F231="",F231&lt;=0),1,0)+IF(G231="",1,0)+IF(H231="Missing",1,0)+IF(I231="Review",1,0)+IF(J231="Duplicate",1,0)</x:f>
        <x:v>0</x:v>
      </x:c>
      <x:c r="L231" s="12" t="str">
        <x:f>IF(A231="","Missing order ID; ","")&amp;IF(B231="","Missing school; ","")&amp;IF(C231="Review","Unmapped region; ","")&amp;IF(D231="","Missing product; ","")&amp;IF(OR(E231="",E231&lt;=0),"Invalid units; ","")&amp;IF(OR(F231="",F231&lt;=0),"Invalid amount; ","")&amp;IF(G231="","Invalid date; ","")&amp;IF(H231="Missing","Missing sales rep; ","")&amp;IF(I231="Review","Unmapped payment status; ","")&amp;IF(J231="Duplicate","Duplicate ID; ","")</x:f>
      </x:c>
      <x:c r="M231" t="str">
        <x:f>IF(K231=0,"Ready","Review")</x:f>
        <x:v>Ready</x:v>
      </x:c>
    </x:row>
    <x:row r="232">
      <x:c r="A232" t="str">
        <x:f>UPPER(TRIM('Raw Sales'!A232))</x:f>
        <x:v>SAL-26-0227</x:v>
      </x:c>
      <x:c r="B232" t="str">
        <x:f>PROPER(TRIM('Raw Sales'!B232))</x:f>
        <x:v>Pinecrest School</x:v>
      </x:c>
      <x:c r="C232" t="str">
        <x:f>IF(OR(UPPER(TRIM('Raw Sales'!C232))="BOCHUM",UPPER(TRIM('Raw Sales'!C232))="BOCHUM REGION"),"Bochum",IF(OR(UPPER(TRIM('Raw Sales'!C232))="ELDORADO",UPPER(TRIM('Raw Sales'!C232))="ELDOS"),"Eldorado","Review"))</x:f>
        <x:v>Bochum</x:v>
      </x:c>
      <x:c r="D232" t="str">
        <x:f>PROPER(TRIM('Raw Sales'!D232))</x:f>
        <x:v>Pencils</x:v>
      </x:c>
      <x:c r="E232" s="8" t="n">
        <x:f>IFERROR(VALUE('Raw Sales'!E232),"")</x:f>
        <x:v>6</x:v>
      </x:c>
      <x:c r="F232" s="9" t="n">
        <x:v>450</x:v>
      </x:c>
      <x:c r="G232" s="10" t="n">
        <x:f>IFERROR(IF(OR(MID(TRIM('Raw Sales'!G232),5,1)="-",MID(TRIM('Raw Sales'!G232),5,1)="/"),DATE(VALUE(LEFT(TRIM('Raw Sales'!G232),4)),VALUE(MID(TRIM('Raw Sales'!G232),6,2)),VALUE(RIGHT(TRIM('Raw Sales'!G232),2))),IF(LEN(TRIM('Raw Sales'!G232))=10,DATE(VALUE(RIGHT(TRIM('Raw Sales'!G232),4)),VALUE(MID(TRIM('Raw Sales'!G232),4,2)),VALUE(LEFT(TRIM('Raw Sales'!G232),2))),IF(LEN(TRIM('Raw Sales'!G232))=8,DATE(2000+VALUE(RIGHT(TRIM('Raw Sales'!G232),2)),VALUE(MID(TRIM('Raw Sales'!G232),4,2)),VALUE(LEFT(TRIM('Raw Sales'!G232),2))),""))),"")</x:f>
        <x:v>46116</x:v>
      </x:c>
      <x:c r="H232" t="str">
        <x:f>IF(TRIM('Raw Sales'!H232)="","Missing",PROPER(TRIM('Raw Sales'!H232)))</x:f>
        <x:v>Thabo Ndlovu</x:v>
      </x:c>
      <x:c r="I232" t="str">
        <x:f>IF(OR(UPPER(TRIM('Raw Sales'!I232))="PAID",UPPER(TRIM('Raw Sales'!I232))="SETTLED",UPPER(TRIM('Raw Sales'!I232))="COMPLETE"),"Paid",IF(UPPER(TRIM('Raw Sales'!I232))="PENDING","Pending","Review"))</x:f>
        <x:v>Paid</x:v>
      </x:c>
      <x:c r="J232" t="str">
        <x:f>IF(A232="","Missing",IF(COUNTIF($A$6:A232,A232)&gt;1,"Duplicate","Unique"))</x:f>
        <x:v>Unique</x:v>
      </x:c>
      <x:c r="K232" s="11" t="n">
        <x:f>IF(A232="",1,0)+IF(B232="",1,0)+IF(C232="Review",1,0)+IF(D232="",1,0)+IF(OR(E232="",E232&lt;=0),1,0)+IF(OR(F232="",F232&lt;=0),1,0)+IF(G232="",1,0)+IF(H232="Missing",1,0)+IF(I232="Review",1,0)+IF(J232="Duplicate",1,0)</x:f>
        <x:v>0</x:v>
      </x:c>
      <x:c r="L232" s="12" t="str">
        <x:f>IF(A232="","Missing order ID; ","")&amp;IF(B232="","Missing school; ","")&amp;IF(C232="Review","Unmapped region; ","")&amp;IF(D232="","Missing product; ","")&amp;IF(OR(E232="",E232&lt;=0),"Invalid units; ","")&amp;IF(OR(F232="",F232&lt;=0),"Invalid amount; ","")&amp;IF(G232="","Invalid date; ","")&amp;IF(H232="Missing","Missing sales rep; ","")&amp;IF(I232="Review","Unmapped payment status; ","")&amp;IF(J232="Duplicate","Duplicate ID; ","")</x:f>
      </x:c>
      <x:c r="M232" t="str">
        <x:f>IF(K232=0,"Ready","Review")</x:f>
        <x:v>Ready</x:v>
      </x:c>
    </x:row>
    <x:row r="233">
      <x:c r="A233" t="str">
        <x:f>UPPER(TRIM('Raw Sales'!A233))</x:f>
        <x:v>SAL-26-0228</x:v>
      </x:c>
      <x:c r="B233" t="str">
        <x:f>PROPER(TRIM('Raw Sales'!B233))</x:f>
        <x:v>Northstar Academy</x:v>
      </x:c>
      <x:c r="C233" t="str">
        <x:f>IF(OR(UPPER(TRIM('Raw Sales'!C233))="BOCHUM",UPPER(TRIM('Raw Sales'!C233))="BOCHUM REGION"),"Bochum",IF(OR(UPPER(TRIM('Raw Sales'!C233))="ELDORADO",UPPER(TRIM('Raw Sales'!C233))="ELDOS"),"Eldorado","Review"))</x:f>
        <x:v>Bochum</x:v>
      </x:c>
      <x:c r="D233" t="str">
        <x:f>PROPER(TRIM('Raw Sales'!D233))</x:f>
        <x:v>Folders</x:v>
      </x:c>
      <x:c r="E233" s="8" t="n">
        <x:f>IFERROR(VALUE('Raw Sales'!E233),"")</x:f>
        <x:v>13</x:v>
      </x:c>
      <x:c r="F233" s="9" t="n">
        <x:v>1144</x:v>
      </x:c>
      <x:c r="G233" s="10" t="n">
        <x:f>IFERROR(IF(OR(MID(TRIM('Raw Sales'!G233),5,1)="-",MID(TRIM('Raw Sales'!G233),5,1)="/"),DATE(VALUE(LEFT(TRIM('Raw Sales'!G233),4)),VALUE(MID(TRIM('Raw Sales'!G233),6,2)),VALUE(RIGHT(TRIM('Raw Sales'!G233),2))),IF(LEN(TRIM('Raw Sales'!G233))=10,DATE(VALUE(RIGHT(TRIM('Raw Sales'!G233),4)),VALUE(MID(TRIM('Raw Sales'!G233),4,2)),VALUE(LEFT(TRIM('Raw Sales'!G233),2))),IF(LEN(TRIM('Raw Sales'!G233))=8,DATE(2000+VALUE(RIGHT(TRIM('Raw Sales'!G233),2)),VALUE(MID(TRIM('Raw Sales'!G233),4,2)),VALUE(LEFT(TRIM('Raw Sales'!G233),2))),""))),"")</x:f>
        <x:v>46147</x:v>
      </x:c>
      <x:c r="H233" t="str">
        <x:f>IF(TRIM('Raw Sales'!H233)="","Missing",PROPER(TRIM('Raw Sales'!H233)))</x:f>
        <x:v>Lebo Nkosi</x:v>
      </x:c>
      <x:c r="I233" t="str">
        <x:f>IF(OR(UPPER(TRIM('Raw Sales'!I233))="PAID",UPPER(TRIM('Raw Sales'!I233))="SETTLED",UPPER(TRIM('Raw Sales'!I233))="COMPLETE"),"Paid",IF(UPPER(TRIM('Raw Sales'!I233))="PENDING","Pending","Review"))</x:f>
        <x:v>Paid</x:v>
      </x:c>
      <x:c r="J233" t="str">
        <x:f>IF(A233="","Missing",IF(COUNTIF($A$6:A233,A233)&gt;1,"Duplicate","Unique"))</x:f>
        <x:v>Unique</x:v>
      </x:c>
      <x:c r="K233" s="11" t="n">
        <x:f>IF(A233="",1,0)+IF(B233="",1,0)+IF(C233="Review",1,0)+IF(D233="",1,0)+IF(OR(E233="",E233&lt;=0),1,0)+IF(OR(F233="",F233&lt;=0),1,0)+IF(G233="",1,0)+IF(H233="Missing",1,0)+IF(I233="Review",1,0)+IF(J233="Duplicate",1,0)</x:f>
        <x:v>0</x:v>
      </x:c>
      <x:c r="L233" s="12" t="str">
        <x:f>IF(A233="","Missing order ID; ","")&amp;IF(B233="","Missing school; ","")&amp;IF(C233="Review","Unmapped region; ","")&amp;IF(D233="","Missing product; ","")&amp;IF(OR(E233="",E233&lt;=0),"Invalid units; ","")&amp;IF(OR(F233="",F233&lt;=0),"Invalid amount; ","")&amp;IF(G233="","Invalid date; ","")&amp;IF(H233="Missing","Missing sales rep; ","")&amp;IF(I233="Review","Unmapped payment status; ","")&amp;IF(J233="Duplicate","Duplicate ID; ","")</x:f>
      </x:c>
      <x:c r="M233" t="str">
        <x:f>IF(K233=0,"Ready","Review")</x:f>
        <x:v>Ready</x:v>
      </x:c>
    </x:row>
    <x:row r="234">
      <x:c r="A234" t="str">
        <x:f>UPPER(TRIM('Raw Sales'!A234))</x:f>
        <x:v>SAL-26-0229</x:v>
      </x:c>
      <x:c r="B234" t="str">
        <x:f>PROPER(TRIM('Raw Sales'!B234))</x:f>
        <x:v>Crescent Primary</x:v>
      </x:c>
      <x:c r="C234" t="str">
        <x:f>IF(OR(UPPER(TRIM('Raw Sales'!C234))="BOCHUM",UPPER(TRIM('Raw Sales'!C234))="BOCHUM REGION"),"Bochum",IF(OR(UPPER(TRIM('Raw Sales'!C234))="ELDORADO",UPPER(TRIM('Raw Sales'!C234))="ELDOS"),"Eldorado","Review"))</x:f>
        <x:v>Eldorado</x:v>
      </x:c>
      <x:c r="D234" t="str">
        <x:f>PROPER(TRIM('Raw Sales'!D234))</x:f>
        <x:v>Pens</x:v>
      </x:c>
      <x:c r="E234" s="8" t="n">
        <x:f>IFERROR(VALUE('Raw Sales'!E234),"")</x:f>
        <x:v>20</x:v>
      </x:c>
      <x:c r="F234" s="9" t="n">
        <x:v>2020</x:v>
      </x:c>
      <x:c r="G234" s="10" t="n">
        <x:f>IFERROR(IF(OR(MID(TRIM('Raw Sales'!G234),5,1)="-",MID(TRIM('Raw Sales'!G234),5,1)="/"),DATE(VALUE(LEFT(TRIM('Raw Sales'!G234),4)),VALUE(MID(TRIM('Raw Sales'!G234),6,2)),VALUE(RIGHT(TRIM('Raw Sales'!G234),2))),IF(LEN(TRIM('Raw Sales'!G234))=10,DATE(VALUE(RIGHT(TRIM('Raw Sales'!G234),4)),VALUE(MID(TRIM('Raw Sales'!G234),4,2)),VALUE(LEFT(TRIM('Raw Sales'!G234),2))),IF(LEN(TRIM('Raw Sales'!G234))=8,DATE(2000+VALUE(RIGHT(TRIM('Raw Sales'!G234),2)),VALUE(MID(TRIM('Raw Sales'!G234),4,2)),VALUE(LEFT(TRIM('Raw Sales'!G234),2))),""))),"")</x:f>
        <x:v>46179</x:v>
      </x:c>
      <x:c r="H234" t="str">
        <x:f>IF(TRIM('Raw Sales'!H234)="","Missing",PROPER(TRIM('Raw Sales'!H234)))</x:f>
        <x:v>Thabo Ndlovu</x:v>
      </x:c>
      <x:c r="I234" t="str">
        <x:f>IF(OR(UPPER(TRIM('Raw Sales'!I234))="PAID",UPPER(TRIM('Raw Sales'!I234))="SETTLED",UPPER(TRIM('Raw Sales'!I234))="COMPLETE"),"Paid",IF(UPPER(TRIM('Raw Sales'!I234))="PENDING","Pending","Review"))</x:f>
        <x:v>Pending</x:v>
      </x:c>
      <x:c r="J234" t="str">
        <x:f>IF(A234="","Missing",IF(COUNTIF($A$6:A234,A234)&gt;1,"Duplicate","Unique"))</x:f>
        <x:v>Unique</x:v>
      </x:c>
      <x:c r="K234" s="11" t="n">
        <x:f>IF(A234="",1,0)+IF(B234="",1,0)+IF(C234="Review",1,0)+IF(D234="",1,0)+IF(OR(E234="",E234&lt;=0),1,0)+IF(OR(F234="",F234&lt;=0),1,0)+IF(G234="",1,0)+IF(H234="Missing",1,0)+IF(I234="Review",1,0)+IF(J234="Duplicate",1,0)</x:f>
        <x:v>0</x:v>
      </x:c>
      <x:c r="L234" s="12" t="str">
        <x:f>IF(A234="","Missing order ID; ","")&amp;IF(B234="","Missing school; ","")&amp;IF(C234="Review","Unmapped region; ","")&amp;IF(D234="","Missing product; ","")&amp;IF(OR(E234="",E234&lt;=0),"Invalid units; ","")&amp;IF(OR(F234="",F234&lt;=0),"Invalid amount; ","")&amp;IF(G234="","Invalid date; ","")&amp;IF(H234="Missing","Missing sales rep; ","")&amp;IF(I234="Review","Unmapped payment status; ","")&amp;IF(J234="Duplicate","Duplicate ID; ","")</x:f>
      </x:c>
      <x:c r="M234" t="str">
        <x:f>IF(K234=0,"Ready","Review")</x:f>
        <x:v>Ready</x:v>
      </x:c>
    </x:row>
    <x:row r="235">
      <x:c r="A235" t="str">
        <x:f>UPPER(TRIM('Raw Sales'!A235))</x:f>
        <x:v>SAL-26-0230</x:v>
      </x:c>
      <x:c r="B235" t="str">
        <x:f>PROPER(TRIM('Raw Sales'!B235))</x:f>
        <x:v>Hillview Primary</x:v>
      </x:c>
      <x:c r="C235" t="str">
        <x:f>IF(OR(UPPER(TRIM('Raw Sales'!C235))="BOCHUM",UPPER(TRIM('Raw Sales'!C235))="BOCHUM REGION"),"Bochum",IF(OR(UPPER(TRIM('Raw Sales'!C235))="ELDORADO",UPPER(TRIM('Raw Sales'!C235))="ELDOS"),"Eldorado","Review"))</x:f>
        <x:v>Bochum</x:v>
      </x:c>
      <x:c r="D235" t="str">
        <x:f>PROPER(TRIM('Raw Sales'!D235))</x:f>
        <x:v>Glue Sticks</x:v>
      </x:c>
      <x:c r="E235" s="8" t="n">
        <x:f>IFERROR(VALUE('Raw Sales'!E235),"")</x:f>
        <x:v>27</x:v>
      </x:c>
      <x:c r="F235" s="9" t="n">
        <x:v>3078</x:v>
      </x:c>
      <x:c r="G235" s="10" t="n">
        <x:f>IFERROR(IF(OR(MID(TRIM('Raw Sales'!G235),5,1)="-",MID(TRIM('Raw Sales'!G235),5,1)="/"),DATE(VALUE(LEFT(TRIM('Raw Sales'!G235),4)),VALUE(MID(TRIM('Raw Sales'!G235),6,2)),VALUE(RIGHT(TRIM('Raw Sales'!G235),2))),IF(LEN(TRIM('Raw Sales'!G235))=10,DATE(VALUE(RIGHT(TRIM('Raw Sales'!G235),4)),VALUE(MID(TRIM('Raw Sales'!G235),4,2)),VALUE(LEFT(TRIM('Raw Sales'!G235),2))),IF(LEN(TRIM('Raw Sales'!G235))=8,DATE(2000+VALUE(RIGHT(TRIM('Raw Sales'!G235),2)),VALUE(MID(TRIM('Raw Sales'!G235),4,2)),VALUE(LEFT(TRIM('Raw Sales'!G235),2))),""))),"")</x:f>
        <x:v>46210</x:v>
      </x:c>
      <x:c r="H235" t="str">
        <x:f>IF(TRIM('Raw Sales'!H235)="","Missing",PROPER(TRIM('Raw Sales'!H235)))</x:f>
        <x:v>Missing</x:v>
      </x:c>
      <x:c r="I235" t="str">
        <x:f>IF(OR(UPPER(TRIM('Raw Sales'!I235))="PAID",UPPER(TRIM('Raw Sales'!I235))="SETTLED",UPPER(TRIM('Raw Sales'!I235))="COMPLETE"),"Paid",IF(UPPER(TRIM('Raw Sales'!I235))="PENDING","Pending","Review"))</x:f>
        <x:v>Paid</x:v>
      </x:c>
      <x:c r="J235" t="str">
        <x:f>IF(A235="","Missing",IF(COUNTIF($A$6:A235,A235)&gt;1,"Duplicate","Unique"))</x:f>
        <x:v>Unique</x:v>
      </x:c>
      <x:c r="K235" s="11" t="n">
        <x:f>IF(A235="",1,0)+IF(B235="",1,0)+IF(C235="Review",1,0)+IF(D235="",1,0)+IF(OR(E235="",E235&lt;=0),1,0)+IF(OR(F235="",F235&lt;=0),1,0)+IF(G235="",1,0)+IF(H235="Missing",1,0)+IF(I235="Review",1,0)+IF(J235="Duplicate",1,0)</x:f>
        <x:v>1</x:v>
      </x:c>
      <x:c r="L235" s="12" t="str">
        <x:f>IF(A235="","Missing order ID; ","")&amp;IF(B235="","Missing school; ","")&amp;IF(C235="Review","Unmapped region; ","")&amp;IF(D235="","Missing product; ","")&amp;IF(OR(E235="",E235&lt;=0),"Invalid units; ","")&amp;IF(OR(F235="",F235&lt;=0),"Invalid amount; ","")&amp;IF(G235="","Invalid date; ","")&amp;IF(H235="Missing","Missing sales rep; ","")&amp;IF(I235="Review","Unmapped payment status; ","")&amp;IF(J235="Duplicate","Duplicate ID; ","")</x:f>
        <x:v>Missing sales rep; </x:v>
      </x:c>
      <x:c r="M235" t="str">
        <x:f>IF(K235=0,"Ready","Review")</x:f>
        <x:v>Review</x:v>
      </x:c>
    </x:row>
    <x:row r="236">
      <x:c r="A236" t="str">
        <x:f>UPPER(TRIM('Raw Sales'!A236))</x:f>
        <x:v>SAL-26-0231</x:v>
      </x:c>
      <x:c r="B236" t="str">
        <x:f>PROPER(TRIM('Raw Sales'!B236))</x:f>
        <x:v>Eastwood Academy</x:v>
      </x:c>
      <x:c r="C236" t="str">
        <x:f>IF(OR(UPPER(TRIM('Raw Sales'!C236))="BOCHUM",UPPER(TRIM('Raw Sales'!C236))="BOCHUM REGION"),"Bochum",IF(OR(UPPER(TRIM('Raw Sales'!C236))="ELDORADO",UPPER(TRIM('Raw Sales'!C236))="ELDOS"),"Eldorado","Review"))</x:f>
        <x:v>Eldorado</x:v>
      </x:c>
      <x:c r="D236" t="str">
        <x:f>PROPER(TRIM('Raw Sales'!D236))</x:f>
        <x:v>Markers</x:v>
      </x:c>
      <x:c r="E236" s="8" t="n">
        <x:f>IFERROR(VALUE('Raw Sales'!E236),"")</x:f>
        <x:v>34</x:v>
      </x:c>
      <x:c r="F236" s="9" t="n">
        <x:v>4318</x:v>
      </x:c>
      <x:c r="G236" s="10" t="n">
        <x:f>IFERROR(IF(OR(MID(TRIM('Raw Sales'!G236),5,1)="-",MID(TRIM('Raw Sales'!G236),5,1)="/"),DATE(VALUE(LEFT(TRIM('Raw Sales'!G236),4)),VALUE(MID(TRIM('Raw Sales'!G236),6,2)),VALUE(RIGHT(TRIM('Raw Sales'!G236),2))),IF(LEN(TRIM('Raw Sales'!G236))=10,DATE(VALUE(RIGHT(TRIM('Raw Sales'!G236),4)),VALUE(MID(TRIM('Raw Sales'!G236),4,2)),VALUE(LEFT(TRIM('Raw Sales'!G236),2))),IF(LEN(TRIM('Raw Sales'!G236))=8,DATE(2000+VALUE(RIGHT(TRIM('Raw Sales'!G236),2)),VALUE(MID(TRIM('Raw Sales'!G236),4,2)),VALUE(LEFT(TRIM('Raw Sales'!G236),2))),""))),"")</x:f>
        <x:v>46242</x:v>
      </x:c>
      <x:c r="H236" t="str">
        <x:f>IF(TRIM('Raw Sales'!H236)="","Missing",PROPER(TRIM('Raw Sales'!H236)))</x:f>
        <x:v>Thabo Ndlovu</x:v>
      </x:c>
      <x:c r="I236" t="str">
        <x:f>IF(OR(UPPER(TRIM('Raw Sales'!I236))="PAID",UPPER(TRIM('Raw Sales'!I236))="SETTLED",UPPER(TRIM('Raw Sales'!I236))="COMPLETE"),"Paid",IF(UPPER(TRIM('Raw Sales'!I236))="PENDING","Pending","Review"))</x:f>
        <x:v>Paid</x:v>
      </x:c>
      <x:c r="J236" t="str">
        <x:f>IF(A236="","Missing",IF(COUNTIF($A$6:A236,A236)&gt;1,"Duplicate","Unique"))</x:f>
        <x:v>Unique</x:v>
      </x:c>
      <x:c r="K236" s="11" t="n">
        <x:f>IF(A236="",1,0)+IF(B236="",1,0)+IF(C236="Review",1,0)+IF(D236="",1,0)+IF(OR(E236="",E236&lt;=0),1,0)+IF(OR(F236="",F236&lt;=0),1,0)+IF(G236="",1,0)+IF(H236="Missing",1,0)+IF(I236="Review",1,0)+IF(J236="Duplicate",1,0)</x:f>
        <x:v>0</x:v>
      </x:c>
      <x:c r="L236" s="12" t="str">
        <x:f>IF(A236="","Missing order ID; ","")&amp;IF(B236="","Missing school; ","")&amp;IF(C236="Review","Unmapped region; ","")&amp;IF(D236="","Missing product; ","")&amp;IF(OR(E236="",E236&lt;=0),"Invalid units; ","")&amp;IF(OR(F236="",F236&lt;=0),"Invalid amount; ","")&amp;IF(G236="","Invalid date; ","")&amp;IF(H236="Missing","Missing sales rep; ","")&amp;IF(I236="Review","Unmapped payment status; ","")&amp;IF(J236="Duplicate","Duplicate ID; ","")</x:f>
      </x:c>
      <x:c r="M236" t="str">
        <x:f>IF(K236=0,"Ready","Review")</x:f>
        <x:v>Ready</x:v>
      </x:c>
    </x:row>
    <x:row r="237">
      <x:c r="A237" t="str">
        <x:f>UPPER(TRIM('Raw Sales'!A237))</x:f>
        <x:v>SAL-26-0232</x:v>
      </x:c>
      <x:c r="B237" t="str">
        <x:f>PROPER(TRIM('Raw Sales'!B237))</x:f>
        <x:v>Lakeside School</x:v>
      </x:c>
      <x:c r="C237" t="str">
        <x:f>IF(OR(UPPER(TRIM('Raw Sales'!C237))="BOCHUM",UPPER(TRIM('Raw Sales'!C237))="BOCHUM REGION"),"Bochum",IF(OR(UPPER(TRIM('Raw Sales'!C237))="ELDORADO",UPPER(TRIM('Raw Sales'!C237))="ELDOS"),"Eldorado","Review"))</x:f>
        <x:v>Bochum</x:v>
      </x:c>
      <x:c r="D237" t="str">
        <x:f>PROPER(TRIM('Raw Sales'!D237))</x:f>
        <x:v>Notebooks</x:v>
      </x:c>
      <x:c r="E237" s="8" t="str">
        <x:f>IFERROR(VALUE('Raw Sales'!E237),"")</x:f>
      </x:c>
      <x:c r="F237" s="9" t="n">
        <x:v>700</x:v>
      </x:c>
      <x:c r="G237" s="10" t="n">
        <x:f>IFERROR(IF(OR(MID(TRIM('Raw Sales'!G237),5,1)="-",MID(TRIM('Raw Sales'!G237),5,1)="/"),DATE(VALUE(LEFT(TRIM('Raw Sales'!G237),4)),VALUE(MID(TRIM('Raw Sales'!G237),6,2)),VALUE(RIGHT(TRIM('Raw Sales'!G237),2))),IF(LEN(TRIM('Raw Sales'!G237))=10,DATE(VALUE(RIGHT(TRIM('Raw Sales'!G237),4)),VALUE(MID(TRIM('Raw Sales'!G237),4,2)),VALUE(LEFT(TRIM('Raw Sales'!G237),2))),IF(LEN(TRIM('Raw Sales'!G237))=8,DATE(2000+VALUE(RIGHT(TRIM('Raw Sales'!G237),2)),VALUE(MID(TRIM('Raw Sales'!G237),4,2)),VALUE(LEFT(TRIM('Raw Sales'!G237),2))),""))),"")</x:f>
        <x:v>46031</x:v>
      </x:c>
      <x:c r="H237" t="str">
        <x:f>IF(TRIM('Raw Sales'!H237)="","Missing",PROPER(TRIM('Raw Sales'!H237)))</x:f>
        <x:v>Lebo Nkosi</x:v>
      </x:c>
      <x:c r="I237" t="str">
        <x:f>IF(OR(UPPER(TRIM('Raw Sales'!I237))="PAID",UPPER(TRIM('Raw Sales'!I237))="SETTLED",UPPER(TRIM('Raw Sales'!I237))="COMPLETE"),"Paid",IF(UPPER(TRIM('Raw Sales'!I237))="PENDING","Pending","Review"))</x:f>
        <x:v>Pending</x:v>
      </x:c>
      <x:c r="J237" t="str">
        <x:f>IF(A237="","Missing",IF(COUNTIF($A$6:A237,A237)&gt;1,"Duplicate","Unique"))</x:f>
        <x:v>Unique</x:v>
      </x:c>
      <x:c r="K237" s="11" t="n">
        <x:f>IF(A237="",1,0)+IF(B237="",1,0)+IF(C237="Review",1,0)+IF(D237="",1,0)+IF(OR(E237="",E237&lt;=0),1,0)+IF(OR(F237="",F237&lt;=0),1,0)+IF(G237="",1,0)+IF(H237="Missing",1,0)+IF(I237="Review",1,0)+IF(J237="Duplicate",1,0)</x:f>
        <x:v>1</x:v>
      </x:c>
      <x:c r="L237" s="12" t="str">
        <x:f>IF(A237="","Missing order ID; ","")&amp;IF(B237="","Missing school; ","")&amp;IF(C237="Review","Unmapped region; ","")&amp;IF(D237="","Missing product; ","")&amp;IF(OR(E237="",E237&lt;=0),"Invalid units; ","")&amp;IF(OR(F237="",F237&lt;=0),"Invalid amount; ","")&amp;IF(G237="","Invalid date; ","")&amp;IF(H237="Missing","Missing sales rep; ","")&amp;IF(I237="Review","Unmapped payment status; ","")&amp;IF(J237="Duplicate","Duplicate ID; ","")</x:f>
        <x:v>Invalid units; </x:v>
      </x:c>
      <x:c r="M237" t="str">
        <x:f>IF(K237=0,"Ready","Review")</x:f>
        <x:v>Review</x:v>
      </x:c>
    </x:row>
    <x:row r="238">
      <x:c r="A238" t="str">
        <x:f>UPPER(TRIM('Raw Sales'!A238))</x:f>
        <x:v>SAL-26-0233</x:v>
      </x:c>
      <x:c r="B238" t="str">
        <x:f>PROPER(TRIM('Raw Sales'!B238))</x:f>
        <x:v>Valley Primary</x:v>
      </x:c>
      <x:c r="C238" t="str">
        <x:f>IF(OR(UPPER(TRIM('Raw Sales'!C238))="BOCHUM",UPPER(TRIM('Raw Sales'!C238))="BOCHUM REGION"),"Bochum",IF(OR(UPPER(TRIM('Raw Sales'!C238))="ELDORADO",UPPER(TRIM('Raw Sales'!C238))="ELDOS"),"Eldorado","Review"))</x:f>
        <x:v>Eldorado</x:v>
      </x:c>
      <x:c r="D238" t="str">
        <x:f>PROPER(TRIM('Raw Sales'!D238))</x:f>
        <x:v>Rulers</x:v>
      </x:c>
      <x:c r="E238" s="8" t="n">
        <x:f>IFERROR(VALUE('Raw Sales'!E238),"")</x:f>
        <x:v>12</x:v>
      </x:c>
      <x:c r="F238" s="9" t="n">
        <x:v>1836</x:v>
      </x:c>
      <x:c r="G238" s="10" t="n">
        <x:f>IFERROR(IF(OR(MID(TRIM('Raw Sales'!G238),5,1)="-",MID(TRIM('Raw Sales'!G238),5,1)="/"),DATE(VALUE(LEFT(TRIM('Raw Sales'!G238),4)),VALUE(MID(TRIM('Raw Sales'!G238),6,2)),VALUE(RIGHT(TRIM('Raw Sales'!G238),2))),IF(LEN(TRIM('Raw Sales'!G238))=10,DATE(VALUE(RIGHT(TRIM('Raw Sales'!G238),4)),VALUE(MID(TRIM('Raw Sales'!G238),4,2)),VALUE(LEFT(TRIM('Raw Sales'!G238),2))),IF(LEN(TRIM('Raw Sales'!G238))=8,DATE(2000+VALUE(RIGHT(TRIM('Raw Sales'!G238),2)),VALUE(MID(TRIM('Raw Sales'!G238),4,2)),VALUE(LEFT(TRIM('Raw Sales'!G238),2))),""))),"")</x:f>
        <x:v>46063</x:v>
      </x:c>
      <x:c r="H238" t="str">
        <x:f>IF(TRIM('Raw Sales'!H238)="","Missing",PROPER(TRIM('Raw Sales'!H238)))</x:f>
        <x:v>Thabo Ndlovu</x:v>
      </x:c>
      <x:c r="I238" t="str">
        <x:f>IF(OR(UPPER(TRIM('Raw Sales'!I238))="PAID",UPPER(TRIM('Raw Sales'!I238))="SETTLED",UPPER(TRIM('Raw Sales'!I238))="COMPLETE"),"Paid",IF(UPPER(TRIM('Raw Sales'!I238))="PENDING","Pending","Review"))</x:f>
        <x:v>Paid</x:v>
      </x:c>
      <x:c r="J238" t="str">
        <x:f>IF(A238="","Missing",IF(COUNTIF($A$6:A238,A238)&gt;1,"Duplicate","Unique"))</x:f>
        <x:v>Unique</x:v>
      </x:c>
      <x:c r="K238" s="11" t="n">
        <x:f>IF(A238="",1,0)+IF(B238="",1,0)+IF(C238="Review",1,0)+IF(D238="",1,0)+IF(OR(E238="",E238&lt;=0),1,0)+IF(OR(F238="",F238&lt;=0),1,0)+IF(G238="",1,0)+IF(H238="Missing",1,0)+IF(I238="Review",1,0)+IF(J238="Duplicate",1,0)</x:f>
        <x:v>0</x:v>
      </x:c>
      <x:c r="L238" s="12" t="str">
        <x:f>IF(A238="","Missing order ID; ","")&amp;IF(B238="","Missing school; ","")&amp;IF(C238="Review","Unmapped region; ","")&amp;IF(D238="","Missing product; ","")&amp;IF(OR(E238="",E238&lt;=0),"Invalid units; ","")&amp;IF(OR(F238="",F238&lt;=0),"Invalid amount; ","")&amp;IF(G238="","Invalid date; ","")&amp;IF(H238="Missing","Missing sales rep; ","")&amp;IF(I238="Review","Unmapped payment status; ","")&amp;IF(J238="Duplicate","Duplicate ID; ","")</x:f>
      </x:c>
      <x:c r="M238" t="str">
        <x:f>IF(K238=0,"Ready","Review")</x:f>
        <x:v>Ready</x:v>
      </x:c>
    </x:row>
    <x:row r="239">
      <x:c r="A239" t="str">
        <x:f>UPPER(TRIM('Raw Sales'!A239))</x:f>
        <x:v>SAL-26-0234</x:v>
      </x:c>
      <x:c r="B239" t="str">
        <x:f>PROPER(TRIM('Raw Sales'!B239))</x:f>
        <x:v>Mhlabeni Secondary</x:v>
      </x:c>
      <x:c r="C239" t="str">
        <x:f>IF(OR(UPPER(TRIM('Raw Sales'!C239))="BOCHUM",UPPER(TRIM('Raw Sales'!C239))="BOCHUM REGION"),"Bochum",IF(OR(UPPER(TRIM('Raw Sales'!C239))="ELDORADO",UPPER(TRIM('Raw Sales'!C239))="ELDOS"),"Eldorado","Review"))</x:f>
        <x:v>Eldorado</x:v>
      </x:c>
      <x:c r="D239" t="str">
        <x:f>PROPER(TRIM('Raw Sales'!D239))</x:f>
        <x:v>Exercise Books</x:v>
      </x:c>
      <x:c r="E239" s="8" t="n">
        <x:f>IFERROR(VALUE('Raw Sales'!E239),"")</x:f>
        <x:v>19</x:v>
      </x:c>
      <x:c r="F239" s="9" t="n">
        <x:v>3154</x:v>
      </x:c>
      <x:c r="G239" s="10" t="n">
        <x:f>IFERROR(IF(OR(MID(TRIM('Raw Sales'!G239),5,1)="-",MID(TRIM('Raw Sales'!G239),5,1)="/"),DATE(VALUE(LEFT(TRIM('Raw Sales'!G239),4)),VALUE(MID(TRIM('Raw Sales'!G239),6,2)),VALUE(RIGHT(TRIM('Raw Sales'!G239),2))),IF(LEN(TRIM('Raw Sales'!G239))=10,DATE(VALUE(RIGHT(TRIM('Raw Sales'!G239),4)),VALUE(MID(TRIM('Raw Sales'!G239),4,2)),VALUE(LEFT(TRIM('Raw Sales'!G239),2))),IF(LEN(TRIM('Raw Sales'!G239))=8,DATE(2000+VALUE(RIGHT(TRIM('Raw Sales'!G239),2)),VALUE(MID(TRIM('Raw Sales'!G239),4,2)),VALUE(LEFT(TRIM('Raw Sales'!G239),2))),""))),"")</x:f>
        <x:v>46092</x:v>
      </x:c>
      <x:c r="H239" t="str">
        <x:f>IF(TRIM('Raw Sales'!H239)="","Missing",PROPER(TRIM('Raw Sales'!H239)))</x:f>
        <x:v>Lebo Nkosi</x:v>
      </x:c>
      <x:c r="I239" t="str">
        <x:f>IF(OR(UPPER(TRIM('Raw Sales'!I239))="PAID",UPPER(TRIM('Raw Sales'!I239))="SETTLED",UPPER(TRIM('Raw Sales'!I239))="COMPLETE"),"Paid",IF(UPPER(TRIM('Raw Sales'!I239))="PENDING","Pending","Review"))</x:f>
        <x:v>Paid</x:v>
      </x:c>
      <x:c r="J239" t="str">
        <x:f>IF(A239="","Missing",IF(COUNTIF($A$6:A239,A239)&gt;1,"Duplicate","Unique"))</x:f>
        <x:v>Unique</x:v>
      </x:c>
      <x:c r="K239" s="11" t="n">
        <x:f>IF(A239="",1,0)+IF(B239="",1,0)+IF(C239="Review",1,0)+IF(D239="",1,0)+IF(OR(E239="",E239&lt;=0),1,0)+IF(OR(F239="",F239&lt;=0),1,0)+IF(G239="",1,0)+IF(H239="Missing",1,0)+IF(I239="Review",1,0)+IF(J239="Duplicate",1,0)</x:f>
        <x:v>0</x:v>
      </x:c>
      <x:c r="L239" s="12" t="str">
        <x:f>IF(A239="","Missing order ID; ","")&amp;IF(B239="","Missing school; ","")&amp;IF(C239="Review","Unmapped region; ","")&amp;IF(D239="","Missing product; ","")&amp;IF(OR(E239="",E239&lt;=0),"Invalid units; ","")&amp;IF(OR(F239="",F239&lt;=0),"Invalid amount; ","")&amp;IF(G239="","Invalid date; ","")&amp;IF(H239="Missing","Missing sales rep; ","")&amp;IF(I239="Review","Unmapped payment status; ","")&amp;IF(J239="Duplicate","Duplicate ID; ","")</x:f>
      </x:c>
      <x:c r="M239" t="str">
        <x:f>IF(K239=0,"Ready","Review")</x:f>
        <x:v>Ready</x:v>
      </x:c>
    </x:row>
    <x:row r="240">
      <x:c r="A240" t="str">
        <x:f>UPPER(TRIM('Raw Sales'!A240))</x:f>
        <x:v>SAL-26-0235</x:v>
      </x:c>
      <x:c r="B240" t="str">
        <x:f>PROPER(TRIM('Raw Sales'!B240))</x:f>
        <x:v>Meadowlands School</x:v>
      </x:c>
      <x:c r="C240" t="str">
        <x:f>IF(OR(UPPER(TRIM('Raw Sales'!C240))="BOCHUM",UPPER(TRIM('Raw Sales'!C240))="BOCHUM REGION"),"Bochum",IF(OR(UPPER(TRIM('Raw Sales'!C240))="ELDORADO",UPPER(TRIM('Raw Sales'!C240))="ELDOS"),"Eldorado","Review"))</x:f>
        <x:v>Review</x:v>
      </x:c>
      <x:c r="D240" t="str">
        <x:f>PROPER(TRIM('Raw Sales'!D240))</x:f>
        <x:v>Pencils</x:v>
      </x:c>
      <x:c r="E240" s="8" t="n">
        <x:f>IFERROR(VALUE('Raw Sales'!E240),"")</x:f>
        <x:v>26</x:v>
      </x:c>
      <x:c r="F240" s="9" t="n">
        <x:v>-300</x:v>
      </x:c>
      <x:c r="G240" s="10" t="n">
        <x:f>IFERROR(IF(OR(MID(TRIM('Raw Sales'!G240),5,1)="-",MID(TRIM('Raw Sales'!G240),5,1)="/"),DATE(VALUE(LEFT(TRIM('Raw Sales'!G240),4)),VALUE(MID(TRIM('Raw Sales'!G240),6,2)),VALUE(RIGHT(TRIM('Raw Sales'!G240),2))),IF(LEN(TRIM('Raw Sales'!G240))=10,DATE(VALUE(RIGHT(TRIM('Raw Sales'!G240),4)),VALUE(MID(TRIM('Raw Sales'!G240),4,2)),VALUE(LEFT(TRIM('Raw Sales'!G240),2))),IF(LEN(TRIM('Raw Sales'!G240))=8,DATE(2000+VALUE(RIGHT(TRIM('Raw Sales'!G240),2)),VALUE(MID(TRIM('Raw Sales'!G240),4,2)),VALUE(LEFT(TRIM('Raw Sales'!G240),2))),""))),"")</x:f>
        <x:v>46124</x:v>
      </x:c>
      <x:c r="H240" t="str">
        <x:f>IF(TRIM('Raw Sales'!H240)="","Missing",PROPER(TRIM('Raw Sales'!H240)))</x:f>
        <x:v>Thabo Ndlovu</x:v>
      </x:c>
      <x:c r="I240" t="str">
        <x:f>IF(OR(UPPER(TRIM('Raw Sales'!I240))="PAID",UPPER(TRIM('Raw Sales'!I240))="SETTLED",UPPER(TRIM('Raw Sales'!I240))="COMPLETE"),"Paid",IF(UPPER(TRIM('Raw Sales'!I240))="PENDING","Pending","Review"))</x:f>
        <x:v>Pending</x:v>
      </x:c>
      <x:c r="J240" t="str">
        <x:f>IF(A240="","Missing",IF(COUNTIF($A$6:A240,A240)&gt;1,"Duplicate","Unique"))</x:f>
        <x:v>Unique</x:v>
      </x:c>
      <x:c r="K240" s="11" t="n">
        <x:f>IF(A240="",1,0)+IF(B240="",1,0)+IF(C240="Review",1,0)+IF(D240="",1,0)+IF(OR(E240="",E240&lt;=0),1,0)+IF(OR(F240="",F240&lt;=0),1,0)+IF(G240="",1,0)+IF(H240="Missing",1,0)+IF(I240="Review",1,0)+IF(J240="Duplicate",1,0)</x:f>
        <x:v>2</x:v>
      </x:c>
      <x:c r="L240" s="12" t="str">
        <x:f>IF(A240="","Missing order ID; ","")&amp;IF(B240="","Missing school; ","")&amp;IF(C240="Review","Unmapped region; ","")&amp;IF(D240="","Missing product; ","")&amp;IF(OR(E240="",E240&lt;=0),"Invalid units; ","")&amp;IF(OR(F240="",F240&lt;=0),"Invalid amount; ","")&amp;IF(G240="","Invalid date; ","")&amp;IF(H240="Missing","Missing sales rep; ","")&amp;IF(I240="Review","Unmapped payment status; ","")&amp;IF(J240="Duplicate","Duplicate ID; ","")</x:f>
        <x:v>Unmapped region; Invalid amount; </x:v>
      </x:c>
      <x:c r="M240" t="str">
        <x:f>IF(K240=0,"Ready","Review")</x:f>
        <x:v>Review</x:v>
      </x:c>
    </x:row>
    <x:row r="241">
      <x:c r="A241" t="str">
        <x:f>UPPER(TRIM('Raw Sales'!A241))</x:f>
        <x:v>SAL-26-0236</x:v>
      </x:c>
      <x:c r="B241" t="str">
        <x:f>PROPER(TRIM('Raw Sales'!B241))</x:f>
        <x:v>Gardenview School</x:v>
      </x:c>
      <x:c r="C241" t="str">
        <x:f>IF(OR(UPPER(TRIM('Raw Sales'!C241))="BOCHUM",UPPER(TRIM('Raw Sales'!C241))="BOCHUM REGION"),"Bochum",IF(OR(UPPER(TRIM('Raw Sales'!C241))="ELDORADO",UPPER(TRIM('Raw Sales'!C241))="ELDOS"),"Eldorado","Review"))</x:f>
        <x:v>Eldorado</x:v>
      </x:c>
      <x:c r="D241" t="str">
        <x:f>PROPER(TRIM('Raw Sales'!D241))</x:f>
        <x:v>Folders</x:v>
      </x:c>
      <x:c r="E241" s="8" t="n">
        <x:f>IFERROR(VALUE('Raw Sales'!E241),"")</x:f>
        <x:v>33</x:v>
      </x:c>
      <x:c r="F241" s="9" t="n">
        <x:v>6336</x:v>
      </x:c>
      <x:c r="G241" s="10" t="n">
        <x:f>IFERROR(IF(OR(MID(TRIM('Raw Sales'!G241),5,1)="-",MID(TRIM('Raw Sales'!G241),5,1)="/"),DATE(VALUE(LEFT(TRIM('Raw Sales'!G241),4)),VALUE(MID(TRIM('Raw Sales'!G241),6,2)),VALUE(RIGHT(TRIM('Raw Sales'!G241),2))),IF(LEN(TRIM('Raw Sales'!G241))=10,DATE(VALUE(RIGHT(TRIM('Raw Sales'!G241),4)),VALUE(MID(TRIM('Raw Sales'!G241),4,2)),VALUE(LEFT(TRIM('Raw Sales'!G241),2))),IF(LEN(TRIM('Raw Sales'!G241))=8,DATE(2000+VALUE(RIGHT(TRIM('Raw Sales'!G241),2)),VALUE(MID(TRIM('Raw Sales'!G241),4,2)),VALUE(LEFT(TRIM('Raw Sales'!G241),2))),""))),"")</x:f>
        <x:v>46155</x:v>
      </x:c>
      <x:c r="H241" t="str">
        <x:f>IF(TRIM('Raw Sales'!H241)="","Missing",PROPER(TRIM('Raw Sales'!H241)))</x:f>
        <x:v>Lebo Nkosi</x:v>
      </x:c>
      <x:c r="I241" t="str">
        <x:f>IF(OR(UPPER(TRIM('Raw Sales'!I241))="PAID",UPPER(TRIM('Raw Sales'!I241))="SETTLED",UPPER(TRIM('Raw Sales'!I241))="COMPLETE"),"Paid",IF(UPPER(TRIM('Raw Sales'!I241))="PENDING","Pending","Review"))</x:f>
        <x:v>Paid</x:v>
      </x:c>
      <x:c r="J241" t="str">
        <x:f>IF(A241="","Missing",IF(COUNTIF($A$6:A241,A241)&gt;1,"Duplicate","Unique"))</x:f>
        <x:v>Unique</x:v>
      </x:c>
      <x:c r="K241" s="11" t="n">
        <x:f>IF(A241="",1,0)+IF(B241="",1,0)+IF(C241="Review",1,0)+IF(D241="",1,0)+IF(OR(E241="",E241&lt;=0),1,0)+IF(OR(F241="",F241&lt;=0),1,0)+IF(G241="",1,0)+IF(H241="Missing",1,0)+IF(I241="Review",1,0)+IF(J241="Duplicate",1,0)</x:f>
        <x:v>0</x:v>
      </x:c>
      <x:c r="L241" s="12" t="str">
        <x:f>IF(A241="","Missing order ID; ","")&amp;IF(B241="","Missing school; ","")&amp;IF(C241="Review","Unmapped region; ","")&amp;IF(D241="","Missing product; ","")&amp;IF(OR(E241="",E241&lt;=0),"Invalid units; ","")&amp;IF(OR(F241="",F241&lt;=0),"Invalid amount; ","")&amp;IF(G241="","Invalid date; ","")&amp;IF(H241="Missing","Missing sales rep; ","")&amp;IF(I241="Review","Unmapped payment status; ","")&amp;IF(J241="Duplicate","Duplicate ID; ","")</x:f>
      </x:c>
      <x:c r="M241" t="str">
        <x:f>IF(K241=0,"Ready","Review")</x:f>
        <x:v>Ready</x:v>
      </x:c>
    </x:row>
    <x:row r="242">
      <x:c r="A242" t="str">
        <x:f>UPPER(TRIM('Raw Sales'!A242))</x:f>
        <x:v>SAL-26-0237</x:v>
      </x:c>
      <x:c r="B242" t="str">
        <x:f>PROPER(TRIM('Raw Sales'!B242))</x:f>
        <x:v>Riverside Academy</x:v>
      </x:c>
      <x:c r="C242" t="str">
        <x:f>IF(OR(UPPER(TRIM('Raw Sales'!C242))="BOCHUM",UPPER(TRIM('Raw Sales'!C242))="BOCHUM REGION"),"Bochum",IF(OR(UPPER(TRIM('Raw Sales'!C242))="ELDORADO",UPPER(TRIM('Raw Sales'!C242))="ELDOS"),"Eldorado","Review"))</x:f>
        <x:v>Bochum</x:v>
      </x:c>
      <x:c r="D242" t="str">
        <x:f>PROPER(TRIM('Raw Sales'!D242))</x:f>
        <x:v>Pens</x:v>
      </x:c>
      <x:c r="E242" s="8" t="n">
        <x:f>IFERROR(VALUE('Raw Sales'!E242),"")</x:f>
        <x:v>4</x:v>
      </x:c>
      <x:c r="F242" s="9" t="n">
        <x:v>96</x:v>
      </x:c>
      <x:c r="G242" s="10" t="n">
        <x:f>IFERROR(IF(OR(MID(TRIM('Raw Sales'!G242),5,1)="-",MID(TRIM('Raw Sales'!G242),5,1)="/"),DATE(VALUE(LEFT(TRIM('Raw Sales'!G242),4)),VALUE(MID(TRIM('Raw Sales'!G242),6,2)),VALUE(RIGHT(TRIM('Raw Sales'!G242),2))),IF(LEN(TRIM('Raw Sales'!G242))=10,DATE(VALUE(RIGHT(TRIM('Raw Sales'!G242),4)),VALUE(MID(TRIM('Raw Sales'!G242),4,2)),VALUE(LEFT(TRIM('Raw Sales'!G242),2))),IF(LEN(TRIM('Raw Sales'!G242))=8,DATE(2000+VALUE(RIGHT(TRIM('Raw Sales'!G242),2)),VALUE(MID(TRIM('Raw Sales'!G242),4,2)),VALUE(LEFT(TRIM('Raw Sales'!G242),2))),""))),"")</x:f>
        <x:v>46187</x:v>
      </x:c>
      <x:c r="H242" t="str">
        <x:f>IF(TRIM('Raw Sales'!H242)="","Missing",PROPER(TRIM('Raw Sales'!H242)))</x:f>
        <x:v>Thabo Ndlovu</x:v>
      </x:c>
      <x:c r="I242" t="str">
        <x:f>IF(OR(UPPER(TRIM('Raw Sales'!I242))="PAID",UPPER(TRIM('Raw Sales'!I242))="SETTLED",UPPER(TRIM('Raw Sales'!I242))="COMPLETE"),"Paid",IF(UPPER(TRIM('Raw Sales'!I242))="PENDING","Pending","Review"))</x:f>
        <x:v>Paid</x:v>
      </x:c>
      <x:c r="J242" t="str">
        <x:f>IF(A242="","Missing",IF(COUNTIF($A$6:A242,A242)&gt;1,"Duplicate","Unique"))</x:f>
        <x:v>Unique</x:v>
      </x:c>
      <x:c r="K242" s="11" t="n">
        <x:f>IF(A242="",1,0)+IF(B242="",1,0)+IF(C242="Review",1,0)+IF(D242="",1,0)+IF(OR(E242="",E242&lt;=0),1,0)+IF(OR(F242="",F242&lt;=0),1,0)+IF(G242="",1,0)+IF(H242="Missing",1,0)+IF(I242="Review",1,0)+IF(J242="Duplicate",1,0)</x:f>
        <x:v>0</x:v>
      </x:c>
      <x:c r="L242" s="12" t="str">
        <x:f>IF(A242="","Missing order ID; ","")&amp;IF(B242="","Missing school; ","")&amp;IF(C242="Review","Unmapped region; ","")&amp;IF(D242="","Missing product; ","")&amp;IF(OR(E242="",E242&lt;=0),"Invalid units; ","")&amp;IF(OR(F242="",F242&lt;=0),"Invalid amount; ","")&amp;IF(G242="","Invalid date; ","")&amp;IF(H242="Missing","Missing sales rep; ","")&amp;IF(I242="Review","Unmapped payment status; ","")&amp;IF(J242="Duplicate","Duplicate ID; ","")</x:f>
      </x:c>
      <x:c r="M242" t="str">
        <x:f>IF(K242=0,"Ready","Review")</x:f>
        <x:v>Ready</x:v>
      </x:c>
    </x:row>
    <x:row r="243">
      <x:c r="A243" t="str">
        <x:f>UPPER(TRIM('Raw Sales'!A243))</x:f>
        <x:v>SAL-26-0238</x:v>
      </x:c>
      <x:c r="B243" t="str">
        <x:f>PROPER(TRIM('Raw Sales'!B243))</x:f>
        <x:v>Maple Secondary</x:v>
      </x:c>
      <x:c r="C243" t="str">
        <x:f>IF(OR(UPPER(TRIM('Raw Sales'!C243))="BOCHUM",UPPER(TRIM('Raw Sales'!C243))="BOCHUM REGION"),"Bochum",IF(OR(UPPER(TRIM('Raw Sales'!C243))="ELDORADO",UPPER(TRIM('Raw Sales'!C243))="ELDOS"),"Eldorado","Review"))</x:f>
        <x:v>Eldorado</x:v>
      </x:c>
      <x:c r="D243" t="str">
        <x:f>PROPER(TRIM('Raw Sales'!D243))</x:f>
        <x:v>Glue Sticks</x:v>
      </x:c>
      <x:c r="E243" s="8" t="n">
        <x:f>IFERROR(VALUE('Raw Sales'!E243),"")</x:f>
        <x:v>11</x:v>
      </x:c>
      <x:c r="F243" s="9"/>
      <x:c r="G243" s="10" t="n">
        <x:f>IFERROR(IF(OR(MID(TRIM('Raw Sales'!G243),5,1)="-",MID(TRIM('Raw Sales'!G243),5,1)="/"),DATE(VALUE(LEFT(TRIM('Raw Sales'!G243),4)),VALUE(MID(TRIM('Raw Sales'!G243),6,2)),VALUE(RIGHT(TRIM('Raw Sales'!G243),2))),IF(LEN(TRIM('Raw Sales'!G243))=10,DATE(VALUE(RIGHT(TRIM('Raw Sales'!G243),4)),VALUE(MID(TRIM('Raw Sales'!G243),4,2)),VALUE(LEFT(TRIM('Raw Sales'!G243),2))),IF(LEN(TRIM('Raw Sales'!G243))=8,DATE(2000+VALUE(RIGHT(TRIM('Raw Sales'!G243),2)),VALUE(MID(TRIM('Raw Sales'!G243),4,2)),VALUE(LEFT(TRIM('Raw Sales'!G243),2))),""))),"")</x:f>
        <x:v>46218</x:v>
      </x:c>
      <x:c r="H243" t="str">
        <x:f>IF(TRIM('Raw Sales'!H243)="","Missing",PROPER(TRIM('Raw Sales'!H243)))</x:f>
        <x:v>Lebo Nkosi</x:v>
      </x:c>
      <x:c r="I243" t="str">
        <x:f>IF(OR(UPPER(TRIM('Raw Sales'!I243))="PAID",UPPER(TRIM('Raw Sales'!I243))="SETTLED",UPPER(TRIM('Raw Sales'!I243))="COMPLETE"),"Paid",IF(UPPER(TRIM('Raw Sales'!I243))="PENDING","Pending","Review"))</x:f>
        <x:v>Pending</x:v>
      </x:c>
      <x:c r="J243" t="str">
        <x:f>IF(A243="","Missing",IF(COUNTIF($A$6:A243,A243)&gt;1,"Duplicate","Unique"))</x:f>
        <x:v>Unique</x:v>
      </x:c>
      <x:c r="K243" s="11" t="n">
        <x:f>IF(A243="",1,0)+IF(B243="",1,0)+IF(C243="Review",1,0)+IF(D243="",1,0)+IF(OR(E243="",E243&lt;=0),1,0)+IF(OR(F243="",F243&lt;=0),1,0)+IF(G243="",1,0)+IF(H243="Missing",1,0)+IF(I243="Review",1,0)+IF(J243="Duplicate",1,0)</x:f>
        <x:v>1</x:v>
      </x:c>
      <x:c r="L243" s="12" t="str">
        <x:f>IF(A243="","Missing order ID; ","")&amp;IF(B243="","Missing school; ","")&amp;IF(C243="Review","Unmapped region; ","")&amp;IF(D243="","Missing product; ","")&amp;IF(OR(E243="",E243&lt;=0),"Invalid units; ","")&amp;IF(OR(F243="",F243&lt;=0),"Invalid amount; ","")&amp;IF(G243="","Invalid date; ","")&amp;IF(H243="Missing","Missing sales rep; ","")&amp;IF(I243="Review","Unmapped payment status; ","")&amp;IF(J243="Duplicate","Duplicate ID; ","")</x:f>
        <x:v>Invalid amount; </x:v>
      </x:c>
      <x:c r="M243" t="str">
        <x:f>IF(K243=0,"Ready","Review")</x:f>
        <x:v>Review</x:v>
      </x:c>
    </x:row>
    <x:row r="244">
      <x:c r="A244" t="str">
        <x:f>UPPER(TRIM('Raw Sales'!A244))</x:f>
        <x:v>SAL-26-0239</x:v>
      </x:c>
      <x:c r="B244" t="str">
        <x:f>PROPER(TRIM('Raw Sales'!B244))</x:f>
        <x:v>Pinecrest School</x:v>
      </x:c>
      <x:c r="C244" t="str">
        <x:f>IF(OR(UPPER(TRIM('Raw Sales'!C244))="BOCHUM",UPPER(TRIM('Raw Sales'!C244))="BOCHUM REGION"),"Bochum",IF(OR(UPPER(TRIM('Raw Sales'!C244))="ELDORADO",UPPER(TRIM('Raw Sales'!C244))="ELDOS"),"Eldorado","Review"))</x:f>
        <x:v>Bochum</x:v>
      </x:c>
      <x:c r="D244" t="str">
        <x:f>PROPER(TRIM('Raw Sales'!D244))</x:f>
        <x:v>Markers</x:v>
      </x:c>
      <x:c r="E244" s="8" t="n">
        <x:f>IFERROR(VALUE('Raw Sales'!E244),"")</x:f>
        <x:v>18</x:v>
      </x:c>
      <x:c r="F244" s="9" t="n">
        <x:v>900</x:v>
      </x:c>
      <x:c r="G244" s="10" t="n">
        <x:f>IFERROR(IF(OR(MID(TRIM('Raw Sales'!G244),5,1)="-",MID(TRIM('Raw Sales'!G244),5,1)="/"),DATE(VALUE(LEFT(TRIM('Raw Sales'!G244),4)),VALUE(MID(TRIM('Raw Sales'!G244),6,2)),VALUE(RIGHT(TRIM('Raw Sales'!G244),2))),IF(LEN(TRIM('Raw Sales'!G244))=10,DATE(VALUE(RIGHT(TRIM('Raw Sales'!G244),4)),VALUE(MID(TRIM('Raw Sales'!G244),4,2)),VALUE(LEFT(TRIM('Raw Sales'!G244),2))),IF(LEN(TRIM('Raw Sales'!G244))=8,DATE(2000+VALUE(RIGHT(TRIM('Raw Sales'!G244),2)),VALUE(MID(TRIM('Raw Sales'!G244),4,2)),VALUE(LEFT(TRIM('Raw Sales'!G244),2))),""))),"")</x:f>
        <x:v>46250</x:v>
      </x:c>
      <x:c r="H244" t="str">
        <x:f>IF(TRIM('Raw Sales'!H244)="","Missing",PROPER(TRIM('Raw Sales'!H244)))</x:f>
        <x:v>Thabo Ndlovu</x:v>
      </x:c>
      <x:c r="I244" t="str">
        <x:f>IF(OR(UPPER(TRIM('Raw Sales'!I244))="PAID",UPPER(TRIM('Raw Sales'!I244))="SETTLED",UPPER(TRIM('Raw Sales'!I244))="COMPLETE"),"Paid",IF(UPPER(TRIM('Raw Sales'!I244))="PENDING","Pending","Review"))</x:f>
        <x:v>Paid</x:v>
      </x:c>
      <x:c r="J244" t="str">
        <x:f>IF(A244="","Missing",IF(COUNTIF($A$6:A244,A244)&gt;1,"Duplicate","Unique"))</x:f>
        <x:v>Unique</x:v>
      </x:c>
      <x:c r="K244" s="11" t="n">
        <x:f>IF(A244="",1,0)+IF(B244="",1,0)+IF(C244="Review",1,0)+IF(D244="",1,0)+IF(OR(E244="",E244&lt;=0),1,0)+IF(OR(F244="",F244&lt;=0),1,0)+IF(G244="",1,0)+IF(H244="Missing",1,0)+IF(I244="Review",1,0)+IF(J244="Duplicate",1,0)</x:f>
        <x:v>0</x:v>
      </x:c>
      <x:c r="L244" s="12" t="str">
        <x:f>IF(A244="","Missing order ID; ","")&amp;IF(B244="","Missing school; ","")&amp;IF(C244="Review","Unmapped region; ","")&amp;IF(D244="","Missing product; ","")&amp;IF(OR(E244="",E244&lt;=0),"Invalid units; ","")&amp;IF(OR(F244="",F244&lt;=0),"Invalid amount; ","")&amp;IF(G244="","Invalid date; ","")&amp;IF(H244="Missing","Missing sales rep; ","")&amp;IF(I244="Review","Unmapped payment status; ","")&amp;IF(J244="Duplicate","Duplicate ID; ","")</x:f>
      </x:c>
      <x:c r="M244" t="str">
        <x:f>IF(K244=0,"Ready","Review")</x:f>
        <x:v>Ready</x:v>
      </x:c>
    </x:row>
    <x:row r="245">
      <x:c r="A245" t="str">
        <x:f>UPPER(TRIM('Raw Sales'!A245))</x:f>
        <x:v>SAL-26-0240</x:v>
      </x:c>
      <x:c r="B245" t="str">
        <x:f>PROPER(TRIM('Raw Sales'!B245))</x:f>
        <x:v>Northstar Academy</x:v>
      </x:c>
      <x:c r="C245" t="str">
        <x:f>IF(OR(UPPER(TRIM('Raw Sales'!C245))="BOCHUM",UPPER(TRIM('Raw Sales'!C245))="BOCHUM REGION"),"Bochum",IF(OR(UPPER(TRIM('Raw Sales'!C245))="ELDORADO",UPPER(TRIM('Raw Sales'!C245))="ELDOS"),"Eldorado","Review"))</x:f>
        <x:v>Bochum</x:v>
      </x:c>
      <x:c r="D245" t="str">
        <x:f>PROPER(TRIM('Raw Sales'!D245))</x:f>
        <x:v>Notebooks</x:v>
      </x:c>
      <x:c r="E245" s="8" t="n">
        <x:f>IFERROR(VALUE('Raw Sales'!E245),"")</x:f>
        <x:v>25</x:v>
      </x:c>
      <x:c r="F245" s="9" t="n">
        <x:v>1575</x:v>
      </x:c>
      <x:c r="G245" s="10" t="n">
        <x:f>IFERROR(IF(OR(MID(TRIM('Raw Sales'!G245),5,1)="-",MID(TRIM('Raw Sales'!G245),5,1)="/"),DATE(VALUE(LEFT(TRIM('Raw Sales'!G245),4)),VALUE(MID(TRIM('Raw Sales'!G245),6,2)),VALUE(RIGHT(TRIM('Raw Sales'!G245),2))),IF(LEN(TRIM('Raw Sales'!G245))=10,DATE(VALUE(RIGHT(TRIM('Raw Sales'!G245),4)),VALUE(MID(TRIM('Raw Sales'!G245),4,2)),VALUE(LEFT(TRIM('Raw Sales'!G245),2))),IF(LEN(TRIM('Raw Sales'!G245))=8,DATE(2000+VALUE(RIGHT(TRIM('Raw Sales'!G245),2)),VALUE(MID(TRIM('Raw Sales'!G245),4,2)),VALUE(LEFT(TRIM('Raw Sales'!G245),2))),""))),"")</x:f>
        <x:v>46039</x:v>
      </x:c>
      <x:c r="H245" t="str">
        <x:f>IF(TRIM('Raw Sales'!H245)="","Missing",PROPER(TRIM('Raw Sales'!H245)))</x:f>
        <x:v>Lebo Nkosi</x:v>
      </x:c>
      <x:c r="I245" t="str">
        <x:f>IF(OR(UPPER(TRIM('Raw Sales'!I245))="PAID",UPPER(TRIM('Raw Sales'!I245))="SETTLED",UPPER(TRIM('Raw Sales'!I245))="COMPLETE"),"Paid",IF(UPPER(TRIM('Raw Sales'!I245))="PENDING","Pending","Review"))</x:f>
        <x:v>Paid</x:v>
      </x:c>
      <x:c r="J245" t="str">
        <x:f>IF(A245="","Missing",IF(COUNTIF($A$6:A245,A245)&gt;1,"Duplicate","Unique"))</x:f>
        <x:v>Unique</x:v>
      </x:c>
      <x:c r="K245" s="11" t="n">
        <x:f>IF(A245="",1,0)+IF(B245="",1,0)+IF(C245="Review",1,0)+IF(D245="",1,0)+IF(OR(E245="",E245&lt;=0),1,0)+IF(OR(F245="",F245&lt;=0),1,0)+IF(G245="",1,0)+IF(H245="Missing",1,0)+IF(I245="Review",1,0)+IF(J245="Duplicate",1,0)</x:f>
        <x:v>0</x:v>
      </x:c>
      <x:c r="L245" s="12" t="str">
        <x:f>IF(A245="","Missing order ID; ","")&amp;IF(B245="","Missing school; ","")&amp;IF(C245="Review","Unmapped region; ","")&amp;IF(D245="","Missing product; ","")&amp;IF(OR(E245="",E245&lt;=0),"Invalid units; ","")&amp;IF(OR(F245="",F245&lt;=0),"Invalid amount; ","")&amp;IF(G245="","Invalid date; ","")&amp;IF(H245="Missing","Missing sales rep; ","")&amp;IF(I245="Review","Unmapped payment status; ","")&amp;IF(J245="Duplicate","Duplicate ID; ","")</x:f>
      </x:c>
      <x:c r="M245" t="str">
        <x:f>IF(K245=0,"Ready","Review")</x:f>
        <x:v>Ready</x:v>
      </x:c>
    </x:row>
  </x:sheetData>
  <x:conditionalFormatting sqref="M6:M245">
    <x:cfRule type="containsText" dxfId="0" priority="1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0b82a6db0a644da6"/>
  </x:tableParts>
</x:worksheet>
</file>

<file path=xl/worksheets/sheet4.xml><?xml version="1.0" encoding="utf-8"?>
<x:worksheet xmlns:x="http://schemas.openxmlformats.org/spreadsheetml/2006/main">
  <x:sheetPr>
    <x:tabColor rgb="FF50786B"/>
  </x:sheetPr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80" hidden="0" customWidth="1"/>
    <x:col min="4" max="4" width="42" hidden="0" customWidth="1"/>
    <x:col min="5" max="5" width="30" hidden="0" customWidth="1"/>
  </x:cols>
  <x:sheetData>
    <x:row r="1">
      <x:c r="A1" s="1" t="str">
        <x:v>SQL Server Cleaning Workflow</x:v>
      </x:c>
    </x:row>
    <x:row r="2">
      <x:c r="A2" s="2" t="str">
        <x:v>Illustrative T-SQL patterns for staging, validation, de-duplication, exception handling and aggregation</x:v>
      </x:c>
    </x:row>
    <x:row r="5" ht="30" customHeight="1">
      <x:c r="A5" s="7" t="str">
        <x:v>Step</x:v>
      </x:c>
      <x:c r="B5" s="7" t="str">
        <x:v>Purpose</x:v>
      </x:c>
      <x:c r="C5" s="7" t="str">
        <x:v>Illustrative T-SQL</x:v>
      </x:c>
      <x:c r="D5" s="7" t="str">
        <x:v>Expected result</x:v>
      </x:c>
      <x:c r="E5" s="7" t="str">
        <x:v>Workbook tab / rule</x:v>
      </x:c>
    </x:row>
    <x:row r="6" ht="100" customHeight="1">
      <x:c r="A6" s="21" t="str">
        <x:v>01</x:v>
      </x:c>
      <x:c r="B6" s="21" t="str">
        <x:v>Stage and normalize keys</x:v>
      </x:c>
      <x:c r="C6" s="22" t="str">
        <x:v>WITH staged AS (
  SELECT source_row_id,
    UPPER(LTRIM(RTRIM(order_id))) AS order_id,
    LTRIM(RTRIM(school)) AS school,
    UPPER(LTRIM(RTRIM(region))) AS region_raw,
    LTRIM(RTRIM(product)) AS product,
    TRY_CONVERT(int, NULLIF(LTRIM(RTRIM(units)), '')) AS units,
    TRY_CONVERT(date, date_raw, 23) AS order_date
  FROM dbo.RawSales
)
SELECT * FROM staged;</x:v>
      </x:c>
      <x:c r="D6" s="21" t="str">
        <x:v>One staged row per source row; invalid casts become NULL</x:v>
      </x:c>
      <x:c r="E6" s="21" t="str">
        <x:v>Raw Sales → Cleaned Sales</x:v>
      </x:c>
    </x:row>
    <x:row r="7" ht="100" customHeight="1">
      <x:c r="A7" s="21" t="str">
        <x:v>02</x:v>
      </x:c>
      <x:c r="B7" s="21" t="str">
        <x:v>Map controlled categories</x:v>
      </x:c>
      <x:c r="C7" s="22" t="str">
        <x:v>CASE
  WHEN region_raw IN ('BOCHUM','BOCHUM REGION') THEN 'Bochum'
  WHEN region_raw IN ('ELDORADO','ELDOS') THEN 'Eldorado'
  ELSE 'Review'
END AS region_clean</x:v>
      </x:c>
      <x:c r="D7" s="21" t="str">
        <x:v>Only approved values are mapped; unknowns remain visible</x:v>
      </x:c>
      <x:c r="E7" s="21" t="str">
        <x:v>Data Dictionary mapping</x:v>
      </x:c>
    </x:row>
    <x:row r="8" ht="100" customHeight="1">
      <x:c r="A8" s="21" t="str">
        <x:v>03</x:v>
      </x:c>
      <x:c r="B8" s="21" t="str">
        <x:v>Parse money safely</x:v>
      </x:c>
      <x:c r="C8" s="22" t="str">
        <x:v>TRY_CONVERT(decimal(12,2),
  REPLACE(REPLACE(REPLACE(amount_raw, 'R', ''), ',', ''), ' ', '')
) AS amount_zar</x:v>
      </x:c>
      <x:c r="D8" s="21" t="str">
        <x:v>Text is converted only when the cleaned string is numeric</x:v>
      </x:c>
      <x:c r="E8" s="21" t="str">
        <x:v>Amount conversion</x:v>
      </x:c>
    </x:row>
    <x:row r="9" ht="100" customHeight="1">
      <x:c r="A9" s="21" t="str">
        <x:v>04</x:v>
      </x:c>
      <x:c r="B9" s="21" t="str">
        <x:v>Flag duplicate business keys</x:v>
      </x:c>
      <x:c r="C9" s="22" t="str">
        <x:v>ROW_NUMBER() OVER (
  PARTITION BY UPPER(LTRIM(RTRIM(order_id)))
  ORDER BY source_row_id
) AS key_rank</x:v>
      </x:c>
      <x:c r="D9" s="21" t="str">
        <x:v>key_rank &gt; 1 is held for review, not silently deleted</x:v>
      </x:c>
      <x:c r="E9" s="21" t="str">
        <x:v>Duplicate key control</x:v>
      </x:c>
    </x:row>
    <x:row r="10" ht="100" customHeight="1">
      <x:c r="A10" s="21" t="str">
        <x:v>05</x:v>
      </x:c>
      <x:c r="B10" s="21" t="str">
        <x:v>Build exception queue</x:v>
      </x:c>
      <x:c r="C10" s="22" t="str">
        <x:v>SELECT * FROM validated_sales
WHERE order_id IS NULL OR school IS NULL
   OR region_clean = 'Review'
   OR units IS NULL OR amount_zar &lt;= 0
   OR order_date IS NULL OR key_rank &gt; 1;</x:v>
      </x:c>
      <x:c r="D10" s="21" t="str">
        <x:v>Exceptions can be assigned and corrected at source</x:v>
      </x:c>
      <x:c r="E10" s="21" t="str">
        <x:v>Issue flags and Control status</x:v>
      </x:c>
    </x:row>
    <x:row r="11" ht="100" customHeight="1">
      <x:c r="A11" s="21" t="str">
        <x:v>06</x:v>
      </x:c>
      <x:c r="B11" s="21" t="str">
        <x:v>Publish qualified totals</x:v>
      </x:c>
      <x:c r="C11" s="22" t="str">
        <x:v>SELECT region_clean, product_clean,
       COUNT(*) AS order_count,
       SUM(amount_zar) AS sales_zar
FROM validated_sales
WHERE row_status = 'Ready'
GROUP BY region_clean, product_clean;</x:v>
      </x:c>
      <x:c r="D11" s="21" t="str">
        <x:v>Totals reconcile to Ready rows only</x:v>
      </x:c>
      <x:c r="E11" s="21" t="str">
        <x:v>Summary</x:v>
      </x:c>
    </x:row>
    <x:row r="12" ht="100" customHeight="1">
      <x:c r="A12" s="21" t="str">
        <x:v>07</x:v>
      </x:c>
      <x:c r="B12" s="21" t="str">
        <x:v>Reconcile row counts</x:v>
      </x:c>
      <x:c r="C12" s="22" t="str">
        <x:v>SELECT COUNT(*) AS source_rows,
       SUM(CASE WHEN row_status='Ready' THEN 1 ELSE 0 END) AS ready_rows,
       SUM(CASE WHEN row_status='Review' THEN 1 ELSE 0 END) AS review_rows
FROM validated_sales;</x:v>
      </x:c>
      <x:c r="D12" s="21" t="str">
        <x:v>Source rows = ready + review rows</x:v>
      </x:c>
      <x:c r="E12" s="21" t="str">
        <x:v>Summary control totals</x:v>
      </x:c>
    </x:row>
    <x:row r="13" ht="100" customHeight="1">
      <x:c r="A13" s="21" t="str">
        <x:v>08</x:v>
      </x:c>
      <x:c r="B13" s="21" t="str">
        <x:v>Review mapping changes</x:v>
      </x:c>
      <x:c r="C13" s="22" t="str">
        <x:v>SELECT DISTINCT region_raw
FROM staged_sales
WHERE region_clean = 'Review';</x:v>
      </x:c>
      <x:c r="D13" s="21" t="str">
        <x:v>Unmapped values are surfaced before new categories are accepted</x:v>
      </x:c>
      <x:c r="E13" s="21" t="str">
        <x:v>Data Dictionary</x:v>
      </x:c>
    </x:row>
  </x:sheetData>
  <x:pageMargins left="0.7" right="0.7" top="0.75" bottom="0.75" header="0.3" footer="0.3"/>
  <x:tableParts count="1">
    <x:tablePart xmlns:r="http://schemas.openxmlformats.org/officeDocument/2006/relationships" r:id="R982a7a4bd32747c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50" hidden="0" customWidth="1"/>
    <x:col min="5" max="5" width="27" hidden="0" customWidth="1"/>
    <x:col min="6" max="6" width="4" hidden="0" customWidth="1"/>
    <x:col min="7" max="7" width="23" hidden="0" customWidth="1"/>
    <x:col min="8" max="8" width="20" hidden="0" customWidth="1"/>
    <x:col min="9" max="9" width="14" hidden="0" customWidth="1"/>
    <x:col min="10" max="10" width="42" hidden="0" customWidth="1"/>
  </x:cols>
  <x:sheetData>
    <x:row r="1">
      <x:c r="A1" s="1" t="str">
        <x:v>Field Rules and Mapping</x:v>
      </x:c>
    </x:row>
    <x:row r="2">
      <x:c r="A2" s="2" t="str">
        <x:v>Use controlled mappings and keep the source row intact for audit and correction</x:v>
      </x:c>
    </x:row>
    <x:row r="5" ht="30" customHeight="1">
      <x:c r="A5" s="7" t="str">
        <x:v>Field / mapping</x:v>
      </x:c>
      <x:c r="B5" s="7" t="str">
        <x:v>Business meaning</x:v>
      </x:c>
      <x:c r="C5" s="7" t="str">
        <x:v>Expected format</x:v>
      </x:c>
      <x:c r="D5" s="7" t="str">
        <x:v>Rule and exception handling</x:v>
      </x:c>
      <x:c r="E5" s="7" t="str">
        <x:v>Source note</x:v>
      </x:c>
      <x:c r="G5" s="7" t="str">
        <x:v>Region source alias</x:v>
      </x:c>
      <x:c r="H5" s="7" t="str">
        <x:v>Normalized region</x:v>
      </x:c>
      <x:c r="I5" s="7" t="str">
        <x:v>Accepted?</x:v>
      </x:c>
      <x:c r="J5" s="7" t="str">
        <x:v>Owner action</x:v>
      </x:c>
    </x:row>
    <x:row r="6">
      <x:c r="A6" t="str">
        <x:v>Order ID</x:v>
      </x:c>
      <x:c r="B6" t="str">
        <x:v>Transaction identifier</x:v>
      </x:c>
      <x:c r="C6" t="str">
        <x:v>Text; unique</x:v>
      </x:c>
      <x:c r="D6" t="str">
        <x:v>Trim and uppercase; repeated keys are flagged</x:v>
      </x:c>
      <x:c r="E6" t="str">
        <x:v>Synthetic demonstration data</x:v>
      </x:c>
      <x:c r="G6" t="str">
        <x:v>Bochum</x:v>
      </x:c>
      <x:c r="H6" t="str">
        <x:v>Bochum</x:v>
      </x:c>
      <x:c r="I6" t="str">
        <x:v>Yes</x:v>
      </x:c>
      <x:c r="J6" t="str">
        <x:v>Standard mapping</x:v>
      </x:c>
    </x:row>
    <x:row r="7">
      <x:c r="A7" t="str">
        <x:v>School</x:v>
      </x:c>
      <x:c r="B7" t="str">
        <x:v>Customer / school</x:v>
      </x:c>
      <x:c r="C7" t="str">
        <x:v>Text</x:v>
      </x:c>
      <x:c r="D7" t="str">
        <x:v>Trim and standardize case; production use should reference a school master</x:v>
      </x:c>
      <x:c r="E7" t="str">
        <x:v>Synthetic</x:v>
      </x:c>
      <x:c r="G7" t="str">
        <x:v>BOCHUM REGION</x:v>
      </x:c>
      <x:c r="H7" t="str">
        <x:v>Bochum</x:v>
      </x:c>
      <x:c r="I7" t="str">
        <x:v>Yes</x:v>
      </x:c>
      <x:c r="J7" t="str">
        <x:v>Standard mapping</x:v>
      </x:c>
    </x:row>
    <x:row r="8">
      <x:c r="A8" t="str">
        <x:v>Region</x:v>
      </x:c>
      <x:c r="B8" t="str">
        <x:v>Operating region</x:v>
      </x:c>
      <x:c r="C8" t="str">
        <x:v>Bochum or Eldorado</x:v>
      </x:c>
      <x:c r="D8" t="str">
        <x:v>Map approved aliases; unknown values remain Review</x:v>
      </x:c>
      <x:c r="E8" t="str">
        <x:v>Approved mapping in this sample</x:v>
      </x:c>
      <x:c r="G8" t="str">
        <x:v>Eldorado</x:v>
      </x:c>
      <x:c r="H8" t="str">
        <x:v>Eldorado</x:v>
      </x:c>
      <x:c r="I8" t="str">
        <x:v>Yes</x:v>
      </x:c>
      <x:c r="J8" t="str">
        <x:v>Standard mapping</x:v>
      </x:c>
    </x:row>
    <x:row r="9">
      <x:c r="A9" t="str">
        <x:v>Product</x:v>
      </x:c>
      <x:c r="B9" t="str">
        <x:v>Item sold</x:v>
      </x:c>
      <x:c r="C9" t="str">
        <x:v>Text</x:v>
      </x:c>
      <x:c r="D9" t="str">
        <x:v>Trim and standardize case</x:v>
      </x:c>
      <x:c r="E9" t="str">
        <x:v>Synthetic</x:v>
      </x:c>
      <x:c r="G9" t="str">
        <x:v>Eldos</x:v>
      </x:c>
      <x:c r="H9" t="str">
        <x:v>Eldorado</x:v>
      </x:c>
      <x:c r="I9" t="str">
        <x:v>Yes</x:v>
      </x:c>
      <x:c r="J9" t="str">
        <x:v>Standard mapping</x:v>
      </x:c>
    </x:row>
    <x:row r="10">
      <x:c r="A10" t="str">
        <x:v>Units</x:v>
      </x:c>
      <x:c r="B10" t="str">
        <x:v>Quantity sold</x:v>
      </x:c>
      <x:c r="C10" t="str">
        <x:v>Integer &gt; 0</x:v>
      </x:c>
      <x:c r="D10" t="str">
        <x:v>Convert numeric text; blank, zero and malformed values go to Review</x:v>
      </x:c>
      <x:c r="E10" t="str">
        <x:v>Synthetic</x:v>
      </x:c>
      <x:c r="G10" t="str">
        <x:v>Unknown district</x:v>
      </x:c>
      <x:c r="H10" t="str">
        <x:v>Review</x:v>
      </x:c>
      <x:c r="I10" t="str">
        <x:v>No</x:v>
      </x:c>
      <x:c r="J10" t="str">
        <x:v>Confirm and add mapping only if approved</x:v>
      </x:c>
    </x:row>
    <x:row r="11">
      <x:c r="A11" t="str">
        <x:v>Amount</x:v>
      </x:c>
      <x:c r="B11" t="str">
        <x:v>Sales amount in ZAR</x:v>
      </x:c>
      <x:c r="C11" t="str">
        <x:v>Number &gt; 0</x:v>
      </x:c>
      <x:c r="D11" t="str">
        <x:v>Remove currency marker, commas and spaces; invalid and non-positive amounts go to Review</x:v>
      </x:c>
      <x:c r="E11" t="str">
        <x:v>Synthetic</x:v>
      </x:c>
    </x:row>
    <x:row r="12">
      <x:c r="A12" t="str">
        <x:v>Order date</x:v>
      </x:c>
      <x:c r="B12" t="str">
        <x:v>Transaction date</x:v>
      </x:c>
      <x:c r="C12" t="str">
        <x:v>Valid date</x:v>
      </x:c>
      <x:c r="D12" t="str">
        <x:v>Parse ISO, day-month-year and day/month/yy formats; invalid values go to Review</x:v>
      </x:c>
      <x:c r="E12" t="str">
        <x:v>Synthetic</x:v>
      </x:c>
    </x:row>
    <x:row r="13">
      <x:c r="A13" t="str">
        <x:v>Sales rep</x:v>
      </x:c>
      <x:c r="B13" t="str">
        <x:v>Responsible representative</x:v>
      </x:c>
      <x:c r="C13" t="str">
        <x:v>Text</x:v>
      </x:c>
      <x:c r="D13" t="str">
        <x:v>Trim and proper case; missing rep goes to Review</x:v>
      </x:c>
      <x:c r="E13" t="str">
        <x:v>Synthetic</x:v>
      </x:c>
    </x:row>
    <x:row r="14">
      <x:c r="A14" t="str">
        <x:v>Payment status</x:v>
      </x:c>
      <x:c r="B14" t="str">
        <x:v>Settlement status</x:v>
      </x:c>
      <x:c r="C14" t="str">
        <x:v>Paid or Pending</x:v>
      </x:c>
      <x:c r="D14" t="str">
        <x:v>Paid/Settled/Complete map to Paid; Pending remains Pending; unknown values go to Review</x:v>
      </x:c>
      <x:c r="E14" t="str">
        <x:v>Synthetic</x:v>
      </x:c>
    </x:row>
    <x:row r="15">
      <x:c r="A15" t="str">
        <x:v>Control status</x:v>
      </x:c>
      <x:c r="B15" t="str">
        <x:v>Release decision</x:v>
      </x:c>
      <x:c r="C15" t="str">
        <x:v>Ready or Review</x:v>
      </x:c>
      <x:c r="D15" t="str">
        <x:v>Ready only when issue count equals zero</x:v>
      </x:c>
      <x:c r="E15" t="str">
        <x:v>Formula result</x:v>
      </x:c>
    </x:row>
  </x:sheetData>
  <x:pageMargins left="0.7" right="0.7" top="0.75" bottom="0.75" header="0.3" footer="0.3"/>
  <x:tableParts count="2">
    <x:tablePart xmlns:r="http://schemas.openxmlformats.org/officeDocument/2006/relationships" r:id="Rbf0db693e56a4b44"/>
    <x:tablePart xmlns:r="http://schemas.openxmlformats.org/officeDocument/2006/relationships" r:id="R303c8d1cf3fe4585"/>
  </x:tableParts>
</x:worksheet>
</file>