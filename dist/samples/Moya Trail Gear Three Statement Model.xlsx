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tando\Downloads\"/>
    </mc:Choice>
  </mc:AlternateContent>
  <xr:revisionPtr revIDLastSave="0" documentId="8_{B0E65AB7-4DA3-41CB-A504-08A665D1DB61}" xr6:coauthVersionLast="47" xr6:coauthVersionMax="47" xr10:uidLastSave="{00000000-0000-0000-0000-000000000000}"/>
  <bookViews>
    <workbookView xWindow="-110" yWindow="-110" windowWidth="19420" windowHeight="11020" tabRatio="920" firstSheet="4" activeTab="12" xr2:uid="{00000000-000D-0000-FFFF-FFFF00000000}"/>
  </bookViews>
  <sheets>
    <sheet name="Dashboard" sheetId="1" state="hidden" r:id="rId1"/>
    <sheet name="Read Me" sheetId="2" r:id="rId2"/>
    <sheet name="Raw Journal" sheetId="13" r:id="rId3"/>
    <sheet name="OpeningTB" sheetId="11" r:id="rId4"/>
    <sheet name="Clean Journal" sheetId="12" r:id="rId5"/>
    <sheet name="Assumptions" sheetId="3" r:id="rId6"/>
    <sheet name="Income Statement" sheetId="4" r:id="rId7"/>
    <sheet name="Balance Sheet" sheetId="5" r:id="rId8"/>
    <sheet name="Cash Flow" sheetId="6" r:id="rId9"/>
    <sheet name="Working Capital" sheetId="7" r:id="rId10"/>
    <sheet name="PP&amp;E &amp; Debt" sheetId="8" r:id="rId11"/>
    <sheet name="Checks" sheetId="9" r:id="rId12"/>
    <sheet name="Project Brief" sheetId="10" r:id="rId13"/>
  </sheets>
  <definedNames>
    <definedName name="_xlnm._FilterDatabase" localSheetId="4" hidden="1">'Clean Journal'!$A$1:$I$84</definedName>
    <definedName name="_xlnm._FilterDatabase" localSheetId="3" hidden="1">OpeningTB!$A$1:$E$10</definedName>
    <definedName name="_xlnm._FilterDatabase" localSheetId="12" hidden="1">'Project Brief'!$A$1:$E$26</definedName>
    <definedName name="_xlnm._FilterDatabase" localSheetId="2" hidden="1">'Raw Journal'!$A$1:$I$87</definedName>
    <definedName name="ExternalData_1" localSheetId="4" hidden="1">'Clean Journal'!$A$1:$I$84</definedName>
    <definedName name="ExternalData_1" localSheetId="3" hidden="1">OpeningTB!$A$1:$E$10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9" l="1"/>
  <c r="C12" i="9"/>
  <c r="B12" i="9"/>
  <c r="D11" i="9"/>
  <c r="C11" i="9"/>
  <c r="B11" i="9"/>
  <c r="D10" i="9"/>
  <c r="C10" i="9"/>
  <c r="B10" i="9"/>
  <c r="D9" i="9"/>
  <c r="C9" i="9"/>
  <c r="B9" i="9"/>
  <c r="M8" i="9"/>
  <c r="L8" i="9"/>
  <c r="K8" i="9"/>
  <c r="J8" i="9"/>
  <c r="I8" i="9"/>
  <c r="H8" i="9"/>
  <c r="G8" i="9"/>
  <c r="F8" i="9"/>
  <c r="E8" i="9"/>
  <c r="D8" i="9"/>
  <c r="C8" i="9"/>
  <c r="B8" i="9"/>
  <c r="M5" i="9"/>
  <c r="L5" i="9"/>
  <c r="K5" i="9"/>
  <c r="J5" i="9"/>
  <c r="I5" i="9"/>
  <c r="H5" i="9"/>
  <c r="G5" i="9"/>
  <c r="F5" i="9"/>
  <c r="E5" i="9"/>
  <c r="D5" i="9"/>
  <c r="C5" i="9"/>
  <c r="B5" i="9"/>
  <c r="M4" i="9"/>
  <c r="L4" i="9"/>
  <c r="K4" i="9"/>
  <c r="J4" i="9"/>
  <c r="I4" i="9"/>
  <c r="H4" i="9"/>
  <c r="G4" i="9"/>
  <c r="F4" i="9"/>
  <c r="E4" i="9"/>
  <c r="D4" i="9"/>
  <c r="C4" i="9"/>
  <c r="B4" i="9"/>
  <c r="D19" i="8"/>
  <c r="C19" i="8"/>
  <c r="B19" i="8"/>
  <c r="M18" i="8"/>
  <c r="L18" i="8"/>
  <c r="K18" i="8"/>
  <c r="J18" i="8"/>
  <c r="I18" i="8"/>
  <c r="H18" i="8"/>
  <c r="G18" i="8"/>
  <c r="F18" i="8"/>
  <c r="E18" i="8"/>
  <c r="D18" i="8"/>
  <c r="C18" i="8"/>
  <c r="B18" i="8"/>
  <c r="D16" i="8"/>
  <c r="C16" i="8"/>
  <c r="B16" i="8"/>
  <c r="M15" i="8"/>
  <c r="L15" i="8"/>
  <c r="K15" i="8"/>
  <c r="J15" i="8"/>
  <c r="I15" i="8"/>
  <c r="H15" i="8"/>
  <c r="G15" i="8"/>
  <c r="F15" i="8"/>
  <c r="E15" i="8"/>
  <c r="D15" i="8"/>
  <c r="C15" i="8"/>
  <c r="B15" i="8"/>
  <c r="B14" i="8"/>
  <c r="B17" i="8" s="1"/>
  <c r="C14" i="8" s="1"/>
  <c r="C17" i="8" s="1"/>
  <c r="D14" i="8" s="1"/>
  <c r="D17" i="8" s="1"/>
  <c r="E14" i="8" s="1"/>
  <c r="D9" i="8"/>
  <c r="C9" i="8"/>
  <c r="B9" i="8"/>
  <c r="B8" i="8"/>
  <c r="B10" i="8" s="1"/>
  <c r="C8" i="8" s="1"/>
  <c r="C10" i="8" s="1"/>
  <c r="D8" i="8" s="1"/>
  <c r="D10" i="8" s="1"/>
  <c r="E8" i="8" s="1"/>
  <c r="M6" i="8"/>
  <c r="L6" i="8"/>
  <c r="K6" i="8"/>
  <c r="J6" i="8"/>
  <c r="I6" i="8"/>
  <c r="H6" i="8"/>
  <c r="G6" i="8"/>
  <c r="F6" i="8"/>
  <c r="E6" i="8"/>
  <c r="D6" i="8"/>
  <c r="C6" i="8"/>
  <c r="B6" i="8"/>
  <c r="B5" i="8"/>
  <c r="B7" i="8" s="1"/>
  <c r="D21" i="7"/>
  <c r="C21" i="7"/>
  <c r="B21" i="7"/>
  <c r="D20" i="7"/>
  <c r="C20" i="7"/>
  <c r="B20" i="7"/>
  <c r="E19" i="7"/>
  <c r="D19" i="7"/>
  <c r="C19" i="7"/>
  <c r="B19" i="7"/>
  <c r="D18" i="7"/>
  <c r="C18" i="7"/>
  <c r="B18" i="7"/>
  <c r="E17" i="7"/>
  <c r="D17" i="7"/>
  <c r="C17" i="7"/>
  <c r="B17" i="7"/>
  <c r="D16" i="7"/>
  <c r="C16" i="7"/>
  <c r="B16" i="7"/>
  <c r="M15" i="7"/>
  <c r="L15" i="7"/>
  <c r="K15" i="7"/>
  <c r="J15" i="7"/>
  <c r="I15" i="7"/>
  <c r="H15" i="7"/>
  <c r="G15" i="7"/>
  <c r="F15" i="7"/>
  <c r="E15" i="7"/>
  <c r="D15" i="7"/>
  <c r="C15" i="7"/>
  <c r="B15" i="7"/>
  <c r="D14" i="7"/>
  <c r="C14" i="7"/>
  <c r="B14" i="7"/>
  <c r="D12" i="7"/>
  <c r="C12" i="7"/>
  <c r="B12" i="7"/>
  <c r="D10" i="7"/>
  <c r="C10" i="7"/>
  <c r="B10" i="7"/>
  <c r="M8" i="7"/>
  <c r="L8" i="7"/>
  <c r="K8" i="7"/>
  <c r="J8" i="7"/>
  <c r="I8" i="7"/>
  <c r="H8" i="7"/>
  <c r="G8" i="7"/>
  <c r="F8" i="7"/>
  <c r="E8" i="7"/>
  <c r="D8" i="7"/>
  <c r="C8" i="7"/>
  <c r="B8" i="7"/>
  <c r="M6" i="7"/>
  <c r="L6" i="7"/>
  <c r="K6" i="7"/>
  <c r="J6" i="7"/>
  <c r="I6" i="7"/>
  <c r="H6" i="7"/>
  <c r="G6" i="7"/>
  <c r="F6" i="7"/>
  <c r="E6" i="7"/>
  <c r="D6" i="7"/>
  <c r="C6" i="7"/>
  <c r="B6" i="7"/>
  <c r="B22" i="6"/>
  <c r="M18" i="6"/>
  <c r="L18" i="6"/>
  <c r="K18" i="6"/>
  <c r="J18" i="6"/>
  <c r="I18" i="6"/>
  <c r="H18" i="6"/>
  <c r="G18" i="6"/>
  <c r="F18" i="6"/>
  <c r="E18" i="6"/>
  <c r="D13" i="6"/>
  <c r="D14" i="6" s="1"/>
  <c r="C13" i="6"/>
  <c r="C14" i="6" s="1"/>
  <c r="B13" i="6"/>
  <c r="B14" i="6" s="1"/>
  <c r="D19" i="5"/>
  <c r="C19" i="5"/>
  <c r="B19" i="5"/>
  <c r="D15" i="5"/>
  <c r="D17" i="6" s="1"/>
  <c r="C15" i="5"/>
  <c r="C17" i="6" s="1"/>
  <c r="B15" i="5"/>
  <c r="B17" i="6" s="1"/>
  <c r="D14" i="5"/>
  <c r="C14" i="5"/>
  <c r="B14" i="5"/>
  <c r="D9" i="5"/>
  <c r="C9" i="5"/>
  <c r="B9" i="5"/>
  <c r="D8" i="5"/>
  <c r="D10" i="5" s="1"/>
  <c r="C8" i="5"/>
  <c r="C10" i="5" s="1"/>
  <c r="B8" i="5"/>
  <c r="B10" i="5" s="1"/>
  <c r="D7" i="5"/>
  <c r="C7" i="5"/>
  <c r="D8" i="6" s="1"/>
  <c r="B7" i="5"/>
  <c r="D6" i="5"/>
  <c r="C6" i="5"/>
  <c r="B6" i="5"/>
  <c r="D21" i="4"/>
  <c r="C21" i="4"/>
  <c r="B21" i="4"/>
  <c r="D19" i="4"/>
  <c r="C19" i="4"/>
  <c r="B19" i="4"/>
  <c r="D14" i="4"/>
  <c r="D6" i="6" s="1"/>
  <c r="C14" i="4"/>
  <c r="C6" i="6" s="1"/>
  <c r="B14" i="4"/>
  <c r="B6" i="6" s="1"/>
  <c r="M13" i="4"/>
  <c r="L13" i="4"/>
  <c r="K13" i="4"/>
  <c r="J13" i="4"/>
  <c r="I13" i="4"/>
  <c r="H13" i="4"/>
  <c r="G13" i="4"/>
  <c r="F13" i="4"/>
  <c r="E13" i="4"/>
  <c r="D13" i="4"/>
  <c r="C13" i="4"/>
  <c r="B13" i="4"/>
  <c r="M12" i="4"/>
  <c r="L12" i="4"/>
  <c r="K12" i="4"/>
  <c r="J12" i="4"/>
  <c r="I12" i="4"/>
  <c r="H12" i="4"/>
  <c r="G12" i="4"/>
  <c r="F12" i="4"/>
  <c r="E12" i="4"/>
  <c r="D12" i="4"/>
  <c r="C12" i="4"/>
  <c r="B12" i="4"/>
  <c r="M11" i="4"/>
  <c r="L11" i="4"/>
  <c r="K11" i="4"/>
  <c r="J11" i="4"/>
  <c r="I11" i="4"/>
  <c r="H11" i="4"/>
  <c r="G11" i="4"/>
  <c r="F11" i="4"/>
  <c r="E11" i="4"/>
  <c r="D11" i="4"/>
  <c r="D15" i="4" s="1"/>
  <c r="C11" i="4"/>
  <c r="C15" i="4" s="1"/>
  <c r="B11" i="4"/>
  <c r="B15" i="4" s="1"/>
  <c r="M10" i="4"/>
  <c r="L10" i="4"/>
  <c r="K10" i="4"/>
  <c r="J10" i="4"/>
  <c r="I10" i="4"/>
  <c r="H10" i="4"/>
  <c r="G10" i="4"/>
  <c r="F10" i="4"/>
  <c r="E10" i="4"/>
  <c r="D10" i="4"/>
  <c r="C10" i="4"/>
  <c r="B10" i="4"/>
  <c r="D6" i="4"/>
  <c r="C6" i="4"/>
  <c r="B6" i="4"/>
  <c r="D5" i="4"/>
  <c r="C5" i="4"/>
  <c r="B5" i="4"/>
  <c r="C14" i="1"/>
  <c r="C13" i="1"/>
  <c r="C12" i="1"/>
  <c r="C11" i="1"/>
  <c r="C10" i="1"/>
  <c r="E19" i="8" l="1"/>
  <c r="E19" i="4" s="1"/>
  <c r="E16" i="8"/>
  <c r="M9" i="8"/>
  <c r="M14" i="4" s="1"/>
  <c r="M13" i="6"/>
  <c r="M14" i="6" s="1"/>
  <c r="L9" i="8"/>
  <c r="L14" i="4" s="1"/>
  <c r="L13" i="6"/>
  <c r="L14" i="6" s="1"/>
  <c r="K9" i="8"/>
  <c r="K14" i="4" s="1"/>
  <c r="K13" i="6"/>
  <c r="K14" i="6" s="1"/>
  <c r="J13" i="6"/>
  <c r="J14" i="6" s="1"/>
  <c r="J9" i="8"/>
  <c r="J14" i="4" s="1"/>
  <c r="I9" i="8"/>
  <c r="I14" i="4" s="1"/>
  <c r="I13" i="6"/>
  <c r="I14" i="6" s="1"/>
  <c r="H9" i="8"/>
  <c r="H14" i="4" s="1"/>
  <c r="H13" i="6"/>
  <c r="H14" i="6" s="1"/>
  <c r="G9" i="8"/>
  <c r="G14" i="4" s="1"/>
  <c r="G13" i="6"/>
  <c r="G14" i="6" s="1"/>
  <c r="F13" i="6"/>
  <c r="F14" i="6" s="1"/>
  <c r="F9" i="8"/>
  <c r="F14" i="4" s="1"/>
  <c r="E13" i="6"/>
  <c r="E14" i="6" s="1"/>
  <c r="E9" i="8"/>
  <c r="B11" i="8"/>
  <c r="C5" i="8"/>
  <c r="C7" i="8" s="1"/>
  <c r="E19" i="5"/>
  <c r="D18" i="6"/>
  <c r="D19" i="6" s="1"/>
  <c r="C18" i="6"/>
  <c r="C19" i="6" s="1"/>
  <c r="B18" i="6"/>
  <c r="B19" i="6" s="1"/>
  <c r="D9" i="6"/>
  <c r="D16" i="5"/>
  <c r="C9" i="6"/>
  <c r="C16" i="5"/>
  <c r="B16" i="5"/>
  <c r="B9" i="6"/>
  <c r="C8" i="6"/>
  <c r="B8" i="6"/>
  <c r="D9" i="7"/>
  <c r="E10" i="7"/>
  <c r="C9" i="7"/>
  <c r="D7" i="6"/>
  <c r="B9" i="7"/>
  <c r="C7" i="6"/>
  <c r="B7" i="6"/>
  <c r="D7" i="4"/>
  <c r="E5" i="4"/>
  <c r="D5" i="7"/>
  <c r="C5" i="7"/>
  <c r="C7" i="4"/>
  <c r="B5" i="7"/>
  <c r="B7" i="4"/>
  <c r="M15" i="4" l="1"/>
  <c r="M6" i="6"/>
  <c r="L15" i="4"/>
  <c r="L6" i="6"/>
  <c r="K15" i="4"/>
  <c r="K6" i="6"/>
  <c r="J15" i="4"/>
  <c r="J6" i="6"/>
  <c r="I15" i="4"/>
  <c r="I6" i="6"/>
  <c r="H15" i="4"/>
  <c r="H6" i="6"/>
  <c r="G15" i="4"/>
  <c r="G6" i="6"/>
  <c r="F15" i="4"/>
  <c r="F6" i="6"/>
  <c r="E10" i="8"/>
  <c r="E14" i="4"/>
  <c r="C11" i="8"/>
  <c r="D5" i="8"/>
  <c r="D7" i="8" s="1"/>
  <c r="F19" i="5"/>
  <c r="D8" i="4"/>
  <c r="D16" i="4"/>
  <c r="D17" i="4" s="1"/>
  <c r="D18" i="4"/>
  <c r="D20" i="4" s="1"/>
  <c r="D22" i="4" s="1"/>
  <c r="D5" i="6" s="1"/>
  <c r="F5" i="4"/>
  <c r="E6" i="4"/>
  <c r="E14" i="7" s="1"/>
  <c r="E7" i="4"/>
  <c r="E5" i="7"/>
  <c r="C8" i="4"/>
  <c r="C18" i="4"/>
  <c r="C20" i="4" s="1"/>
  <c r="C22" i="4" s="1"/>
  <c r="C5" i="6" s="1"/>
  <c r="C16" i="4"/>
  <c r="C17" i="4" s="1"/>
  <c r="B8" i="4"/>
  <c r="B16" i="4"/>
  <c r="B17" i="4" s="1"/>
  <c r="B18" i="4"/>
  <c r="B20" i="4" s="1"/>
  <c r="B22" i="4" s="1"/>
  <c r="E17" i="6"/>
  <c r="E19" i="6" s="1"/>
  <c r="E17" i="8"/>
  <c r="E11" i="9"/>
  <c r="F8" i="8" l="1"/>
  <c r="F10" i="8" s="1"/>
  <c r="E9" i="5"/>
  <c r="E15" i="4"/>
  <c r="E6" i="6"/>
  <c r="D11" i="8"/>
  <c r="E5" i="8"/>
  <c r="G19" i="5"/>
  <c r="D10" i="6"/>
  <c r="D21" i="6" s="1"/>
  <c r="D7" i="7"/>
  <c r="D11" i="7"/>
  <c r="G5" i="4"/>
  <c r="F6" i="4"/>
  <c r="F7" i="4" s="1"/>
  <c r="F5" i="7"/>
  <c r="E8" i="4"/>
  <c r="E16" i="4"/>
  <c r="E17" i="4" s="1"/>
  <c r="E18" i="4"/>
  <c r="E20" i="4" s="1"/>
  <c r="E7" i="7"/>
  <c r="E11" i="7" s="1"/>
  <c r="E9" i="7"/>
  <c r="E12" i="7" s="1"/>
  <c r="C10" i="6"/>
  <c r="C21" i="6" s="1"/>
  <c r="C7" i="7"/>
  <c r="C11" i="7"/>
  <c r="B20" i="5"/>
  <c r="B21" i="5" s="1"/>
  <c r="B22" i="5" s="1"/>
  <c r="C20" i="5"/>
  <c r="C21" i="5" s="1"/>
  <c r="C22" i="5" s="1"/>
  <c r="D20" i="5"/>
  <c r="B5" i="6"/>
  <c r="E15" i="5"/>
  <c r="F14" i="8"/>
  <c r="F9" i="5" l="1"/>
  <c r="G8" i="8"/>
  <c r="G10" i="8" s="1"/>
  <c r="E7" i="8"/>
  <c r="E12" i="9"/>
  <c r="H19" i="5"/>
  <c r="H5" i="4"/>
  <c r="G6" i="4"/>
  <c r="G7" i="4"/>
  <c r="G5" i="7"/>
  <c r="F14" i="7"/>
  <c r="E16" i="7"/>
  <c r="F8" i="4"/>
  <c r="F18" i="4"/>
  <c r="F16" i="4"/>
  <c r="F17" i="4" s="1"/>
  <c r="F7" i="7"/>
  <c r="F9" i="7"/>
  <c r="F12" i="7" s="1"/>
  <c r="E21" i="4"/>
  <c r="E22" i="4"/>
  <c r="E6" i="5"/>
  <c r="F10" i="7"/>
  <c r="D21" i="5"/>
  <c r="D22" i="5" s="1"/>
  <c r="E20" i="5"/>
  <c r="B10" i="6"/>
  <c r="B21" i="6" s="1"/>
  <c r="B23" i="6" s="1"/>
  <c r="B7" i="7"/>
  <c r="B11" i="7"/>
  <c r="F19" i="8"/>
  <c r="F19" i="4" s="1"/>
  <c r="F16" i="8"/>
  <c r="G9" i="5" l="1"/>
  <c r="H8" i="8"/>
  <c r="H10" i="8" s="1"/>
  <c r="E11" i="8"/>
  <c r="E8" i="5"/>
  <c r="E10" i="5" s="1"/>
  <c r="F5" i="8"/>
  <c r="I19" i="5"/>
  <c r="I5" i="4"/>
  <c r="H6" i="4"/>
  <c r="H7" i="4"/>
  <c r="H5" i="7"/>
  <c r="G14" i="7"/>
  <c r="F16" i="7"/>
  <c r="G8" i="4"/>
  <c r="G16" i="4"/>
  <c r="G17" i="4" s="1"/>
  <c r="G18" i="4"/>
  <c r="G7" i="7"/>
  <c r="G11" i="7" s="1"/>
  <c r="G9" i="7"/>
  <c r="G12" i="7" s="1"/>
  <c r="E18" i="7"/>
  <c r="F17" i="7"/>
  <c r="E7" i="5"/>
  <c r="F6" i="5"/>
  <c r="G10" i="7"/>
  <c r="E5" i="6"/>
  <c r="E7" i="6"/>
  <c r="F7" i="6"/>
  <c r="E21" i="5"/>
  <c r="C22" i="6"/>
  <c r="C23" i="6" s="1"/>
  <c r="B5" i="5"/>
  <c r="F20" i="4"/>
  <c r="F11" i="7"/>
  <c r="F17" i="6"/>
  <c r="F19" i="6" s="1"/>
  <c r="F17" i="8"/>
  <c r="F11" i="9" s="1"/>
  <c r="H9" i="5" l="1"/>
  <c r="I8" i="8"/>
  <c r="I10" i="8" s="1"/>
  <c r="F7" i="8"/>
  <c r="F12" i="9"/>
  <c r="J19" i="5"/>
  <c r="J5" i="4"/>
  <c r="I6" i="4"/>
  <c r="I7" i="4"/>
  <c r="I5" i="7"/>
  <c r="H14" i="7"/>
  <c r="G16" i="7"/>
  <c r="H8" i="4"/>
  <c r="H18" i="4"/>
  <c r="H16" i="4"/>
  <c r="H17" i="4" s="1"/>
  <c r="H7" i="7"/>
  <c r="H9" i="7"/>
  <c r="H12" i="7" s="1"/>
  <c r="F18" i="7"/>
  <c r="G17" i="7"/>
  <c r="F7" i="5"/>
  <c r="G6" i="5"/>
  <c r="H10" i="7"/>
  <c r="E20" i="7"/>
  <c r="E9" i="9"/>
  <c r="E21" i="7"/>
  <c r="E10" i="9" s="1"/>
  <c r="E8" i="6"/>
  <c r="F8" i="6"/>
  <c r="C5" i="5"/>
  <c r="D22" i="6"/>
  <c r="D23" i="6" s="1"/>
  <c r="B11" i="5"/>
  <c r="B23" i="5" s="1"/>
  <c r="B6" i="9" s="1"/>
  <c r="B14" i="9" s="1"/>
  <c r="B24" i="6"/>
  <c r="B25" i="6" s="1"/>
  <c r="B7" i="9" s="1"/>
  <c r="F21" i="4"/>
  <c r="F22" i="4" s="1"/>
  <c r="G14" i="8"/>
  <c r="F15" i="5"/>
  <c r="I9" i="5" l="1"/>
  <c r="J8" i="8"/>
  <c r="J10" i="8" s="1"/>
  <c r="F11" i="8"/>
  <c r="F8" i="5"/>
  <c r="F10" i="5" s="1"/>
  <c r="G5" i="8"/>
  <c r="K19" i="5"/>
  <c r="K5" i="4"/>
  <c r="J6" i="4"/>
  <c r="J7" i="4" s="1"/>
  <c r="J5" i="7"/>
  <c r="I14" i="7"/>
  <c r="H16" i="7"/>
  <c r="I8" i="4"/>
  <c r="I16" i="4"/>
  <c r="I17" i="4" s="1"/>
  <c r="I18" i="4"/>
  <c r="I7" i="7"/>
  <c r="I9" i="7"/>
  <c r="I12" i="7" s="1"/>
  <c r="G18" i="7"/>
  <c r="H17" i="7"/>
  <c r="G7" i="5"/>
  <c r="H6" i="5"/>
  <c r="I10" i="7"/>
  <c r="F9" i="9"/>
  <c r="F20" i="7"/>
  <c r="G7" i="6"/>
  <c r="H7" i="6"/>
  <c r="E14" i="5"/>
  <c r="F19" i="7"/>
  <c r="C11" i="5"/>
  <c r="C23" i="5" s="1"/>
  <c r="C6" i="9" s="1"/>
  <c r="C24" i="6"/>
  <c r="C25" i="6" s="1"/>
  <c r="C7" i="9" s="1"/>
  <c r="D5" i="5"/>
  <c r="E22" i="6"/>
  <c r="F20" i="5"/>
  <c r="F5" i="6"/>
  <c r="G16" i="8"/>
  <c r="G17" i="6" s="1"/>
  <c r="G19" i="6" s="1"/>
  <c r="G17" i="8"/>
  <c r="G19" i="8"/>
  <c r="G19" i="4" s="1"/>
  <c r="G20" i="4" s="1"/>
  <c r="G11" i="9"/>
  <c r="H11" i="7"/>
  <c r="J9" i="5" l="1"/>
  <c r="K8" i="8"/>
  <c r="K10" i="8" s="1"/>
  <c r="G7" i="8"/>
  <c r="G12" i="9"/>
  <c r="L19" i="5"/>
  <c r="L5" i="4"/>
  <c r="K6" i="4"/>
  <c r="K7" i="4"/>
  <c r="K5" i="7"/>
  <c r="J14" i="7"/>
  <c r="I16" i="7"/>
  <c r="J8" i="4"/>
  <c r="J16" i="4"/>
  <c r="J17" i="4" s="1"/>
  <c r="J18" i="4"/>
  <c r="J7" i="7"/>
  <c r="J11" i="7" s="1"/>
  <c r="J9" i="7"/>
  <c r="J12" i="7" s="1"/>
  <c r="H18" i="7"/>
  <c r="I17" i="7"/>
  <c r="H7" i="5"/>
  <c r="H8" i="6" s="1"/>
  <c r="I6" i="5"/>
  <c r="J10" i="7"/>
  <c r="G9" i="9"/>
  <c r="G20" i="7"/>
  <c r="G8" i="6"/>
  <c r="G19" i="7"/>
  <c r="F14" i="5"/>
  <c r="E16" i="5"/>
  <c r="E22" i="5" s="1"/>
  <c r="E9" i="6"/>
  <c r="E10" i="6" s="1"/>
  <c r="E21" i="6" s="1"/>
  <c r="E23" i="6" s="1"/>
  <c r="F21" i="7"/>
  <c r="F10" i="9"/>
  <c r="D11" i="5"/>
  <c r="D23" i="5" s="1"/>
  <c r="D6" i="9" s="1"/>
  <c r="D24" i="6"/>
  <c r="D25" i="6" s="1"/>
  <c r="D7" i="9" s="1"/>
  <c r="F21" i="5"/>
  <c r="H14" i="8"/>
  <c r="G15" i="5"/>
  <c r="G21" i="4"/>
  <c r="G22" i="4" s="1"/>
  <c r="G20" i="5" s="1"/>
  <c r="I11" i="7"/>
  <c r="C14" i="9"/>
  <c r="K9" i="5" l="1"/>
  <c r="L8" i="8"/>
  <c r="L10" i="8" s="1"/>
  <c r="G11" i="8"/>
  <c r="G8" i="5"/>
  <c r="G10" i="5" s="1"/>
  <c r="H5" i="8"/>
  <c r="M19" i="5"/>
  <c r="M5" i="4"/>
  <c r="L6" i="4"/>
  <c r="L7" i="4" s="1"/>
  <c r="L5" i="7"/>
  <c r="K14" i="7"/>
  <c r="J16" i="7"/>
  <c r="K8" i="4"/>
  <c r="K16" i="4"/>
  <c r="K17" i="4" s="1"/>
  <c r="K18" i="4"/>
  <c r="K7" i="7"/>
  <c r="K9" i="7"/>
  <c r="K12" i="7" s="1"/>
  <c r="I18" i="7"/>
  <c r="J17" i="7"/>
  <c r="I7" i="5"/>
  <c r="J6" i="5"/>
  <c r="K10" i="7"/>
  <c r="H9" i="9"/>
  <c r="H20" i="7"/>
  <c r="I7" i="6"/>
  <c r="J7" i="6"/>
  <c r="H19" i="7"/>
  <c r="G14" i="5"/>
  <c r="G21" i="7"/>
  <c r="G10" i="9"/>
  <c r="F16" i="5"/>
  <c r="F22" i="5" s="1"/>
  <c r="F9" i="6"/>
  <c r="F10" i="6" s="1"/>
  <c r="F21" i="6" s="1"/>
  <c r="G21" i="5"/>
  <c r="H16" i="8"/>
  <c r="H17" i="6" s="1"/>
  <c r="H19" i="6" s="1"/>
  <c r="H17" i="8"/>
  <c r="H19" i="8"/>
  <c r="H19" i="4" s="1"/>
  <c r="H20" i="4" s="1"/>
  <c r="H11" i="9"/>
  <c r="G5" i="6"/>
  <c r="D14" i="9"/>
  <c r="E5" i="5"/>
  <c r="F22" i="6"/>
  <c r="F23" i="6" s="1"/>
  <c r="L9" i="5" l="1"/>
  <c r="M8" i="8"/>
  <c r="M10" i="8" s="1"/>
  <c r="M9" i="5" s="1"/>
  <c r="H7" i="8"/>
  <c r="H12" i="9"/>
  <c r="B5" i="1"/>
  <c r="M6" i="4"/>
  <c r="M7" i="4"/>
  <c r="M5" i="7"/>
  <c r="L14" i="7"/>
  <c r="K16" i="7"/>
  <c r="L8" i="4"/>
  <c r="L16" i="4"/>
  <c r="L17" i="4" s="1"/>
  <c r="L18" i="4"/>
  <c r="L7" i="7"/>
  <c r="L9" i="7"/>
  <c r="L12" i="7" s="1"/>
  <c r="J18" i="7"/>
  <c r="K17" i="7"/>
  <c r="J7" i="5"/>
  <c r="K6" i="5"/>
  <c r="L10" i="7"/>
  <c r="I9" i="9"/>
  <c r="I20" i="7"/>
  <c r="I8" i="6"/>
  <c r="J8" i="6"/>
  <c r="I19" i="7"/>
  <c r="H14" i="5"/>
  <c r="H21" i="7"/>
  <c r="H10" i="9"/>
  <c r="G16" i="5"/>
  <c r="G22" i="5" s="1"/>
  <c r="G9" i="6"/>
  <c r="G10" i="6" s="1"/>
  <c r="G21" i="6" s="1"/>
  <c r="H15" i="5"/>
  <c r="I14" i="8"/>
  <c r="H21" i="4"/>
  <c r="H22" i="4" s="1"/>
  <c r="E24" i="6"/>
  <c r="E25" i="6" s="1"/>
  <c r="E7" i="9" s="1"/>
  <c r="E11" i="5"/>
  <c r="E23" i="5" s="1"/>
  <c r="E6" i="9" s="1"/>
  <c r="E14" i="9" s="1"/>
  <c r="G22" i="6"/>
  <c r="F5" i="5"/>
  <c r="K11" i="7"/>
  <c r="H11" i="8" l="1"/>
  <c r="H8" i="5"/>
  <c r="H10" i="5" s="1"/>
  <c r="I5" i="8"/>
  <c r="M14" i="7"/>
  <c r="L16" i="7"/>
  <c r="M16" i="7"/>
  <c r="M7" i="5" s="1"/>
  <c r="M8" i="4"/>
  <c r="M18" i="4"/>
  <c r="M16" i="4"/>
  <c r="M17" i="4" s="1"/>
  <c r="M7" i="7"/>
  <c r="M9" i="7"/>
  <c r="M12" i="7" s="1"/>
  <c r="M6" i="5" s="1"/>
  <c r="K18" i="7"/>
  <c r="L17" i="7"/>
  <c r="K7" i="5"/>
  <c r="L6" i="5"/>
  <c r="M7" i="6" s="1"/>
  <c r="M10" i="7"/>
  <c r="J9" i="9"/>
  <c r="J20" i="7"/>
  <c r="K7" i="6"/>
  <c r="L7" i="6"/>
  <c r="J19" i="7"/>
  <c r="I14" i="5"/>
  <c r="I21" i="7"/>
  <c r="I10" i="9"/>
  <c r="H16" i="5"/>
  <c r="H9" i="6"/>
  <c r="I17" i="8"/>
  <c r="I19" i="8"/>
  <c r="I19" i="4" s="1"/>
  <c r="I20" i="4" s="1"/>
  <c r="I11" i="9"/>
  <c r="I16" i="8"/>
  <c r="I17" i="6" s="1"/>
  <c r="I19" i="6" s="1"/>
  <c r="H20" i="5"/>
  <c r="H5" i="6"/>
  <c r="H10" i="6" s="1"/>
  <c r="H21" i="6" s="1"/>
  <c r="F11" i="5"/>
  <c r="F23" i="5" s="1"/>
  <c r="F6" i="9" s="1"/>
  <c r="F14" i="9" s="1"/>
  <c r="F24" i="6"/>
  <c r="F25" i="6" s="1"/>
  <c r="F7" i="9" s="1"/>
  <c r="L11" i="7"/>
  <c r="G23" i="6"/>
  <c r="I7" i="8" l="1"/>
  <c r="I12" i="9"/>
  <c r="L18" i="7"/>
  <c r="M17" i="7"/>
  <c r="M18" i="7" s="1"/>
  <c r="L7" i="5"/>
  <c r="M8" i="6" s="1"/>
  <c r="K9" i="9"/>
  <c r="K20" i="7"/>
  <c r="K8" i="6"/>
  <c r="L8" i="6"/>
  <c r="K19" i="7"/>
  <c r="J14" i="5"/>
  <c r="J21" i="7"/>
  <c r="J10" i="9"/>
  <c r="I16" i="5"/>
  <c r="I9" i="6"/>
  <c r="J14" i="8"/>
  <c r="I15" i="5"/>
  <c r="I21" i="4"/>
  <c r="I22" i="4" s="1"/>
  <c r="H21" i="5"/>
  <c r="H22" i="5" s="1"/>
  <c r="H22" i="6"/>
  <c r="H23" i="6" s="1"/>
  <c r="G5" i="5"/>
  <c r="M11" i="7"/>
  <c r="I11" i="8" l="1"/>
  <c r="I8" i="5"/>
  <c r="I10" i="5" s="1"/>
  <c r="J5" i="8"/>
  <c r="L9" i="9"/>
  <c r="L20" i="7"/>
  <c r="L19" i="7"/>
  <c r="K14" i="5"/>
  <c r="K21" i="7"/>
  <c r="K10" i="9"/>
  <c r="J9" i="6"/>
  <c r="J16" i="8"/>
  <c r="J17" i="8"/>
  <c r="J19" i="8"/>
  <c r="J19" i="4" s="1"/>
  <c r="J20" i="4" s="1"/>
  <c r="H5" i="5"/>
  <c r="I22" i="6"/>
  <c r="G11" i="5"/>
  <c r="G23" i="5" s="1"/>
  <c r="G6" i="9" s="1"/>
  <c r="G24" i="6"/>
  <c r="G25" i="6" s="1"/>
  <c r="G7" i="9" s="1"/>
  <c r="M9" i="9"/>
  <c r="M20" i="7"/>
  <c r="M14" i="5" s="1"/>
  <c r="I20" i="5"/>
  <c r="I5" i="6"/>
  <c r="I10" i="6" s="1"/>
  <c r="I21" i="6" s="1"/>
  <c r="J7" i="8" l="1"/>
  <c r="J12" i="9"/>
  <c r="M19" i="7"/>
  <c r="L14" i="5"/>
  <c r="M9" i="6" s="1"/>
  <c r="L21" i="7"/>
  <c r="L10" i="9"/>
  <c r="K9" i="6"/>
  <c r="J15" i="5"/>
  <c r="J16" i="5" s="1"/>
  <c r="K14" i="8"/>
  <c r="J21" i="4"/>
  <c r="J22" i="4" s="1"/>
  <c r="H11" i="5"/>
  <c r="H23" i="5" s="1"/>
  <c r="H6" i="9" s="1"/>
  <c r="H24" i="6"/>
  <c r="H25" i="6" s="1"/>
  <c r="H7" i="9" s="1"/>
  <c r="I21" i="5"/>
  <c r="I22" i="5" s="1"/>
  <c r="I23" i="6"/>
  <c r="G14" i="9"/>
  <c r="J17" i="6"/>
  <c r="J19" i="6" s="1"/>
  <c r="J11" i="9"/>
  <c r="J8" i="5" l="1"/>
  <c r="J10" i="5" s="1"/>
  <c r="J11" i="8"/>
  <c r="K5" i="8"/>
  <c r="M21" i="7"/>
  <c r="M10" i="9"/>
  <c r="L9" i="6"/>
  <c r="K17" i="8"/>
  <c r="K19" i="8"/>
  <c r="K19" i="4" s="1"/>
  <c r="K20" i="4" s="1"/>
  <c r="K16" i="8"/>
  <c r="J22" i="6"/>
  <c r="I5" i="5"/>
  <c r="H14" i="9"/>
  <c r="J20" i="5"/>
  <c r="J5" i="6"/>
  <c r="J10" i="6" s="1"/>
  <c r="J21" i="6" s="1"/>
  <c r="K7" i="8" l="1"/>
  <c r="K12" i="9"/>
  <c r="K15" i="5"/>
  <c r="K16" i="5" s="1"/>
  <c r="L14" i="8"/>
  <c r="K21" i="4"/>
  <c r="K22" i="4" s="1"/>
  <c r="I11" i="5"/>
  <c r="I23" i="5" s="1"/>
  <c r="I6" i="9" s="1"/>
  <c r="I14" i="9" s="1"/>
  <c r="I24" i="6"/>
  <c r="I25" i="6" s="1"/>
  <c r="I7" i="9" s="1"/>
  <c r="J21" i="5"/>
  <c r="J22" i="5" s="1"/>
  <c r="J23" i="6"/>
  <c r="K17" i="6"/>
  <c r="K19" i="6" s="1"/>
  <c r="K11" i="9"/>
  <c r="K11" i="8" l="1"/>
  <c r="K8" i="5"/>
  <c r="K10" i="5" s="1"/>
  <c r="L5" i="8"/>
  <c r="L17" i="8"/>
  <c r="L19" i="8"/>
  <c r="L19" i="4" s="1"/>
  <c r="L20" i="4" s="1"/>
  <c r="L16" i="8"/>
  <c r="K22" i="6"/>
  <c r="J5" i="5"/>
  <c r="K20" i="5"/>
  <c r="K5" i="6"/>
  <c r="K10" i="6" s="1"/>
  <c r="K21" i="6" s="1"/>
  <c r="L7" i="8" l="1"/>
  <c r="L12" i="9" s="1"/>
  <c r="M14" i="8"/>
  <c r="L15" i="5"/>
  <c r="L16" i="5" s="1"/>
  <c r="L21" i="4"/>
  <c r="L22" i="4" s="1"/>
  <c r="J11" i="5"/>
  <c r="J23" i="5" s="1"/>
  <c r="J6" i="9" s="1"/>
  <c r="J14" i="9" s="1"/>
  <c r="J24" i="6"/>
  <c r="J25" i="6" s="1"/>
  <c r="J7" i="9" s="1"/>
  <c r="K21" i="5"/>
  <c r="K22" i="5" s="1"/>
  <c r="K23" i="6"/>
  <c r="L17" i="6"/>
  <c r="L19" i="6" s="1"/>
  <c r="L11" i="9"/>
  <c r="L8" i="5" l="1"/>
  <c r="L10" i="5" s="1"/>
  <c r="L11" i="8"/>
  <c r="M5" i="8"/>
  <c r="M16" i="8"/>
  <c r="M17" i="6" s="1"/>
  <c r="M19" i="6" s="1"/>
  <c r="M17" i="8"/>
  <c r="M15" i="5" s="1"/>
  <c r="M16" i="5" s="1"/>
  <c r="M19" i="8"/>
  <c r="M19" i="4" s="1"/>
  <c r="M20" i="4" s="1"/>
  <c r="M11" i="9"/>
  <c r="L22" i="6"/>
  <c r="L23" i="6" s="1"/>
  <c r="K5" i="5"/>
  <c r="L20" i="5"/>
  <c r="L5" i="6"/>
  <c r="L10" i="6" s="1"/>
  <c r="L21" i="6" s="1"/>
  <c r="M7" i="8" l="1"/>
  <c r="M12" i="9"/>
  <c r="M21" i="4"/>
  <c r="M22" i="4" s="1"/>
  <c r="M20" i="5" s="1"/>
  <c r="M21" i="5" s="1"/>
  <c r="M22" i="5" s="1"/>
  <c r="L5" i="5"/>
  <c r="M22" i="6"/>
  <c r="K11" i="5"/>
  <c r="K23" i="5" s="1"/>
  <c r="K6" i="9" s="1"/>
  <c r="K24" i="6"/>
  <c r="K25" i="6" s="1"/>
  <c r="K7" i="9" s="1"/>
  <c r="L21" i="5"/>
  <c r="L22" i="5" s="1"/>
  <c r="M8" i="5" l="1"/>
  <c r="M10" i="5" s="1"/>
  <c r="M11" i="8"/>
  <c r="E5" i="1"/>
  <c r="M5" i="6"/>
  <c r="M10" i="6" s="1"/>
  <c r="M21" i="6" s="1"/>
  <c r="M23" i="6" s="1"/>
  <c r="M5" i="5" s="1"/>
  <c r="M11" i="5" s="1"/>
  <c r="M23" i="5" s="1"/>
  <c r="L11" i="5"/>
  <c r="L23" i="5" s="1"/>
  <c r="L6" i="9" s="1"/>
  <c r="L14" i="9" s="1"/>
  <c r="L24" i="6"/>
  <c r="L25" i="6" s="1"/>
  <c r="L7" i="9" s="1"/>
  <c r="K14" i="9"/>
  <c r="M6" i="9" l="1"/>
  <c r="K5" i="1"/>
  <c r="M24" i="6"/>
  <c r="M25" i="6" s="1"/>
  <c r="M7" i="9" s="1"/>
  <c r="H5" i="1"/>
  <c r="M14" i="9" l="1"/>
  <c r="C15" i="1" s="1"/>
</calcChain>
</file>

<file path=xl/sharedStrings.xml><?xml version="1.0" encoding="utf-8"?>
<sst xmlns="http://schemas.openxmlformats.org/spreadsheetml/2006/main" count="1440" uniqueCount="520">
  <si>
    <t>Full-year revenue</t>
  </si>
  <si>
    <t>Full-year net income</t>
  </si>
  <si>
    <t>December cash</t>
  </si>
  <si>
    <t>December balance check</t>
  </si>
  <si>
    <t>Model at a glance</t>
  </si>
  <si>
    <t>Actual period</t>
  </si>
  <si>
    <t>Jan–Mar 2026</t>
  </si>
  <si>
    <t>Forecast period</t>
  </si>
  <si>
    <t>Apr–Dec 2026</t>
  </si>
  <si>
    <t>Revenue growth (Apr)</t>
  </si>
  <si>
    <t>COGS assumption</t>
  </si>
  <si>
    <t>Cash / credit sales mix</t>
  </si>
  <si>
    <t>July equipment purchase</t>
  </si>
  <si>
    <t>Monthly loan repayment</t>
  </si>
  <si>
    <t>Check status</t>
  </si>
  <si>
    <t>Purpose</t>
  </si>
  <si>
    <t>Model Moya Trail Gear monthly from Jan to Dec 2026; three actual months and nine forecast months.</t>
  </si>
  <si>
    <t>Workbook flow</t>
  </si>
  <si>
    <t>Raw Journal → Clean Journal / OpeningTB → Income Statement and schedules → Cash Flow and Balance Sheet → Dashboard and Checks.</t>
  </si>
  <si>
    <t>1. Review source data</t>
  </si>
  <si>
    <t>Raw Journal is retained as provided. Clean Journal contains the standardized entries used by the model. OpeningTB provides balances at 31 Dec 2025.</t>
  </si>
  <si>
    <t>2. Change assumptions</t>
  </si>
  <si>
    <t>Edit blue font cells with yellow fill on Assumptions for monthly growth, mix, COGS, stock, operating costs, capex, depreciation, debt, interest, and tax.</t>
  </si>
  <si>
    <t>3. Read the statements</t>
  </si>
  <si>
    <t>Income Statement shows monthly actuals and forecast. Cash Flow uses the indirect method. Balance Sheet includes monthly balance check.</t>
  </si>
  <si>
    <t>4. Inspect schedules</t>
  </si>
  <si>
    <t>Working Capital explains sales collection, receivables, stock, purchases, and supplier payments. PP&amp;E &amp; Debt explains depreciation, principal, and interest.</t>
  </si>
  <si>
    <t>5. Review checks</t>
  </si>
  <si>
    <t>Checks should be zero and Overall Status should show PASS. Review any non-zero difference.</t>
  </si>
  <si>
    <t>Input conventions</t>
  </si>
  <si>
    <t>Blue font and pale yellow fill are editable inputs. Black font indicates formulas. Jan–Mar actual; Apr–Dec forecast.</t>
  </si>
  <si>
    <t>Important interpretation</t>
  </si>
  <si>
    <t>Training model using fictional data, not an audited forecast. Negative cash remains visible as a funding shortfall.</t>
  </si>
  <si>
    <t>Simplifications</t>
  </si>
  <si>
    <t>No VAT, seasonality, new borrowing, dividends, equity changes, inventory losses, bad debts, asset disposals, or tax timing differences. Dec inventory uses Dec COGS as terminal proxy.</t>
  </si>
  <si>
    <t>Data quality note</t>
  </si>
  <si>
    <t>Raw Journal contains inconsistent source date/account formats. Clean Journal is the model input and normalizes those entries; verify the mapping before reusing with live data.</t>
  </si>
  <si>
    <t>Moya Trail Gear | Forecast Assumptions</t>
  </si>
  <si>
    <t>Forecast driver</t>
  </si>
  <si>
    <t>Revenue growth</t>
  </si>
  <si>
    <t>Cash sales mix</t>
  </si>
  <si>
    <t>Credit sales mix</t>
  </si>
  <si>
    <t>COGS as % of revenue</t>
  </si>
  <si>
    <t>Inventory cover (months)</t>
  </si>
  <si>
    <t>Supplier payment delay (months)</t>
  </si>
  <si>
    <t>Monthly salaries</t>
  </si>
  <si>
    <t>Monthly rent</t>
  </si>
  <si>
    <t>Monthly marketing</t>
  </si>
  <si>
    <t>Monthly utilities</t>
  </si>
  <si>
    <t>Equipment purchase</t>
  </si>
  <si>
    <t>Equipment useful life (months)</t>
  </si>
  <si>
    <t>Existing monthly depreciation</t>
  </si>
  <si>
    <t>Annual interest rate</t>
  </si>
  <si>
    <t>Monthly loan principal repayment</t>
  </si>
  <si>
    <t>Tax rate</t>
  </si>
  <si>
    <t>Model conventions</t>
  </si>
  <si>
    <t>• Actuals: Jan–Mar 2026. Forecast: Apr–Dec 2026.</t>
  </si>
  <si>
    <t>• Cash sales are collected in month of sale; credit sales are collected one month later. March receivables are collected in April.</t>
  </si>
  <si>
    <t>• Inventory purchases = COGS + ending inventory − opening inventory. Purchases are paid one month later.</t>
  </si>
  <si>
    <t>• Taxes are paid in the month accrued. No dividends, new borrowing, equity contributions, or revolver are assumed.</t>
  </si>
  <si>
    <t>• Negative cash remains visible as a funding warning. No VAT, seasonality, bad debts, stock losses, disposals, or deferred tax are modeled.</t>
  </si>
  <si>
    <t>• December inventory cover uses December COGS as the terminal proxy. All amounts are fictional South African rand.</t>
  </si>
  <si>
    <t>Integrated Income Statement</t>
  </si>
  <si>
    <t>Period type</t>
  </si>
  <si>
    <t>Actual</t>
  </si>
  <si>
    <t>Forecast</t>
  </si>
  <si>
    <t>Revenue</t>
  </si>
  <si>
    <t>Cost of sales</t>
  </si>
  <si>
    <t>Gross profit</t>
  </si>
  <si>
    <t>Gross margin</t>
  </si>
  <si>
    <t>Payroll expense</t>
  </si>
  <si>
    <t>Rent expense</t>
  </si>
  <si>
    <t>Marketing expense</t>
  </si>
  <si>
    <t>Utilities expense</t>
  </si>
  <si>
    <t>Depreciation expense</t>
  </si>
  <si>
    <t>Total operating expenses</t>
  </si>
  <si>
    <t>EBITDA</t>
  </si>
  <si>
    <t>EBITDA margin</t>
  </si>
  <si>
    <t>Operating profit (EBIT)</t>
  </si>
  <si>
    <t>Interest expense</t>
  </si>
  <si>
    <t>Profit before tax</t>
  </si>
  <si>
    <t>Income tax expense</t>
  </si>
  <si>
    <t>Net income</t>
  </si>
  <si>
    <t>Integrated Balance Sheet</t>
  </si>
  <si>
    <t>ASSETS</t>
  </si>
  <si>
    <t>Cash</t>
  </si>
  <si>
    <t>Accounts receivable</t>
  </si>
  <si>
    <t>Inventory</t>
  </si>
  <si>
    <t>Equipment, gross</t>
  </si>
  <si>
    <t>Accumulated depreciation</t>
  </si>
  <si>
    <t>Net property, plant and equipment</t>
  </si>
  <si>
    <t>Total assets</t>
  </si>
  <si>
    <t>LIABILITIES</t>
  </si>
  <si>
    <t>Accounts payable</t>
  </si>
  <si>
    <t>Business loan</t>
  </si>
  <si>
    <t>Total liabilities</t>
  </si>
  <si>
    <t>EQUITY</t>
  </si>
  <si>
    <t>Owner capital</t>
  </si>
  <si>
    <t>Retained earnings</t>
  </si>
  <si>
    <t>Total equity</t>
  </si>
  <si>
    <t>Total liabilities and equity</t>
  </si>
  <si>
    <t>Balance check</t>
  </si>
  <si>
    <t>Integrated Cash Flow Statement</t>
  </si>
  <si>
    <t>OPERATING ACTIVITIES</t>
  </si>
  <si>
    <t>Add: depreciation</t>
  </si>
  <si>
    <t>Change in accounts receivable</t>
  </si>
  <si>
    <t>Change in inventory</t>
  </si>
  <si>
    <t>Change in accounts payable</t>
  </si>
  <si>
    <t>Net cash from operating activities</t>
  </si>
  <si>
    <t>INVESTING ACTIVITIES</t>
  </si>
  <si>
    <t>Capital expenditure</t>
  </si>
  <si>
    <t>Net cash from investing activities</t>
  </si>
  <si>
    <t>FINANCING ACTIVITIES</t>
  </si>
  <si>
    <t>Change in business loan</t>
  </si>
  <si>
    <t>Change in owner capital</t>
  </si>
  <si>
    <t>Net cash from financing activities</t>
  </si>
  <si>
    <t>Net change in cash</t>
  </si>
  <si>
    <t>Beginning cash</t>
  </si>
  <si>
    <t>Ending cash</t>
  </si>
  <si>
    <t>Ending cash per balance sheet</t>
  </si>
  <si>
    <t>Cash check</t>
  </si>
  <si>
    <t>Working Capital Schedule</t>
  </si>
  <si>
    <t>Sales and collections</t>
  </si>
  <si>
    <t>Cash sales</t>
  </si>
  <si>
    <t>Credit sales</t>
  </si>
  <si>
    <t>Opening accounts receivable</t>
  </si>
  <si>
    <t>Cash collections</t>
  </si>
  <si>
    <t>Ending accounts receivable</t>
  </si>
  <si>
    <t>Inventory and supplier schedule</t>
  </si>
  <si>
    <t>Ending inventory</t>
  </si>
  <si>
    <t>Opening inventory</t>
  </si>
  <si>
    <t>Inventory purchases</t>
  </si>
  <si>
    <t>Opening accounts payable</t>
  </si>
  <si>
    <t>Ending accounts payable</t>
  </si>
  <si>
    <t>Supplier cash payments</t>
  </si>
  <si>
    <t>PP&amp;E and Debt Schedules</t>
  </si>
  <si>
    <t>Property, plant and equipment</t>
  </si>
  <si>
    <t>Opening gross equipment</t>
  </si>
  <si>
    <t>Closing gross equipment</t>
  </si>
  <si>
    <t>Opening accumulated depreciation</t>
  </si>
  <si>
    <t>Closing accumulated depreciation</t>
  </si>
  <si>
    <t>Net PP&amp;E</t>
  </si>
  <si>
    <t>Business loan and interest</t>
  </si>
  <si>
    <t>Opening loan balance</t>
  </si>
  <si>
    <t>New borrowing</t>
  </si>
  <si>
    <t>Principal repayment</t>
  </si>
  <si>
    <t>Closing loan balance</t>
  </si>
  <si>
    <t>Model Checks</t>
  </si>
  <si>
    <t>Opening trial balance difference</t>
  </si>
  <si>
    <t>Journal debits less credits</t>
  </si>
  <si>
    <t>Balance sheet check</t>
  </si>
  <si>
    <t>Cash flow to balance sheet check</t>
  </si>
  <si>
    <t>Cash and credit mix check</t>
  </si>
  <si>
    <t>Inventory purchases roll-forward</t>
  </si>
  <si>
    <t>Accounts payable roll-forward</t>
  </si>
  <si>
    <t>Loan roll-forward</t>
  </si>
  <si>
    <t>Net PP&amp;E roll-forward</t>
  </si>
  <si>
    <t>Overall status</t>
  </si>
  <si>
    <t>Moya Trail Gear</t>
  </si>
  <si>
    <t>Business</t>
  </si>
  <si>
    <t>Moya Trail Gear (Pty) Ltd, a fictional South African online retailer of hiking backpacks and reusable bottles.</t>
  </si>
  <si>
    <t>Historical period</t>
  </si>
  <si>
    <t>Opening balances at 31 December 2025, followed by journal activity for January to March 2026.</t>
  </si>
  <si>
    <t>April to December 2026.</t>
  </si>
  <si>
    <t>Currency</t>
  </si>
  <si>
    <t>South African rand (ZAR). All sample data is fictional and for training only.</t>
  </si>
  <si>
    <t>Model objective</t>
  </si>
  <si>
    <t>Clean and reconcile the source data, then build monthly historical statements and a linked three-statement forecast.</t>
  </si>
  <si>
    <t>Your practice sequence</t>
  </si>
  <si>
    <t>1</t>
  </si>
  <si>
    <t>Keep each raw source sheet unchanged. Create a separate cleaned version for your work.</t>
  </si>
  <si>
    <t>2</t>
  </si>
  <si>
    <t>Standardise dates, account names, references and amount formats. Record how you handle missing or duplicated records.</t>
  </si>
  <si>
    <t>3</t>
  </si>
  <si>
    <t>Reconcile the opening trial balance and check that journal debits equal credits by month.</t>
  </si>
  <si>
    <t>4</t>
  </si>
  <si>
    <t>Map cleaned accounts into revenue, expenses, assets, liabilities and equity.</t>
  </si>
  <si>
    <t>5</t>
  </si>
  <si>
    <t>Build the historical income statement, cash flow statement and balance sheet for January to March.</t>
  </si>
  <si>
    <t>6</t>
  </si>
  <si>
    <t>Use the Forecast Plan inputs to forecast April to December and link the three statements.</t>
  </si>
  <si>
    <t>Accounting conventions</t>
  </si>
  <si>
    <t>Sales</t>
  </si>
  <si>
    <t>Recognise revenue when a sale is made. Credit sales are collected the following month.</t>
  </si>
  <si>
    <t>Record purchases in inventory and cost of goods sold when products are sold.</t>
  </si>
  <si>
    <t>Suppliers</t>
  </si>
  <si>
    <t>Supplier purchases are on credit and paid the following month.</t>
  </si>
  <si>
    <t>Equipment</t>
  </si>
  <si>
    <t>Record equipment purchases as assets. Depreciation is a non-cash expense.</t>
  </si>
  <si>
    <t>Debt and tax</t>
  </si>
  <si>
    <t>Follow the timing assumptions on Forecast Plan. The tax rate is a simplified training input.</t>
  </si>
  <si>
    <t>As of date</t>
  </si>
  <si>
    <t>Account name</t>
  </si>
  <si>
    <t>Debit balance</t>
  </si>
  <si>
    <t>Credit balance</t>
  </si>
  <si>
    <t>Source note</t>
  </si>
  <si>
    <t>31-Dec-2025</t>
  </si>
  <si>
    <t>Bank</t>
  </si>
  <si>
    <t>Opening cash balance</t>
  </si>
  <si>
    <t>Accounts Receivable</t>
  </si>
  <si>
    <t>Customer balances due</t>
  </si>
  <si>
    <t>Inventory on hand</t>
  </si>
  <si>
    <t>Gross equipment cost</t>
  </si>
  <si>
    <t>Accumulated Depreciation</t>
  </si>
  <si>
    <t>Accounts Payable</t>
  </si>
  <si>
    <t>Supplier balances due</t>
  </si>
  <si>
    <t>Business Loan</t>
  </si>
  <si>
    <t>Loan balance</t>
  </si>
  <si>
    <t>Owner Capital</t>
  </si>
  <si>
    <t>Share capital</t>
  </si>
  <si>
    <t>Retained Earnings</t>
  </si>
  <si>
    <t>Source line ID</t>
  </si>
  <si>
    <t>Journal reference</t>
  </si>
  <si>
    <t>Date</t>
  </si>
  <si>
    <t>Narrative</t>
  </si>
  <si>
    <t>Debit</t>
  </si>
  <si>
    <t>Credit</t>
  </si>
  <si>
    <t>Counterparty</t>
  </si>
  <si>
    <t>Source file</t>
  </si>
  <si>
    <t>L001</t>
  </si>
  <si>
    <t>SALE-Jan-A</t>
  </si>
  <si>
    <t>Jan online orders - card settlement</t>
  </si>
  <si>
    <t>Web customers</t>
  </si>
  <si>
    <t>ERP-Journal-Q1</t>
  </si>
  <si>
    <t>L002</t>
  </si>
  <si>
    <t>L003</t>
  </si>
  <si>
    <t>Sales Revenue</t>
  </si>
  <si>
    <t>L004</t>
  </si>
  <si>
    <t>COLL-Jan</t>
  </si>
  <si>
    <t>Collection of prior customer invoices</t>
  </si>
  <si>
    <t>Customers</t>
  </si>
  <si>
    <t>L005</t>
  </si>
  <si>
    <t>L006</t>
  </si>
  <si>
    <t>COGS-Jan</t>
  </si>
  <si>
    <t>Product cost for sales</t>
  </si>
  <si>
    <t>Cost of Sales</t>
  </si>
  <si>
    <t>L007</t>
  </si>
  <si>
    <t>L008</t>
  </si>
  <si>
    <t>PUR-Jan</t>
  </si>
  <si>
    <t>Supplier invoice - inventory</t>
  </si>
  <si>
    <t>Cape Trail Supplies</t>
  </si>
  <si>
    <t>L009</t>
  </si>
  <si>
    <t>SUPPLIER INVOICE - INVENTORY</t>
  </si>
  <si>
    <t>L010</t>
  </si>
  <si>
    <t>PAY-SUP-Jan</t>
  </si>
  <si>
    <t>Payment to inventory supplier</t>
  </si>
  <si>
    <t>L011</t>
  </si>
  <si>
    <t>L012</t>
  </si>
  <si>
    <t>PAYROLL-Jan</t>
  </si>
  <si>
    <t>Monthly payroll</t>
  </si>
  <si>
    <t>Payroll Expense</t>
  </si>
  <si>
    <t>Staff</t>
  </si>
  <si>
    <t>L013</t>
  </si>
  <si>
    <t>L014</t>
  </si>
  <si>
    <t>RENT-Jan</t>
  </si>
  <si>
    <t>Warehouse rent</t>
  </si>
  <si>
    <t>Rent Expense</t>
  </si>
  <si>
    <t>Moya Property Holdings</t>
  </si>
  <si>
    <t>L015</t>
  </si>
  <si>
    <t>L016</t>
  </si>
  <si>
    <t>MKT-Jan</t>
  </si>
  <si>
    <t>Online marketing spend</t>
  </si>
  <si>
    <t>Marketing Expense</t>
  </si>
  <si>
    <t>Digital Reach</t>
  </si>
  <si>
    <t>L017</t>
  </si>
  <si>
    <t>L018</t>
  </si>
  <si>
    <t>UTIL-Jan</t>
  </si>
  <si>
    <t>ELECTRICITY AND WATER</t>
  </si>
  <si>
    <t>Utilities Expense</t>
  </si>
  <si>
    <t>Municipal account</t>
  </si>
  <si>
    <t>L019</t>
  </si>
  <si>
    <t>Electricity and water</t>
  </si>
  <si>
    <t>L020</t>
  </si>
  <si>
    <t>CAPEX-Jan</t>
  </si>
  <si>
    <t>Packing and dispatch equipment purchase</t>
  </si>
  <si>
    <t>PackPro</t>
  </si>
  <si>
    <t>L021</t>
  </si>
  <si>
    <t>L022</t>
  </si>
  <si>
    <t>DEP-Jan</t>
  </si>
  <si>
    <t>Monthly depreciation charge</t>
  </si>
  <si>
    <t>Depreciation Expense</t>
  </si>
  <si>
    <t>Month-end journal</t>
  </si>
  <si>
    <t>L023</t>
  </si>
  <si>
    <t>L024</t>
  </si>
  <si>
    <t>INT-Jan</t>
  </si>
  <si>
    <t>Loan interest charge and payment</t>
  </si>
  <si>
    <t>Interest Expense</t>
  </si>
  <si>
    <t>L025</t>
  </si>
  <si>
    <t>L026</t>
  </si>
  <si>
    <t>LOAN-Jan</t>
  </si>
  <si>
    <t>Monthly loan principal payment</t>
  </si>
  <si>
    <t>L027</t>
  </si>
  <si>
    <t>MONTHLY LOAN PRINCIPAL PAYMENT</t>
  </si>
  <si>
    <t>L028</t>
  </si>
  <si>
    <t>TAX-Jan</t>
  </si>
  <si>
    <t>Income tax provision and payment</t>
  </si>
  <si>
    <t>Income Tax Expense</t>
  </si>
  <si>
    <t>Tax authority</t>
  </si>
  <si>
    <t>L029</t>
  </si>
  <si>
    <t>L030</t>
  </si>
  <si>
    <t>SALE-Feb-A</t>
  </si>
  <si>
    <t>Feb online orders - card settlement</t>
  </si>
  <si>
    <t>L031</t>
  </si>
  <si>
    <t>L032</t>
  </si>
  <si>
    <t>L033</t>
  </si>
  <si>
    <t>COLL-Feb</t>
  </si>
  <si>
    <t>L034</t>
  </si>
  <si>
    <t>L035</t>
  </si>
  <si>
    <t>COGS-Feb</t>
  </si>
  <si>
    <t>L036</t>
  </si>
  <si>
    <t>PRODUCT COST FOR SALES</t>
  </si>
  <si>
    <t>L037</t>
  </si>
  <si>
    <t>PUR-Feb</t>
  </si>
  <si>
    <t>L038</t>
  </si>
  <si>
    <t>L039</t>
  </si>
  <si>
    <t>PAY-SUP-Feb</t>
  </si>
  <si>
    <t>L040</t>
  </si>
  <si>
    <t>L041</t>
  </si>
  <si>
    <t>PAYROLL-Feb</t>
  </si>
  <si>
    <t>L042</t>
  </si>
  <si>
    <t>L043</t>
  </si>
  <si>
    <t>RENT-Feb</t>
  </si>
  <si>
    <t>L044</t>
  </si>
  <si>
    <t>L045</t>
  </si>
  <si>
    <t>MKT-Feb</t>
  </si>
  <si>
    <t>ONLINE MARKETING SPEND</t>
  </si>
  <si>
    <t>L046</t>
  </si>
  <si>
    <t>L047</t>
  </si>
  <si>
    <t>UTIL-Feb</t>
  </si>
  <si>
    <t>L048</t>
  </si>
  <si>
    <t>L049</t>
  </si>
  <si>
    <t>DEP-Feb</t>
  </si>
  <si>
    <t>L050</t>
  </si>
  <si>
    <t>L051</t>
  </si>
  <si>
    <t>INT-Feb</t>
  </si>
  <si>
    <t>L052</t>
  </si>
  <si>
    <t>L053</t>
  </si>
  <si>
    <t>LOAN-Feb</t>
  </si>
  <si>
    <t>L054</t>
  </si>
  <si>
    <t>L055</t>
  </si>
  <si>
    <t>TAX-Feb</t>
  </si>
  <si>
    <t>L056</t>
  </si>
  <si>
    <t>L057</t>
  </si>
  <si>
    <t>SALE-Mar-A</t>
  </si>
  <si>
    <t>Mar online orders - card settlement</t>
  </si>
  <si>
    <t>L058</t>
  </si>
  <si>
    <t>L059</t>
  </si>
  <si>
    <t>L060</t>
  </si>
  <si>
    <t>COLL-Mar</t>
  </si>
  <si>
    <t>L061</t>
  </si>
  <si>
    <t>L062</t>
  </si>
  <si>
    <t>COGS-Mar</t>
  </si>
  <si>
    <t>L063</t>
  </si>
  <si>
    <t>L064</t>
  </si>
  <si>
    <t>PUR-Mar</t>
  </si>
  <si>
    <t>L065</t>
  </si>
  <si>
    <t>L066</t>
  </si>
  <si>
    <t>PAY-SUP-Mar</t>
  </si>
  <si>
    <t>L067</t>
  </si>
  <si>
    <t>L068</t>
  </si>
  <si>
    <t>PAYROLL-Mar</t>
  </si>
  <si>
    <t>L069</t>
  </si>
  <si>
    <t>L070</t>
  </si>
  <si>
    <t>RENT-Mar</t>
  </si>
  <si>
    <t>L071</t>
  </si>
  <si>
    <t>L072</t>
  </si>
  <si>
    <t>MKT-Mar</t>
  </si>
  <si>
    <t>L073</t>
  </si>
  <si>
    <t>L074</t>
  </si>
  <si>
    <t>UTIL-Mar</t>
  </si>
  <si>
    <t>L075</t>
  </si>
  <si>
    <t>L076</t>
  </si>
  <si>
    <t>DEP-Mar</t>
  </si>
  <si>
    <t>L077</t>
  </si>
  <si>
    <t>L078</t>
  </si>
  <si>
    <t>INT-Mar</t>
  </si>
  <si>
    <t>L079</t>
  </si>
  <si>
    <t>L080</t>
  </si>
  <si>
    <t>LOAN-Mar</t>
  </si>
  <si>
    <t>L081</t>
  </si>
  <si>
    <t>L082</t>
  </si>
  <si>
    <t>TAX-Mar</t>
  </si>
  <si>
    <t>L083</t>
  </si>
  <si>
    <t>Journal reference (raw)</t>
  </si>
  <si>
    <t>Date (raw)</t>
  </si>
  <si>
    <t>Narrative (raw)</t>
  </si>
  <si>
    <t>Account name (raw)</t>
  </si>
  <si>
    <t>Debit (raw)</t>
  </si>
  <si>
    <t>Credit (raw)</t>
  </si>
  <si>
    <t>Counterparty (raw)</t>
  </si>
  <si>
    <t>Source file (raw)</t>
  </si>
  <si>
    <t>2026-01-03</t>
  </si>
  <si>
    <t>Capitec Current</t>
  </si>
  <si>
    <t>R35,000.00</t>
  </si>
  <si>
    <t>19 000.00</t>
  </si>
  <si>
    <t>54,000</t>
  </si>
  <si>
    <t>05/01/2026</t>
  </si>
  <si>
    <t>R 10 000.00</t>
  </si>
  <si>
    <t>Customer receivable</t>
  </si>
  <si>
    <t>R10,000.00</t>
  </si>
  <si>
    <t>2026/01/08</t>
  </si>
  <si>
    <t>Product cost</t>
  </si>
  <si>
    <t>22 680.00</t>
  </si>
  <si>
    <t>22,680</t>
  </si>
  <si>
    <t>12 Jan 2026</t>
  </si>
  <si>
    <t>R 25 000.00</t>
  </si>
  <si>
    <t>R25,000.00</t>
  </si>
  <si>
    <t>17 000.00</t>
  </si>
  <si>
    <t>15-01-26</t>
  </si>
  <si>
    <t>17,000</t>
  </si>
  <si>
    <t>01/21/2026</t>
  </si>
  <si>
    <t>R 15 500.00</t>
  </si>
  <si>
    <t>Business Account</t>
  </si>
  <si>
    <t>R15,500.00</t>
  </si>
  <si>
    <t>2026-01-25</t>
  </si>
  <si>
    <t>Warehouse Rent</t>
  </si>
  <si>
    <t>9 000.00</t>
  </si>
  <si>
    <t>Capitec bank</t>
  </si>
  <si>
    <t>9,000</t>
  </si>
  <si>
    <t>Jan 28, 2026</t>
  </si>
  <si>
    <t>Marketing</t>
  </si>
  <si>
    <t>R 3 500.00</t>
  </si>
  <si>
    <t>R3,500.00</t>
  </si>
  <si>
    <t>Power and water</t>
  </si>
  <si>
    <t>1 200.00</t>
  </si>
  <si>
    <t>1,200</t>
  </si>
  <si>
    <t>R 12 000.00</t>
  </si>
  <si>
    <t>R12,000.00</t>
  </si>
  <si>
    <t>Depn</t>
  </si>
  <si>
    <t>1 333.33</t>
  </si>
  <si>
    <t>Accum depn</t>
  </si>
  <si>
    <t>1,333</t>
  </si>
  <si>
    <t>Interest</t>
  </si>
  <si>
    <t>R 350.00</t>
  </si>
  <si>
    <t>R350.00</t>
  </si>
  <si>
    <t>2 000.00</t>
  </si>
  <si>
    <t>2,000</t>
  </si>
  <si>
    <t>Tax</t>
  </si>
  <si>
    <t>R 117.90</t>
  </si>
  <si>
    <t>R117.90</t>
  </si>
  <si>
    <t>2026-02-03</t>
  </si>
  <si>
    <t>R39,000.00</t>
  </si>
  <si>
    <t>20 000.00</t>
  </si>
  <si>
    <t>Online Sales</t>
  </si>
  <si>
    <t>59,000</t>
  </si>
  <si>
    <t>05/02/2026</t>
  </si>
  <si>
    <t>R 19 000.00</t>
  </si>
  <si>
    <t>Trade Debtors</t>
  </si>
  <si>
    <t>R19,000.00</t>
  </si>
  <si>
    <t>2026/02/08</t>
  </si>
  <si>
    <t>24 780.00</t>
  </si>
  <si>
    <t>Stock</t>
  </si>
  <si>
    <t>24,780</t>
  </si>
  <si>
    <t>12 Feb 2026</t>
  </si>
  <si>
    <t>R 28 000.00</t>
  </si>
  <si>
    <t>Suppliers Control</t>
  </si>
  <si>
    <t>R28,000.00</t>
  </si>
  <si>
    <t>15-02-26</t>
  </si>
  <si>
    <t>25 000.00</t>
  </si>
  <si>
    <t>25,000</t>
  </si>
  <si>
    <t>02/21/2026</t>
  </si>
  <si>
    <t>Wages &amp; Salaries</t>
  </si>
  <si>
    <t>2026-02-25</t>
  </si>
  <si>
    <t>Rent</t>
  </si>
  <si>
    <t>Feb 28, 2026</t>
  </si>
  <si>
    <t>Online advertising</t>
  </si>
  <si>
    <t>R 4 000.00</t>
  </si>
  <si>
    <t>R4,000.00</t>
  </si>
  <si>
    <t>Electricity &amp; Water</t>
  </si>
  <si>
    <t>Depreciation</t>
  </si>
  <si>
    <t>R 1 333,33</t>
  </si>
  <si>
    <t>Accumulated depreciation - equipment</t>
  </si>
  <si>
    <t>Loan interest</t>
  </si>
  <si>
    <t>325,00</t>
  </si>
  <si>
    <t>R 325.00</t>
  </si>
  <si>
    <t>Loan - Business</t>
  </si>
  <si>
    <t>R 2 000,00</t>
  </si>
  <si>
    <t>Taxation</t>
  </si>
  <si>
    <t>772,65</t>
  </si>
  <si>
    <t>R 772.65</t>
  </si>
  <si>
    <t>2026-03-03</t>
  </si>
  <si>
    <t>R 42 000.00</t>
  </si>
  <si>
    <t>R 24 000,00</t>
  </si>
  <si>
    <t>66 000.00</t>
  </si>
  <si>
    <t>05/03/2026</t>
  </si>
  <si>
    <t>20 000,00</t>
  </si>
  <si>
    <t>R 20 000.00</t>
  </si>
  <si>
    <t>2026/03/08</t>
  </si>
  <si>
    <t>COGS</t>
  </si>
  <si>
    <t>R 27 720,00</t>
  </si>
  <si>
    <t>Merchandise Stock</t>
  </si>
  <si>
    <t>27 720.00</t>
  </si>
  <si>
    <t>12 Mar 2026</t>
  </si>
  <si>
    <t>30 000,00</t>
  </si>
  <si>
    <t>Trade Creditors</t>
  </si>
  <si>
    <t>R 30 000.00</t>
  </si>
  <si>
    <t>15-03-26</t>
  </si>
  <si>
    <t>R 28 000,00</t>
  </si>
  <si>
    <t>28 000.00</t>
  </si>
  <si>
    <t>03/21/2026</t>
  </si>
  <si>
    <t>Salaries</t>
  </si>
  <si>
    <t>15 500,00</t>
  </si>
  <si>
    <t>2026-03-25</t>
  </si>
  <si>
    <t>Premises</t>
  </si>
  <si>
    <t>R 9 000,00</t>
  </si>
  <si>
    <t>Mar 28, 2026</t>
  </si>
  <si>
    <t>Digital Marketing</t>
  </si>
  <si>
    <t>5 000,00</t>
  </si>
  <si>
    <t>R 5 000.00</t>
  </si>
  <si>
    <t>Utilities</t>
  </si>
  <si>
    <t>R 1 200,00</t>
  </si>
  <si>
    <t>R300.00</t>
  </si>
  <si>
    <t>300,00</t>
  </si>
  <si>
    <t>Bank Loan</t>
  </si>
  <si>
    <t>R1,605.60</t>
  </si>
  <si>
    <t>1 605,60</t>
  </si>
  <si>
    <t>This is how I use the model</t>
  </si>
  <si>
    <t>Moya Trail Gear | 2026  Practice Financial Model</t>
  </si>
  <si>
    <t>BECAUSE YOU HAVE TO CHECK YOUR NUMBERS!!!</t>
  </si>
  <si>
    <t>Three-statement forecast practice data (raw data received from CHATGPT)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</si>
</sst>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[Red]\(#,##0\);\-"/>
    <numFmt numFmtId="165" formatCode="0.0%;[Red]\(0.0%\);\-"/>
    <numFmt numFmtId="166" formatCode="0.0"/>
    <numFmt numFmtId="167" formatCode="dd\-mmm\-yyyy"/>
  </numFmts>
  <fonts count="15" x14ac:knownFonts="1">
    <font>
      <sz val="11"/>
      <name val="Calibri"/>
      <charset val="1"/>
    </font>
    <font>
      <b/>
      <sz val="16"/>
      <color rgb="FFFFFFFF"/>
      <name val="Aptos Display"/>
      <charset val="1"/>
    </font>
    <font>
      <i/>
      <sz val="10"/>
      <color rgb="FF5B6573"/>
      <name val="Cambria"/>
      <charset val="1"/>
    </font>
    <font>
      <b/>
      <sz val="11"/>
      <color rgb="FFFFFFFF"/>
      <name val="Cambria"/>
      <charset val="1"/>
    </font>
    <font>
      <b/>
      <sz val="16"/>
      <color rgb="FF17365D"/>
      <name val="Cambria"/>
      <charset val="1"/>
    </font>
    <font>
      <b/>
      <sz val="11"/>
      <name val="Cambria"/>
      <charset val="1"/>
    </font>
    <font>
      <b/>
      <sz val="11"/>
      <color rgb="FF1F4E78"/>
      <name val="Cambria"/>
      <charset val="1"/>
    </font>
    <font>
      <sz val="11"/>
      <color rgb="FF0000FF"/>
      <name val="Cambria"/>
      <charset val="1"/>
    </font>
    <font>
      <sz val="11"/>
      <name val="Cambria"/>
      <charset val="1"/>
    </font>
    <font>
      <sz val="10"/>
      <color rgb="FF222222"/>
      <name val="Arial"/>
      <charset val="1"/>
    </font>
    <font>
      <b/>
      <sz val="16"/>
      <color rgb="FF243746"/>
      <name val="Arial"/>
      <charset val="1"/>
    </font>
    <font>
      <b/>
      <sz val="10"/>
      <color rgb="FF243746"/>
      <name val="Arial"/>
      <charset val="1"/>
    </font>
    <font>
      <b/>
      <sz val="12"/>
      <color rgb="FF243746"/>
      <name val="Arial"/>
      <charset val="1"/>
    </font>
    <font>
      <i/>
      <sz val="15"/>
      <color rgb="FF5B6573"/>
      <name val="Calibri"/>
      <family val="2"/>
    </font>
    <font>
      <sz val="12"/>
      <color rgb="FF52677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243746"/>
      </patternFill>
    </fill>
    <fill>
      <patternFill patternType="solid">
        <fgColor rgb="FF1F4E78"/>
        <bgColor rgb="FF156082"/>
      </patternFill>
    </fill>
    <fill>
      <patternFill patternType="solid">
        <fgColor rgb="FFD9EAF7"/>
        <bgColor rgb="FFD9D9D9"/>
      </patternFill>
    </fill>
    <fill>
      <patternFill patternType="solid">
        <fgColor rgb="FF0F6B78"/>
        <bgColor rgb="FF156082"/>
      </patternFill>
    </fill>
    <fill>
      <patternFill patternType="solid">
        <fgColor rgb="FFFFF2CC"/>
        <b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3" borderId="0" xfId="0" applyFont="1" applyFill="1"/>
    <xf numFmtId="0" fontId="2" fillId="0" borderId="0" xfId="0" applyFont="1" applyAlignment="1">
      <alignment vertical="center" wrapText="1"/>
    </xf>
    <xf numFmtId="0" fontId="1" fillId="2" borderId="0" xfId="0" applyFont="1" applyFill="1"/>
    <xf numFmtId="0" fontId="3" fillId="3" borderId="0" xfId="0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3" fillId="3" borderId="0" xfId="0" applyFont="1" applyFill="1"/>
    <xf numFmtId="0" fontId="5" fillId="0" borderId="0" xfId="0" applyFont="1"/>
    <xf numFmtId="165" fontId="0" fillId="0" borderId="0" xfId="0" applyNumberFormat="1"/>
    <xf numFmtId="164" fontId="0" fillId="0" borderId="0" xfId="0" applyNumberFormat="1"/>
    <xf numFmtId="0" fontId="6" fillId="0" borderId="1" xfId="0" applyFont="1" applyBorder="1"/>
    <xf numFmtId="0" fontId="0" fillId="0" borderId="1" xfId="0" applyBorder="1" applyAlignment="1">
      <alignment vertical="top" wrapText="1"/>
    </xf>
    <xf numFmtId="0" fontId="3" fillId="5" borderId="0" xfId="0" applyFont="1" applyFill="1"/>
    <xf numFmtId="17" fontId="3" fillId="5" borderId="0" xfId="0" applyNumberFormat="1" applyFont="1" applyFill="1"/>
    <xf numFmtId="165" fontId="7" fillId="6" borderId="1" xfId="0" applyNumberFormat="1" applyFont="1" applyFill="1" applyBorder="1"/>
    <xf numFmtId="0" fontId="8" fillId="0" borderId="0" xfId="0" applyFont="1"/>
    <xf numFmtId="166" fontId="7" fillId="6" borderId="1" xfId="0" applyNumberFormat="1" applyFont="1" applyFill="1" applyBorder="1"/>
    <xf numFmtId="164" fontId="7" fillId="6" borderId="1" xfId="0" applyNumberFormat="1" applyFont="1" applyFill="1" applyBorder="1"/>
    <xf numFmtId="17" fontId="3" fillId="5" borderId="0" xfId="0" applyNumberFormat="1" applyFont="1" applyFill="1" applyAlignment="1">
      <alignment horizontal="center"/>
    </xf>
    <xf numFmtId="0" fontId="3" fillId="2" borderId="0" xfId="0" applyFont="1" applyFill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7" fontId="9" fillId="0" borderId="0" xfId="0" applyNumberFormat="1" applyFont="1" applyAlignment="1">
      <alignment vertical="center"/>
    </xf>
    <xf numFmtId="14" fontId="0" fillId="0" borderId="0" xfId="0" applyNumberFormat="1"/>
    <xf numFmtId="0" fontId="3" fillId="2" borderId="2" xfId="0" applyFont="1" applyFill="1" applyBorder="1" applyAlignment="1">
      <alignment wrapText="1"/>
    </xf>
    <xf numFmtId="14" fontId="3" fillId="2" borderId="2" xfId="0" applyNumberFormat="1" applyFont="1" applyFill="1" applyBorder="1" applyAlignment="1">
      <alignment wrapText="1"/>
    </xf>
    <xf numFmtId="0" fontId="0" fillId="0" borderId="2" xfId="0" applyBorder="1"/>
    <xf numFmtId="14" fontId="0" fillId="0" borderId="2" xfId="0" applyNumberFormat="1" applyBorder="1"/>
    <xf numFmtId="0" fontId="1" fillId="2" borderId="2" xfId="0" applyFont="1" applyFill="1" applyBorder="1"/>
    <xf numFmtId="0" fontId="2" fillId="0" borderId="2" xfId="0" applyFont="1" applyBorder="1" applyAlignment="1">
      <alignment vertical="center" wrapText="1"/>
    </xf>
    <xf numFmtId="17" fontId="3" fillId="5" borderId="2" xfId="0" applyNumberFormat="1" applyFont="1" applyFill="1" applyBorder="1" applyAlignment="1">
      <alignment horizontal="center"/>
    </xf>
    <xf numFmtId="0" fontId="5" fillId="0" borderId="2" xfId="0" applyFont="1" applyBorder="1"/>
    <xf numFmtId="0" fontId="8" fillId="0" borderId="2" xfId="0" applyFont="1" applyBorder="1"/>
    <xf numFmtId="165" fontId="0" fillId="0" borderId="2" xfId="0" applyNumberFormat="1" applyBorder="1"/>
    <xf numFmtId="164" fontId="0" fillId="0" borderId="2" xfId="0" applyNumberFormat="1" applyBorder="1"/>
    <xf numFmtId="0" fontId="3" fillId="3" borderId="2" xfId="0" applyFont="1" applyFill="1" applyBorder="1"/>
    <xf numFmtId="166" fontId="0" fillId="0" borderId="2" xfId="0" applyNumberFormat="1" applyBorder="1"/>
    <xf numFmtId="0" fontId="13" fillId="0" borderId="0" xfId="0" applyFont="1" applyAlignment="1">
      <alignment vertical="center" wrapText="1"/>
    </xf>
    <xf numFmtId="0" fontId="14" fillId="0" borderId="0" xfId="0" applyFont="1"/>
  </cellXfs>
  <cellStyles count="1">
    <cellStyle name="Normal" xfId="0" builtinId="0"/>
  </cellStyles>
  <dxfs count="2">
    <dxf>
      <fill>
        <patternFill>
          <bgColor rgb="FFFCE4D6"/>
        </patternFill>
      </fill>
    </dxf>
    <dxf>
      <fill>
        <patternFill>
          <bgColor rgb="FFFCE4D6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5F20"/>
      <rgbColor rgb="FF000080"/>
      <rgbColor rgb="FF808000"/>
      <rgbColor rgb="FF800080"/>
      <rgbColor rgb="FF0F6B78"/>
      <rgbColor rgb="FFB7C9D6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526777"/>
      <rgbColor rgb="FF46B1E1"/>
      <rgbColor rgb="FF8ED973"/>
      <rgbColor rgb="FFFFCC00"/>
      <rgbColor rgb="FFFF9900"/>
      <rgbColor rgb="FFE97132"/>
      <rgbColor rgb="FF5B6573"/>
      <rgbColor rgb="FF889E89"/>
      <rgbColor rgb="FF17365D"/>
      <rgbColor rgb="FF4EA72E"/>
      <rgbColor rgb="FF003300"/>
      <rgbColor rgb="FF222222"/>
      <rgbColor rgb="FF993300"/>
      <rgbColor rgb="FF993366"/>
      <rgbColor rgb="FF1F4E78"/>
      <rgbColor rgb="FF2437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ZA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Revenue and 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60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'Income Statement'!$B$3:$M$3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'Income Statement'!$B$5:$M$5</c:f>
              <c:numCache>
                <c:formatCode>General</c:formatCode>
                <c:ptCount val="12"/>
                <c:pt idx="0">
                  <c:v>54000</c:v>
                </c:pt>
                <c:pt idx="1">
                  <c:v>59000</c:v>
                </c:pt>
                <c:pt idx="2">
                  <c:v>66000</c:v>
                </c:pt>
                <c:pt idx="3">
                  <c:v>71280</c:v>
                </c:pt>
                <c:pt idx="4">
                  <c:v>76982.400000000009</c:v>
                </c:pt>
                <c:pt idx="5">
                  <c:v>83140.992000000013</c:v>
                </c:pt>
                <c:pt idx="6">
                  <c:v>87298.041600000011</c:v>
                </c:pt>
                <c:pt idx="7">
                  <c:v>91662.943680000011</c:v>
                </c:pt>
                <c:pt idx="8">
                  <c:v>96246.090864000013</c:v>
                </c:pt>
                <c:pt idx="9">
                  <c:v>99133.473589920017</c:v>
                </c:pt>
                <c:pt idx="10">
                  <c:v>102107.47779761763</c:v>
                </c:pt>
                <c:pt idx="11">
                  <c:v>105170.70213154616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04-4CE1-B39D-C575B4BE4B33}"/>
            </c:ext>
          </c:extLst>
        </c:ser>
        <c:ser>
          <c:idx val="1"/>
          <c:order val="1"/>
          <c:spPr>
            <a:ln w="1260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'Income Statement'!$B$3:$M$3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'Income Statement'!$B$22:$M$22</c:f>
              <c:numCache>
                <c:formatCode>General</c:formatCode>
                <c:ptCount val="12"/>
                <c:pt idx="0">
                  <c:v>318.76999999999828</c:v>
                </c:pt>
                <c:pt idx="1">
                  <c:v>2089.0199999999982</c:v>
                </c:pt>
                <c:pt idx="2">
                  <c:v>4341.0699999999979</c:v>
                </c:pt>
                <c:pt idx="3">
                  <c:v>6521.8711000000003</c:v>
                </c:pt>
                <c:pt idx="4">
                  <c:v>8954.5172600000005</c:v>
                </c:pt>
                <c:pt idx="5">
                  <c:v>11580.315112800003</c:v>
                </c:pt>
                <c:pt idx="6">
                  <c:v>11697.909913440006</c:v>
                </c:pt>
                <c:pt idx="7">
                  <c:v>13929.259454112002</c:v>
                </c:pt>
                <c:pt idx="8">
                  <c:v>15888.013971817607</c:v>
                </c:pt>
                <c:pt idx="9">
                  <c:v>17128.781817972136</c:v>
                </c:pt>
                <c:pt idx="10">
                  <c:v>18406.225199511304</c:v>
                </c:pt>
                <c:pt idx="11">
                  <c:v>19721.444382496644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04-4CE1-B39D-C575B4BE4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079765"/>
        <c:axId val="65467825"/>
      </c:lineChart>
      <c:dateAx>
        <c:axId val="30797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ZA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65467825"/>
        <c:crosses val="autoZero"/>
        <c:auto val="1"/>
        <c:lblOffset val="100"/>
        <c:baseTimeUnit val="months"/>
      </c:dateAx>
      <c:valAx>
        <c:axId val="6546782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ZA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ZAR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3079765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ZA"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Closing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60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'Balance Sheet'!$B$3:$M$3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'Balance Sheet'!$B$5:$M$5</c:f>
              <c:numCache>
                <c:formatCode>General</c:formatCode>
                <c:ptCount val="12"/>
                <c:pt idx="0">
                  <c:v>52332.1</c:v>
                </c:pt>
                <c:pt idx="1">
                  <c:v>52534.45</c:v>
                </c:pt>
                <c:pt idx="2">
                  <c:v>51928.849999999991</c:v>
                </c:pt>
                <c:pt idx="3">
                  <c:v>55209.651099999988</c:v>
                </c:pt>
                <c:pt idx="4">
                  <c:v>64932.634359999989</c:v>
                </c:pt>
                <c:pt idx="5">
                  <c:v>72089.53835279998</c:v>
                </c:pt>
                <c:pt idx="6">
                  <c:v>63084.978010239982</c:v>
                </c:pt>
                <c:pt idx="7">
                  <c:v>73684.977195551983</c:v>
                </c:pt>
                <c:pt idx="8">
                  <c:v>86110.601385129587</c:v>
                </c:pt>
                <c:pt idx="9">
                  <c:v>100811.40974029052</c:v>
                </c:pt>
                <c:pt idx="10">
                  <c:v>116736.82237310628</c:v>
                </c:pt>
                <c:pt idx="11">
                  <c:v>133923.02991190652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8C-4A79-B72E-CBA9D3A92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642788"/>
        <c:axId val="79832528"/>
      </c:lineChart>
      <c:dateAx>
        <c:axId val="316427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ZA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9832528"/>
        <c:crosses val="autoZero"/>
        <c:auto val="1"/>
        <c:lblOffset val="100"/>
        <c:baseTimeUnit val="months"/>
      </c:dateAx>
      <c:valAx>
        <c:axId val="79832528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ZA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ZAR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31642788"/>
        <c:crosses val="autoZero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7</xdr:col>
      <xdr:colOff>1656360</xdr:colOff>
      <xdr:row>19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0</xdr:rowOff>
    </xdr:from>
    <xdr:to>
      <xdr:col>7</xdr:col>
      <xdr:colOff>1656360</xdr:colOff>
      <xdr:row>33</xdr:row>
      <xdr:rowOff>43200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6B78"/>
  </sheetPr>
  <dimension ref="A1:M21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20" sqref="I20"/>
    </sheetView>
  </sheetViews>
  <sheetFormatPr defaultColWidth="8.6328125" defaultRowHeight="14.5" x14ac:dyDescent="0.35"/>
  <cols>
    <col min="1" max="1" width="3" customWidth="1"/>
    <col min="2" max="2" width="29" customWidth="1"/>
    <col min="3" max="3" width="20" customWidth="1"/>
    <col min="4" max="4" width="4" customWidth="1"/>
    <col min="5" max="5" width="26" customWidth="1"/>
    <col min="6" max="6" width="18" customWidth="1"/>
    <col min="7" max="7" width="4" customWidth="1"/>
    <col min="8" max="8" width="26" customWidth="1"/>
    <col min="9" max="9" width="18" customWidth="1"/>
    <col min="10" max="10" width="4" customWidth="1"/>
    <col min="11" max="11" width="20" customWidth="1"/>
    <col min="12" max="13" width="16" customWidth="1"/>
  </cols>
  <sheetData>
    <row r="1" spans="1:13" ht="28.5" customHeight="1" x14ac:dyDescent="0.5">
      <c r="A1" s="5" t="s">
        <v>517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8.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x14ac:dyDescent="0.35">
      <c r="B4" s="6" t="s">
        <v>0</v>
      </c>
      <c r="E4" s="6" t="s">
        <v>1</v>
      </c>
      <c r="H4" s="6" t="s">
        <v>2</v>
      </c>
      <c r="K4" s="6" t="s">
        <v>3</v>
      </c>
    </row>
    <row r="5" spans="1:13" ht="20" x14ac:dyDescent="0.4">
      <c r="B5" s="7">
        <f>SUM('Income Statement'!B5:M5)</f>
        <v>992022.12166308379</v>
      </c>
      <c r="E5" s="7">
        <f>SUM('Income Statement'!B22:M22)</f>
        <v>130577.1982121497</v>
      </c>
      <c r="H5" s="7">
        <f>'Balance Sheet'!M5</f>
        <v>133923.02991190652</v>
      </c>
      <c r="K5" s="7">
        <f>'Balance Sheet'!M23</f>
        <v>0</v>
      </c>
    </row>
    <row r="7" spans="1:13" x14ac:dyDescent="0.35">
      <c r="B7" s="3" t="s">
        <v>4</v>
      </c>
      <c r="C7" s="3"/>
    </row>
    <row r="8" spans="1:13" x14ac:dyDescent="0.35">
      <c r="B8" s="9" t="s">
        <v>5</v>
      </c>
      <c r="C8" t="s">
        <v>6</v>
      </c>
    </row>
    <row r="9" spans="1:13" x14ac:dyDescent="0.35">
      <c r="B9" s="9" t="s">
        <v>7</v>
      </c>
      <c r="C9" t="s">
        <v>8</v>
      </c>
    </row>
    <row r="10" spans="1:13" x14ac:dyDescent="0.35">
      <c r="B10" s="9" t="s">
        <v>9</v>
      </c>
      <c r="C10" s="10">
        <f>Assumptions!B4</f>
        <v>0.08</v>
      </c>
    </row>
    <row r="11" spans="1:13" x14ac:dyDescent="0.35">
      <c r="B11" s="9" t="s">
        <v>10</v>
      </c>
      <c r="C11" s="10">
        <f>Assumptions!B7</f>
        <v>0.42</v>
      </c>
    </row>
    <row r="12" spans="1:13" x14ac:dyDescent="0.35">
      <c r="B12" s="9" t="s">
        <v>11</v>
      </c>
      <c r="C12" t="str">
        <f>Assumptions!B5&amp;" / "&amp;Assumptions!B6</f>
        <v>0,6 / 0,4</v>
      </c>
    </row>
    <row r="13" spans="1:13" x14ac:dyDescent="0.35">
      <c r="B13" s="9" t="s">
        <v>12</v>
      </c>
      <c r="C13" s="11">
        <f>Assumptions!E14</f>
        <v>18000</v>
      </c>
    </row>
    <row r="14" spans="1:13" x14ac:dyDescent="0.35">
      <c r="B14" s="9" t="s">
        <v>13</v>
      </c>
      <c r="C14" s="11">
        <f>Assumptions!B18</f>
        <v>2000</v>
      </c>
    </row>
    <row r="15" spans="1:13" x14ac:dyDescent="0.35">
      <c r="B15" s="9" t="s">
        <v>14</v>
      </c>
      <c r="C15" t="str">
        <f>IF(COUNTIF(Checks!B14:M14,"REVIEW")=0,"PASS","REVIEW")</f>
        <v>PASS</v>
      </c>
    </row>
    <row r="17" spans="2:3" x14ac:dyDescent="0.35">
      <c r="B17" s="3"/>
      <c r="C17" s="3"/>
    </row>
    <row r="18" spans="2:3" ht="15" customHeight="1" x14ac:dyDescent="0.35">
      <c r="B18" s="2"/>
      <c r="C18" s="2"/>
    </row>
    <row r="19" spans="2:3" x14ac:dyDescent="0.35">
      <c r="B19" s="2"/>
      <c r="C19" s="2"/>
    </row>
    <row r="20" spans="2:3" x14ac:dyDescent="0.35">
      <c r="B20" s="2"/>
      <c r="C20" s="2"/>
    </row>
    <row r="21" spans="2:3" x14ac:dyDescent="0.35">
      <c r="B21" s="2"/>
      <c r="C21" s="2"/>
    </row>
  </sheetData>
  <mergeCells count="5">
    <mergeCell ref="A1:M1"/>
    <mergeCell ref="A2:M2"/>
    <mergeCell ref="B7:C7"/>
    <mergeCell ref="B17:C17"/>
    <mergeCell ref="B18:C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showGridLines="0" zoomScaleNormal="100" workbookViewId="0">
      <pane ySplit="3" topLeftCell="A4" activePane="bottomLeft" state="frozen"/>
      <selection pane="bottomLeft" activeCell="B4" sqref="B4"/>
    </sheetView>
  </sheetViews>
  <sheetFormatPr defaultColWidth="8.6328125" defaultRowHeight="14.5" x14ac:dyDescent="0.35"/>
  <cols>
    <col min="1" max="1" width="27" customWidth="1"/>
    <col min="2" max="2" width="105" customWidth="1"/>
  </cols>
  <sheetData>
    <row r="1" spans="1:13" ht="28.5" customHeight="1" x14ac:dyDescent="0.5">
      <c r="A1" s="5" t="s">
        <v>516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8.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ht="37.5" customHeight="1" x14ac:dyDescent="0.35">
      <c r="A4" s="12" t="s">
        <v>15</v>
      </c>
      <c r="B4" s="13" t="s">
        <v>16</v>
      </c>
    </row>
    <row r="5" spans="1:13" ht="37.5" customHeight="1" x14ac:dyDescent="0.35">
      <c r="A5" s="12" t="s">
        <v>17</v>
      </c>
      <c r="B5" s="13" t="s">
        <v>18</v>
      </c>
    </row>
    <row r="6" spans="1:13" ht="37.5" customHeight="1" x14ac:dyDescent="0.35">
      <c r="A6" s="12" t="s">
        <v>19</v>
      </c>
      <c r="B6" s="13" t="s">
        <v>20</v>
      </c>
    </row>
    <row r="7" spans="1:13" ht="37.5" customHeight="1" x14ac:dyDescent="0.35">
      <c r="A7" s="12" t="s">
        <v>21</v>
      </c>
      <c r="B7" s="13" t="s">
        <v>22</v>
      </c>
    </row>
    <row r="8" spans="1:13" ht="37.5" customHeight="1" x14ac:dyDescent="0.35">
      <c r="A8" s="12" t="s">
        <v>23</v>
      </c>
      <c r="B8" s="13" t="s">
        <v>24</v>
      </c>
    </row>
    <row r="9" spans="1:13" ht="37.5" customHeight="1" x14ac:dyDescent="0.35">
      <c r="A9" s="12" t="s">
        <v>25</v>
      </c>
      <c r="B9" s="13" t="s">
        <v>26</v>
      </c>
    </row>
    <row r="10" spans="1:13" ht="37.5" customHeight="1" x14ac:dyDescent="0.35">
      <c r="A10" s="12" t="s">
        <v>27</v>
      </c>
      <c r="B10" s="13" t="s">
        <v>28</v>
      </c>
    </row>
    <row r="11" spans="1:13" ht="37.5" customHeight="1" x14ac:dyDescent="0.35">
      <c r="A11" s="12" t="s">
        <v>29</v>
      </c>
      <c r="B11" s="13" t="s">
        <v>30</v>
      </c>
    </row>
    <row r="12" spans="1:13" ht="37.5" customHeight="1" x14ac:dyDescent="0.35">
      <c r="A12" s="12" t="s">
        <v>31</v>
      </c>
      <c r="B12" s="13" t="s">
        <v>32</v>
      </c>
    </row>
    <row r="13" spans="1:13" ht="37.5" customHeight="1" x14ac:dyDescent="0.35">
      <c r="A13" s="12" t="s">
        <v>33</v>
      </c>
      <c r="B13" s="13" t="s">
        <v>34</v>
      </c>
    </row>
    <row r="14" spans="1:13" ht="37.5" customHeight="1" x14ac:dyDescent="0.35">
      <c r="A14" s="12" t="s">
        <v>35</v>
      </c>
      <c r="B14" s="13" t="s">
        <v>36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7"/>
  <sheetViews>
    <sheetView showGridLines="0" zoomScaleNormal="100" workbookViewId="0">
      <pane ySplit="1" topLeftCell="A2" activePane="bottomLeft" state="frozen"/>
      <selection pane="bottomLeft" activeCell="D14" sqref="D14"/>
    </sheetView>
  </sheetViews>
  <sheetFormatPr defaultColWidth="8.6328125" defaultRowHeight="14.5" x14ac:dyDescent="0.35"/>
  <cols>
    <col min="1" max="1" width="15" customWidth="1"/>
    <col min="2" max="2" width="22" customWidth="1"/>
    <col min="3" max="3" width="19" customWidth="1"/>
    <col min="4" max="4" width="38" customWidth="1"/>
    <col min="5" max="5" width="37" customWidth="1"/>
    <col min="6" max="7" width="22" customWidth="1"/>
    <col min="8" max="9" width="26" customWidth="1"/>
  </cols>
  <sheetData>
    <row r="1" spans="1:9" ht="31.5" customHeight="1" x14ac:dyDescent="0.35">
      <c r="A1" s="21" t="s">
        <v>211</v>
      </c>
      <c r="B1" s="21" t="s">
        <v>383</v>
      </c>
      <c r="C1" s="21" t="s">
        <v>384</v>
      </c>
      <c r="D1" s="21" t="s">
        <v>385</v>
      </c>
      <c r="E1" s="21" t="s">
        <v>386</v>
      </c>
      <c r="F1" s="21" t="s">
        <v>387</v>
      </c>
      <c r="G1" s="21" t="s">
        <v>388</v>
      </c>
      <c r="H1" s="21" t="s">
        <v>389</v>
      </c>
      <c r="I1" s="21" t="s">
        <v>390</v>
      </c>
    </row>
    <row r="2" spans="1:9" x14ac:dyDescent="0.35">
      <c r="A2" s="26" t="s">
        <v>219</v>
      </c>
      <c r="B2" s="26" t="s">
        <v>220</v>
      </c>
      <c r="C2" s="26" t="s">
        <v>391</v>
      </c>
      <c r="D2" s="26" t="s">
        <v>221</v>
      </c>
      <c r="E2" s="26" t="s">
        <v>392</v>
      </c>
      <c r="F2" s="26" t="s">
        <v>393</v>
      </c>
      <c r="G2" s="26"/>
      <c r="H2" s="26" t="s">
        <v>222</v>
      </c>
      <c r="I2" s="26" t="s">
        <v>223</v>
      </c>
    </row>
    <row r="3" spans="1:9" x14ac:dyDescent="0.35">
      <c r="A3" s="26" t="s">
        <v>224</v>
      </c>
      <c r="B3" s="26" t="s">
        <v>220</v>
      </c>
      <c r="C3" s="26" t="s">
        <v>391</v>
      </c>
      <c r="D3" s="26" t="s">
        <v>221</v>
      </c>
      <c r="E3" s="26" t="s">
        <v>199</v>
      </c>
      <c r="F3" s="26" t="s">
        <v>394</v>
      </c>
      <c r="G3" s="26"/>
      <c r="H3" s="26" t="s">
        <v>222</v>
      </c>
      <c r="I3" s="26" t="s">
        <v>223</v>
      </c>
    </row>
    <row r="4" spans="1:9" x14ac:dyDescent="0.35">
      <c r="A4" s="26" t="s">
        <v>225</v>
      </c>
      <c r="B4" s="26" t="s">
        <v>220</v>
      </c>
      <c r="C4" s="26" t="s">
        <v>391</v>
      </c>
      <c r="D4" s="26" t="s">
        <v>221</v>
      </c>
      <c r="E4" s="26" t="s">
        <v>182</v>
      </c>
      <c r="F4" s="26"/>
      <c r="G4" s="26" t="s">
        <v>395</v>
      </c>
      <c r="H4" s="26" t="s">
        <v>222</v>
      </c>
      <c r="I4" s="26" t="s">
        <v>223</v>
      </c>
    </row>
    <row r="5" spans="1:9" x14ac:dyDescent="0.35">
      <c r="A5" s="26" t="s">
        <v>227</v>
      </c>
      <c r="B5" s="26" t="s">
        <v>228</v>
      </c>
      <c r="C5" s="26" t="s">
        <v>396</v>
      </c>
      <c r="D5" s="26" t="s">
        <v>229</v>
      </c>
      <c r="E5" s="26" t="s">
        <v>197</v>
      </c>
      <c r="F5" s="26" t="s">
        <v>397</v>
      </c>
      <c r="G5" s="26"/>
      <c r="H5" s="26" t="s">
        <v>230</v>
      </c>
      <c r="I5" s="26" t="s">
        <v>223</v>
      </c>
    </row>
    <row r="6" spans="1:9" x14ac:dyDescent="0.35">
      <c r="A6" s="26" t="s">
        <v>231</v>
      </c>
      <c r="B6" s="26" t="s">
        <v>228</v>
      </c>
      <c r="C6" s="26" t="s">
        <v>396</v>
      </c>
      <c r="D6" s="26" t="s">
        <v>229</v>
      </c>
      <c r="E6" s="26" t="s">
        <v>398</v>
      </c>
      <c r="F6" s="26"/>
      <c r="G6" s="26" t="s">
        <v>399</v>
      </c>
      <c r="H6" s="26" t="s">
        <v>230</v>
      </c>
      <c r="I6" s="26" t="s">
        <v>223</v>
      </c>
    </row>
    <row r="7" spans="1:9" x14ac:dyDescent="0.35">
      <c r="A7" s="26" t="s">
        <v>232</v>
      </c>
      <c r="B7" s="26" t="s">
        <v>233</v>
      </c>
      <c r="C7" s="26" t="s">
        <v>400</v>
      </c>
      <c r="D7" s="26" t="s">
        <v>234</v>
      </c>
      <c r="E7" s="26" t="s">
        <v>401</v>
      </c>
      <c r="F7" s="26" t="s">
        <v>402</v>
      </c>
      <c r="G7" s="26"/>
      <c r="H7" s="26" t="s">
        <v>87</v>
      </c>
      <c r="I7" s="26" t="s">
        <v>223</v>
      </c>
    </row>
    <row r="8" spans="1:9" x14ac:dyDescent="0.35">
      <c r="A8" s="26" t="s">
        <v>236</v>
      </c>
      <c r="B8" s="26" t="s">
        <v>233</v>
      </c>
      <c r="C8" s="26" t="s">
        <v>400</v>
      </c>
      <c r="D8" s="26" t="s">
        <v>234</v>
      </c>
      <c r="E8" s="26" t="s">
        <v>87</v>
      </c>
      <c r="F8" s="26"/>
      <c r="G8" s="26" t="s">
        <v>403</v>
      </c>
      <c r="H8" s="26" t="s">
        <v>87</v>
      </c>
      <c r="I8" s="26" t="s">
        <v>223</v>
      </c>
    </row>
    <row r="9" spans="1:9" x14ac:dyDescent="0.35">
      <c r="A9" s="26" t="s">
        <v>237</v>
      </c>
      <c r="B9" s="26" t="s">
        <v>238</v>
      </c>
      <c r="C9" s="26" t="s">
        <v>404</v>
      </c>
      <c r="D9" s="26" t="s">
        <v>239</v>
      </c>
      <c r="E9" s="26" t="s">
        <v>87</v>
      </c>
      <c r="F9" s="26" t="s">
        <v>405</v>
      </c>
      <c r="G9" s="26"/>
      <c r="H9" s="26" t="s">
        <v>240</v>
      </c>
      <c r="I9" s="26" t="s">
        <v>223</v>
      </c>
    </row>
    <row r="10" spans="1:9" x14ac:dyDescent="0.35">
      <c r="A10" s="26" t="s">
        <v>241</v>
      </c>
      <c r="B10" s="26" t="s">
        <v>238</v>
      </c>
      <c r="C10" s="26" t="s">
        <v>404</v>
      </c>
      <c r="D10" s="26" t="s">
        <v>242</v>
      </c>
      <c r="E10" s="26" t="s">
        <v>204</v>
      </c>
      <c r="F10" s="26"/>
      <c r="G10" s="26" t="s">
        <v>406</v>
      </c>
      <c r="H10" s="26" t="s">
        <v>240</v>
      </c>
      <c r="I10" s="26" t="s">
        <v>223</v>
      </c>
    </row>
    <row r="11" spans="1:9" x14ac:dyDescent="0.35">
      <c r="A11" s="26" t="s">
        <v>243</v>
      </c>
      <c r="B11" s="26" t="s">
        <v>244</v>
      </c>
      <c r="C11" s="28">
        <v>42030</v>
      </c>
      <c r="D11" s="26" t="s">
        <v>245</v>
      </c>
      <c r="E11" s="26" t="s">
        <v>204</v>
      </c>
      <c r="F11" s="26" t="s">
        <v>407</v>
      </c>
      <c r="G11" s="26"/>
      <c r="H11" s="26" t="s">
        <v>240</v>
      </c>
      <c r="I11" s="26" t="s">
        <v>223</v>
      </c>
    </row>
    <row r="12" spans="1:9" x14ac:dyDescent="0.35">
      <c r="A12" s="26" t="s">
        <v>246</v>
      </c>
      <c r="B12" s="26" t="s">
        <v>244</v>
      </c>
      <c r="C12" s="26" t="s">
        <v>408</v>
      </c>
      <c r="D12" s="26" t="s">
        <v>245</v>
      </c>
      <c r="E12" s="26" t="s">
        <v>197</v>
      </c>
      <c r="F12" s="26"/>
      <c r="G12" s="26" t="s">
        <v>409</v>
      </c>
      <c r="H12" s="26" t="s">
        <v>240</v>
      </c>
      <c r="I12" s="26" t="s">
        <v>223</v>
      </c>
    </row>
    <row r="13" spans="1:9" x14ac:dyDescent="0.35">
      <c r="A13" s="26" t="s">
        <v>247</v>
      </c>
      <c r="B13" s="26" t="s">
        <v>248</v>
      </c>
      <c r="C13" s="26" t="s">
        <v>410</v>
      </c>
      <c r="D13" s="26" t="s">
        <v>249</v>
      </c>
      <c r="E13" s="26" t="s">
        <v>70</v>
      </c>
      <c r="F13" s="26" t="s">
        <v>411</v>
      </c>
      <c r="G13" s="26"/>
      <c r="H13" s="26" t="s">
        <v>251</v>
      </c>
      <c r="I13" s="26" t="s">
        <v>223</v>
      </c>
    </row>
    <row r="14" spans="1:9" x14ac:dyDescent="0.35">
      <c r="A14" s="26" t="s">
        <v>252</v>
      </c>
      <c r="B14" s="26" t="s">
        <v>248</v>
      </c>
      <c r="C14" s="26" t="s">
        <v>410</v>
      </c>
      <c r="D14" s="26" t="s">
        <v>249</v>
      </c>
      <c r="E14" s="26" t="s">
        <v>412</v>
      </c>
      <c r="F14" s="26"/>
      <c r="G14" s="26" t="s">
        <v>413</v>
      </c>
      <c r="H14" s="26"/>
      <c r="I14" s="26" t="s">
        <v>223</v>
      </c>
    </row>
    <row r="15" spans="1:9" x14ac:dyDescent="0.35">
      <c r="A15" s="26" t="s">
        <v>253</v>
      </c>
      <c r="B15" s="26" t="s">
        <v>254</v>
      </c>
      <c r="C15" s="26" t="s">
        <v>414</v>
      </c>
      <c r="D15" s="26" t="s">
        <v>255</v>
      </c>
      <c r="E15" s="26" t="s">
        <v>415</v>
      </c>
      <c r="F15" s="26" t="s">
        <v>416</v>
      </c>
      <c r="G15" s="26"/>
      <c r="H15" s="26" t="s">
        <v>257</v>
      </c>
      <c r="I15" s="26" t="s">
        <v>223</v>
      </c>
    </row>
    <row r="16" spans="1:9" x14ac:dyDescent="0.35">
      <c r="A16" s="26" t="s">
        <v>258</v>
      </c>
      <c r="B16" s="26" t="s">
        <v>254</v>
      </c>
      <c r="C16" s="26" t="s">
        <v>414</v>
      </c>
      <c r="D16" s="26" t="s">
        <v>255</v>
      </c>
      <c r="E16" s="26" t="s">
        <v>417</v>
      </c>
      <c r="F16" s="26"/>
      <c r="G16" s="26" t="s">
        <v>418</v>
      </c>
      <c r="H16" s="26" t="s">
        <v>257</v>
      </c>
      <c r="I16" s="26" t="s">
        <v>223</v>
      </c>
    </row>
    <row r="17" spans="1:9" x14ac:dyDescent="0.35">
      <c r="A17" s="26" t="s">
        <v>259</v>
      </c>
      <c r="B17" s="26" t="s">
        <v>260</v>
      </c>
      <c r="C17" s="26" t="s">
        <v>419</v>
      </c>
      <c r="D17" s="26" t="s">
        <v>261</v>
      </c>
      <c r="E17" s="26" t="s">
        <v>420</v>
      </c>
      <c r="F17" s="26" t="s">
        <v>421</v>
      </c>
      <c r="G17" s="26"/>
      <c r="H17" s="26" t="s">
        <v>263</v>
      </c>
      <c r="I17" s="26" t="s">
        <v>223</v>
      </c>
    </row>
    <row r="18" spans="1:9" x14ac:dyDescent="0.35">
      <c r="A18" s="26" t="s">
        <v>264</v>
      </c>
      <c r="B18" s="26" t="s">
        <v>260</v>
      </c>
      <c r="C18" s="26" t="s">
        <v>419</v>
      </c>
      <c r="D18" s="26" t="s">
        <v>261</v>
      </c>
      <c r="E18" s="26" t="s">
        <v>392</v>
      </c>
      <c r="F18" s="26"/>
      <c r="G18" s="26" t="s">
        <v>422</v>
      </c>
      <c r="H18" s="26" t="s">
        <v>263</v>
      </c>
      <c r="I18" s="26" t="s">
        <v>223</v>
      </c>
    </row>
    <row r="19" spans="1:9" x14ac:dyDescent="0.35">
      <c r="A19" s="26" t="s">
        <v>265</v>
      </c>
      <c r="B19" s="26" t="s">
        <v>266</v>
      </c>
      <c r="C19" s="26" t="s">
        <v>391</v>
      </c>
      <c r="D19" s="26" t="s">
        <v>267</v>
      </c>
      <c r="E19" s="26" t="s">
        <v>423</v>
      </c>
      <c r="F19" s="26" t="s">
        <v>424</v>
      </c>
      <c r="G19" s="26"/>
      <c r="H19" s="26" t="s">
        <v>269</v>
      </c>
      <c r="I19" s="26" t="s">
        <v>223</v>
      </c>
    </row>
    <row r="20" spans="1:9" x14ac:dyDescent="0.35">
      <c r="A20" s="26" t="s">
        <v>270</v>
      </c>
      <c r="B20" s="26" t="s">
        <v>266</v>
      </c>
      <c r="C20" s="26" t="s">
        <v>391</v>
      </c>
      <c r="D20" s="26" t="s">
        <v>271</v>
      </c>
      <c r="E20" s="26" t="s">
        <v>197</v>
      </c>
      <c r="F20" s="26"/>
      <c r="G20" s="26" t="s">
        <v>425</v>
      </c>
      <c r="H20" s="26" t="s">
        <v>269</v>
      </c>
      <c r="I20" s="26" t="s">
        <v>223</v>
      </c>
    </row>
    <row r="21" spans="1:9" x14ac:dyDescent="0.35">
      <c r="A21" s="26" t="s">
        <v>272</v>
      </c>
      <c r="B21" s="26" t="s">
        <v>273</v>
      </c>
      <c r="C21" s="26" t="s">
        <v>396</v>
      </c>
      <c r="D21" s="26" t="s">
        <v>274</v>
      </c>
      <c r="E21" s="26" t="s">
        <v>187</v>
      </c>
      <c r="F21" s="26" t="s">
        <v>426</v>
      </c>
      <c r="G21" s="26"/>
      <c r="H21" s="26" t="s">
        <v>275</v>
      </c>
      <c r="I21" s="26" t="s">
        <v>223</v>
      </c>
    </row>
    <row r="22" spans="1:9" x14ac:dyDescent="0.35">
      <c r="A22" s="26" t="s">
        <v>276</v>
      </c>
      <c r="B22" s="26" t="s">
        <v>273</v>
      </c>
      <c r="C22" s="26" t="s">
        <v>396</v>
      </c>
      <c r="D22" s="26" t="s">
        <v>274</v>
      </c>
      <c r="E22" s="26" t="s">
        <v>412</v>
      </c>
      <c r="F22" s="26"/>
      <c r="G22" s="26" t="s">
        <v>427</v>
      </c>
      <c r="H22" s="26" t="s">
        <v>275</v>
      </c>
      <c r="I22" s="26" t="s">
        <v>223</v>
      </c>
    </row>
    <row r="23" spans="1:9" x14ac:dyDescent="0.35">
      <c r="A23" s="26" t="s">
        <v>277</v>
      </c>
      <c r="B23" s="26" t="s">
        <v>278</v>
      </c>
      <c r="C23" s="26" t="s">
        <v>400</v>
      </c>
      <c r="D23" s="26" t="s">
        <v>279</v>
      </c>
      <c r="E23" s="26" t="s">
        <v>428</v>
      </c>
      <c r="F23" s="26" t="s">
        <v>429</v>
      </c>
      <c r="G23" s="26"/>
      <c r="H23" s="26" t="s">
        <v>281</v>
      </c>
      <c r="I23" s="26" t="s">
        <v>223</v>
      </c>
    </row>
    <row r="24" spans="1:9" x14ac:dyDescent="0.35">
      <c r="A24" s="26" t="s">
        <v>282</v>
      </c>
      <c r="B24" s="26" t="s">
        <v>278</v>
      </c>
      <c r="C24" s="26" t="s">
        <v>400</v>
      </c>
      <c r="D24" s="26" t="s">
        <v>279</v>
      </c>
      <c r="E24" s="26" t="s">
        <v>430</v>
      </c>
      <c r="F24" s="26"/>
      <c r="G24" s="26" t="s">
        <v>431</v>
      </c>
      <c r="H24" s="26" t="s">
        <v>281</v>
      </c>
      <c r="I24" s="26" t="s">
        <v>223</v>
      </c>
    </row>
    <row r="25" spans="1:9" x14ac:dyDescent="0.35">
      <c r="A25" s="26" t="s">
        <v>283</v>
      </c>
      <c r="B25" s="26" t="s">
        <v>284</v>
      </c>
      <c r="C25" s="26" t="s">
        <v>404</v>
      </c>
      <c r="D25" s="26" t="s">
        <v>285</v>
      </c>
      <c r="E25" s="26" t="s">
        <v>432</v>
      </c>
      <c r="F25" s="26" t="s">
        <v>433</v>
      </c>
      <c r="G25" s="26"/>
      <c r="H25" s="26" t="s">
        <v>197</v>
      </c>
      <c r="I25" s="26" t="s">
        <v>223</v>
      </c>
    </row>
    <row r="26" spans="1:9" x14ac:dyDescent="0.35">
      <c r="A26" s="26" t="s">
        <v>287</v>
      </c>
      <c r="B26" s="26" t="s">
        <v>284</v>
      </c>
      <c r="C26" s="26" t="s">
        <v>404</v>
      </c>
      <c r="D26" s="26" t="s">
        <v>285</v>
      </c>
      <c r="E26" s="26" t="s">
        <v>392</v>
      </c>
      <c r="F26" s="26"/>
      <c r="G26" s="26" t="s">
        <v>434</v>
      </c>
      <c r="H26" s="26" t="s">
        <v>197</v>
      </c>
      <c r="I26" s="26" t="s">
        <v>223</v>
      </c>
    </row>
    <row r="27" spans="1:9" x14ac:dyDescent="0.35">
      <c r="A27" s="26" t="s">
        <v>288</v>
      </c>
      <c r="B27" s="26" t="s">
        <v>289</v>
      </c>
      <c r="C27" s="26" t="s">
        <v>408</v>
      </c>
      <c r="D27" s="26" t="s">
        <v>290</v>
      </c>
      <c r="E27" s="26" t="s">
        <v>206</v>
      </c>
      <c r="F27" s="26" t="s">
        <v>435</v>
      </c>
      <c r="G27" s="26"/>
      <c r="H27" s="26"/>
      <c r="I27" s="26" t="s">
        <v>223</v>
      </c>
    </row>
    <row r="28" spans="1:9" x14ac:dyDescent="0.35">
      <c r="A28" s="26" t="s">
        <v>291</v>
      </c>
      <c r="B28" s="26" t="s">
        <v>289</v>
      </c>
      <c r="C28" s="26" t="s">
        <v>408</v>
      </c>
      <c r="D28" s="26" t="s">
        <v>292</v>
      </c>
      <c r="E28" s="26" t="s">
        <v>197</v>
      </c>
      <c r="F28" s="26"/>
      <c r="G28" s="26" t="s">
        <v>436</v>
      </c>
      <c r="H28" s="26" t="s">
        <v>197</v>
      </c>
      <c r="I28" s="26" t="s">
        <v>223</v>
      </c>
    </row>
    <row r="29" spans="1:9" x14ac:dyDescent="0.35">
      <c r="A29" s="26" t="s">
        <v>293</v>
      </c>
      <c r="B29" s="26" t="s">
        <v>294</v>
      </c>
      <c r="C29" s="26" t="s">
        <v>410</v>
      </c>
      <c r="D29" s="26" t="s">
        <v>295</v>
      </c>
      <c r="E29" s="26" t="s">
        <v>437</v>
      </c>
      <c r="F29" s="26" t="s">
        <v>438</v>
      </c>
      <c r="G29" s="26"/>
      <c r="H29" s="26" t="s">
        <v>297</v>
      </c>
      <c r="I29" s="26" t="s">
        <v>223</v>
      </c>
    </row>
    <row r="30" spans="1:9" x14ac:dyDescent="0.35">
      <c r="A30" s="26" t="s">
        <v>298</v>
      </c>
      <c r="B30" s="26" t="s">
        <v>294</v>
      </c>
      <c r="C30" s="26" t="s">
        <v>410</v>
      </c>
      <c r="D30" s="26" t="s">
        <v>295</v>
      </c>
      <c r="E30" s="26" t="s">
        <v>412</v>
      </c>
      <c r="F30" s="26"/>
      <c r="G30" s="26" t="s">
        <v>439</v>
      </c>
      <c r="H30" s="26" t="s">
        <v>297</v>
      </c>
      <c r="I30" s="26" t="s">
        <v>223</v>
      </c>
    </row>
    <row r="31" spans="1:9" x14ac:dyDescent="0.35">
      <c r="A31" s="26" t="s">
        <v>299</v>
      </c>
      <c r="B31" s="26" t="s">
        <v>300</v>
      </c>
      <c r="C31" s="26" t="s">
        <v>440</v>
      </c>
      <c r="D31" s="26" t="s">
        <v>301</v>
      </c>
      <c r="E31" s="26" t="s">
        <v>197</v>
      </c>
      <c r="F31" s="26" t="s">
        <v>441</v>
      </c>
      <c r="G31" s="26"/>
      <c r="H31" s="26" t="s">
        <v>222</v>
      </c>
      <c r="I31" s="26" t="s">
        <v>223</v>
      </c>
    </row>
    <row r="32" spans="1:9" x14ac:dyDescent="0.35">
      <c r="A32" s="26" t="s">
        <v>302</v>
      </c>
      <c r="B32" s="26" t="s">
        <v>300</v>
      </c>
      <c r="C32" s="26" t="s">
        <v>440</v>
      </c>
      <c r="D32" s="26" t="s">
        <v>301</v>
      </c>
      <c r="E32" s="26" t="s">
        <v>398</v>
      </c>
      <c r="F32" s="26" t="s">
        <v>442</v>
      </c>
      <c r="G32" s="26"/>
      <c r="H32" s="26" t="s">
        <v>222</v>
      </c>
      <c r="I32" s="26" t="s">
        <v>223</v>
      </c>
    </row>
    <row r="33" spans="1:9" x14ac:dyDescent="0.35">
      <c r="A33" s="26" t="s">
        <v>303</v>
      </c>
      <c r="B33" s="26" t="s">
        <v>300</v>
      </c>
      <c r="C33" s="26" t="s">
        <v>440</v>
      </c>
      <c r="D33" s="26" t="s">
        <v>301</v>
      </c>
      <c r="E33" s="26" t="s">
        <v>443</v>
      </c>
      <c r="F33" s="26"/>
      <c r="G33" s="26" t="s">
        <v>444</v>
      </c>
      <c r="H33" s="26" t="s">
        <v>222</v>
      </c>
      <c r="I33" s="26" t="s">
        <v>223</v>
      </c>
    </row>
    <row r="34" spans="1:9" x14ac:dyDescent="0.35">
      <c r="A34" s="26" t="s">
        <v>304</v>
      </c>
      <c r="B34" s="26" t="s">
        <v>305</v>
      </c>
      <c r="C34" s="26" t="s">
        <v>445</v>
      </c>
      <c r="D34" s="26" t="s">
        <v>229</v>
      </c>
      <c r="E34" s="26" t="s">
        <v>412</v>
      </c>
      <c r="F34" s="26" t="s">
        <v>446</v>
      </c>
      <c r="G34" s="26"/>
      <c r="H34" s="26" t="s">
        <v>230</v>
      </c>
      <c r="I34" s="26" t="s">
        <v>223</v>
      </c>
    </row>
    <row r="35" spans="1:9" x14ac:dyDescent="0.35">
      <c r="A35" s="26" t="s">
        <v>306</v>
      </c>
      <c r="B35" s="26" t="s">
        <v>305</v>
      </c>
      <c r="C35" s="26" t="s">
        <v>445</v>
      </c>
      <c r="D35" s="26" t="s">
        <v>229</v>
      </c>
      <c r="E35" s="26" t="s">
        <v>447</v>
      </c>
      <c r="F35" s="26"/>
      <c r="G35" s="26" t="s">
        <v>448</v>
      </c>
      <c r="H35" s="26" t="s">
        <v>230</v>
      </c>
      <c r="I35" s="26" t="s">
        <v>223</v>
      </c>
    </row>
    <row r="36" spans="1:9" x14ac:dyDescent="0.35">
      <c r="A36" s="26" t="s">
        <v>307</v>
      </c>
      <c r="B36" s="26" t="s">
        <v>308</v>
      </c>
      <c r="C36" s="26" t="s">
        <v>449</v>
      </c>
      <c r="D36" s="26" t="s">
        <v>234</v>
      </c>
      <c r="E36" s="26" t="s">
        <v>235</v>
      </c>
      <c r="F36" s="26" t="s">
        <v>450</v>
      </c>
      <c r="G36" s="26"/>
      <c r="H36" s="26" t="s">
        <v>87</v>
      </c>
      <c r="I36" s="26" t="s">
        <v>223</v>
      </c>
    </row>
    <row r="37" spans="1:9" x14ac:dyDescent="0.35">
      <c r="A37" s="26" t="s">
        <v>309</v>
      </c>
      <c r="B37" s="26" t="s">
        <v>308</v>
      </c>
      <c r="C37" s="26" t="s">
        <v>449</v>
      </c>
      <c r="D37" s="26" t="s">
        <v>310</v>
      </c>
      <c r="E37" s="26" t="s">
        <v>451</v>
      </c>
      <c r="F37" s="26"/>
      <c r="G37" s="26" t="s">
        <v>452</v>
      </c>
      <c r="H37" s="26" t="s">
        <v>87</v>
      </c>
      <c r="I37" s="26" t="s">
        <v>223</v>
      </c>
    </row>
    <row r="38" spans="1:9" x14ac:dyDescent="0.35">
      <c r="A38" s="26" t="s">
        <v>311</v>
      </c>
      <c r="B38" s="26" t="s">
        <v>312</v>
      </c>
      <c r="C38" s="26" t="s">
        <v>453</v>
      </c>
      <c r="D38" s="26" t="s">
        <v>239</v>
      </c>
      <c r="E38" s="26" t="s">
        <v>451</v>
      </c>
      <c r="F38" s="26" t="s">
        <v>454</v>
      </c>
      <c r="G38" s="26"/>
      <c r="H38" s="26" t="s">
        <v>240</v>
      </c>
      <c r="I38" s="26" t="s">
        <v>223</v>
      </c>
    </row>
    <row r="39" spans="1:9" x14ac:dyDescent="0.35">
      <c r="A39" s="26" t="s">
        <v>313</v>
      </c>
      <c r="B39" s="26" t="s">
        <v>312</v>
      </c>
      <c r="C39" s="26" t="s">
        <v>453</v>
      </c>
      <c r="D39" s="26" t="s">
        <v>239</v>
      </c>
      <c r="E39" s="26" t="s">
        <v>455</v>
      </c>
      <c r="F39" s="26"/>
      <c r="G39" s="26" t="s">
        <v>456</v>
      </c>
      <c r="H39" s="26" t="s">
        <v>240</v>
      </c>
      <c r="I39" s="26" t="s">
        <v>223</v>
      </c>
    </row>
    <row r="40" spans="1:9" x14ac:dyDescent="0.35">
      <c r="A40" s="26" t="s">
        <v>314</v>
      </c>
      <c r="B40" s="26" t="s">
        <v>315</v>
      </c>
      <c r="C40" s="26" t="s">
        <v>457</v>
      </c>
      <c r="D40" s="26" t="s">
        <v>245</v>
      </c>
      <c r="E40" s="26" t="s">
        <v>455</v>
      </c>
      <c r="F40" s="26" t="s">
        <v>458</v>
      </c>
      <c r="G40" s="26"/>
      <c r="H40" s="26"/>
      <c r="I40" s="26" t="s">
        <v>223</v>
      </c>
    </row>
    <row r="41" spans="1:9" x14ac:dyDescent="0.35">
      <c r="A41" s="26" t="s">
        <v>316</v>
      </c>
      <c r="B41" s="26" t="s">
        <v>315</v>
      </c>
      <c r="C41" s="26" t="s">
        <v>457</v>
      </c>
      <c r="D41" s="26" t="s">
        <v>245</v>
      </c>
      <c r="E41" s="26" t="s">
        <v>412</v>
      </c>
      <c r="F41" s="26"/>
      <c r="G41" s="26" t="s">
        <v>459</v>
      </c>
      <c r="H41" s="26" t="s">
        <v>240</v>
      </c>
      <c r="I41" s="26" t="s">
        <v>223</v>
      </c>
    </row>
    <row r="42" spans="1:9" x14ac:dyDescent="0.35">
      <c r="A42" s="26" t="s">
        <v>317</v>
      </c>
      <c r="B42" s="26" t="s">
        <v>318</v>
      </c>
      <c r="C42" s="26" t="s">
        <v>460</v>
      </c>
      <c r="D42" s="26" t="s">
        <v>249</v>
      </c>
      <c r="E42" s="26" t="s">
        <v>461</v>
      </c>
      <c r="F42" s="26" t="s">
        <v>411</v>
      </c>
      <c r="G42" s="26"/>
      <c r="H42" s="26" t="s">
        <v>251</v>
      </c>
      <c r="I42" s="26" t="s">
        <v>223</v>
      </c>
    </row>
    <row r="43" spans="1:9" x14ac:dyDescent="0.35">
      <c r="A43" s="26" t="s">
        <v>319</v>
      </c>
      <c r="B43" s="26" t="s">
        <v>318</v>
      </c>
      <c r="C43" s="26" t="s">
        <v>460</v>
      </c>
      <c r="D43" s="26" t="s">
        <v>249</v>
      </c>
      <c r="E43" s="26" t="s">
        <v>417</v>
      </c>
      <c r="F43" s="26"/>
      <c r="G43" s="26" t="s">
        <v>413</v>
      </c>
      <c r="H43" s="26" t="s">
        <v>251</v>
      </c>
      <c r="I43" s="26" t="s">
        <v>223</v>
      </c>
    </row>
    <row r="44" spans="1:9" x14ac:dyDescent="0.35">
      <c r="A44" s="26" t="s">
        <v>320</v>
      </c>
      <c r="B44" s="26" t="s">
        <v>321</v>
      </c>
      <c r="C44" s="26" t="s">
        <v>462</v>
      </c>
      <c r="D44" s="26" t="s">
        <v>255</v>
      </c>
      <c r="E44" s="26" t="s">
        <v>463</v>
      </c>
      <c r="F44" s="26" t="s">
        <v>416</v>
      </c>
      <c r="G44" s="26"/>
      <c r="H44" s="26" t="s">
        <v>257</v>
      </c>
      <c r="I44" s="26" t="s">
        <v>223</v>
      </c>
    </row>
    <row r="45" spans="1:9" x14ac:dyDescent="0.35">
      <c r="A45" s="26" t="s">
        <v>322</v>
      </c>
      <c r="B45" s="26" t="s">
        <v>321</v>
      </c>
      <c r="C45" s="26" t="s">
        <v>462</v>
      </c>
      <c r="D45" s="26" t="s">
        <v>255</v>
      </c>
      <c r="E45" s="26" t="s">
        <v>392</v>
      </c>
      <c r="F45" s="26"/>
      <c r="G45" s="26" t="s">
        <v>418</v>
      </c>
      <c r="H45" s="26" t="s">
        <v>257</v>
      </c>
      <c r="I45" s="26" t="s">
        <v>223</v>
      </c>
    </row>
    <row r="46" spans="1:9" x14ac:dyDescent="0.35">
      <c r="A46" s="26" t="s">
        <v>323</v>
      </c>
      <c r="B46" s="26" t="s">
        <v>324</v>
      </c>
      <c r="C46" s="26" t="s">
        <v>464</v>
      </c>
      <c r="D46" s="26" t="s">
        <v>325</v>
      </c>
      <c r="E46" s="26" t="s">
        <v>465</v>
      </c>
      <c r="F46" s="26" t="s">
        <v>466</v>
      </c>
      <c r="G46" s="26"/>
      <c r="H46" s="26" t="s">
        <v>263</v>
      </c>
      <c r="I46" s="26" t="s">
        <v>223</v>
      </c>
    </row>
    <row r="47" spans="1:9" x14ac:dyDescent="0.35">
      <c r="A47" s="26" t="s">
        <v>326</v>
      </c>
      <c r="B47" s="26" t="s">
        <v>324</v>
      </c>
      <c r="C47" s="26" t="s">
        <v>464</v>
      </c>
      <c r="D47" s="26" t="s">
        <v>261</v>
      </c>
      <c r="E47" s="26" t="s">
        <v>197</v>
      </c>
      <c r="F47" s="26"/>
      <c r="G47" s="26" t="s">
        <v>467</v>
      </c>
      <c r="H47" s="26" t="s">
        <v>263</v>
      </c>
      <c r="I47" s="26" t="s">
        <v>223</v>
      </c>
    </row>
    <row r="48" spans="1:9" x14ac:dyDescent="0.35">
      <c r="A48" s="26" t="s">
        <v>327</v>
      </c>
      <c r="B48" s="26" t="s">
        <v>328</v>
      </c>
      <c r="C48" s="26" t="s">
        <v>440</v>
      </c>
      <c r="D48" s="26" t="s">
        <v>271</v>
      </c>
      <c r="E48" s="26" t="s">
        <v>468</v>
      </c>
      <c r="F48" s="26" t="s">
        <v>424</v>
      </c>
      <c r="G48" s="26"/>
      <c r="H48" s="26" t="s">
        <v>269</v>
      </c>
      <c r="I48" s="26" t="s">
        <v>223</v>
      </c>
    </row>
    <row r="49" spans="1:9" x14ac:dyDescent="0.35">
      <c r="A49" s="26" t="s">
        <v>329</v>
      </c>
      <c r="B49" s="26" t="s">
        <v>328</v>
      </c>
      <c r="C49" s="26" t="s">
        <v>440</v>
      </c>
      <c r="D49" s="26" t="s">
        <v>271</v>
      </c>
      <c r="E49" s="26" t="s">
        <v>412</v>
      </c>
      <c r="F49" s="26"/>
      <c r="G49" s="26" t="s">
        <v>425</v>
      </c>
      <c r="H49" s="26" t="s">
        <v>269</v>
      </c>
      <c r="I49" s="26" t="s">
        <v>223</v>
      </c>
    </row>
    <row r="50" spans="1:9" x14ac:dyDescent="0.35">
      <c r="A50" s="26" t="s">
        <v>330</v>
      </c>
      <c r="B50" s="26" t="s">
        <v>331</v>
      </c>
      <c r="C50" s="26" t="s">
        <v>449</v>
      </c>
      <c r="D50" s="26" t="s">
        <v>279</v>
      </c>
      <c r="E50" s="26" t="s">
        <v>469</v>
      </c>
      <c r="F50" s="26" t="s">
        <v>470</v>
      </c>
      <c r="G50" s="26"/>
      <c r="H50" s="26" t="s">
        <v>281</v>
      </c>
      <c r="I50" s="26" t="s">
        <v>223</v>
      </c>
    </row>
    <row r="51" spans="1:9" x14ac:dyDescent="0.35">
      <c r="A51" s="26" t="s">
        <v>332</v>
      </c>
      <c r="B51" s="26" t="s">
        <v>331</v>
      </c>
      <c r="C51" s="26" t="s">
        <v>449</v>
      </c>
      <c r="D51" s="26" t="s">
        <v>279</v>
      </c>
      <c r="E51" s="26" t="s">
        <v>471</v>
      </c>
      <c r="F51" s="26"/>
      <c r="G51" s="26" t="s">
        <v>429</v>
      </c>
      <c r="H51" s="26" t="s">
        <v>281</v>
      </c>
      <c r="I51" s="26" t="s">
        <v>223</v>
      </c>
    </row>
    <row r="52" spans="1:9" x14ac:dyDescent="0.35">
      <c r="A52" s="26" t="s">
        <v>333</v>
      </c>
      <c r="B52" s="26" t="s">
        <v>334</v>
      </c>
      <c r="C52" s="26" t="s">
        <v>453</v>
      </c>
      <c r="D52" s="26" t="s">
        <v>285</v>
      </c>
      <c r="E52" s="26" t="s">
        <v>472</v>
      </c>
      <c r="F52" s="26" t="s">
        <v>473</v>
      </c>
      <c r="G52" s="26"/>
      <c r="H52" s="26" t="s">
        <v>197</v>
      </c>
      <c r="I52" s="26" t="s">
        <v>223</v>
      </c>
    </row>
    <row r="53" spans="1:9" x14ac:dyDescent="0.35">
      <c r="A53" s="26" t="s">
        <v>335</v>
      </c>
      <c r="B53" s="26" t="s">
        <v>334</v>
      </c>
      <c r="C53" s="26" t="s">
        <v>453</v>
      </c>
      <c r="D53" s="26" t="s">
        <v>285</v>
      </c>
      <c r="E53" s="26" t="s">
        <v>197</v>
      </c>
      <c r="F53" s="26"/>
      <c r="G53" s="26" t="s">
        <v>474</v>
      </c>
      <c r="H53" s="26"/>
      <c r="I53" s="26" t="s">
        <v>223</v>
      </c>
    </row>
    <row r="54" spans="1:9" x14ac:dyDescent="0.35">
      <c r="A54" s="26" t="s">
        <v>336</v>
      </c>
      <c r="B54" s="26" t="s">
        <v>337</v>
      </c>
      <c r="C54" s="26" t="s">
        <v>457</v>
      </c>
      <c r="D54" s="26" t="s">
        <v>290</v>
      </c>
      <c r="E54" s="26" t="s">
        <v>475</v>
      </c>
      <c r="F54" s="26" t="s">
        <v>476</v>
      </c>
      <c r="G54" s="26"/>
      <c r="H54" s="26" t="s">
        <v>197</v>
      </c>
      <c r="I54" s="26" t="s">
        <v>223</v>
      </c>
    </row>
    <row r="55" spans="1:9" x14ac:dyDescent="0.35">
      <c r="A55" s="26" t="s">
        <v>338</v>
      </c>
      <c r="B55" s="26" t="s">
        <v>337</v>
      </c>
      <c r="C55" s="26" t="s">
        <v>457</v>
      </c>
      <c r="D55" s="26" t="s">
        <v>292</v>
      </c>
      <c r="E55" s="26" t="s">
        <v>412</v>
      </c>
      <c r="F55" s="26"/>
      <c r="G55" s="26" t="s">
        <v>435</v>
      </c>
      <c r="H55" s="26" t="s">
        <v>197</v>
      </c>
      <c r="I55" s="26" t="s">
        <v>223</v>
      </c>
    </row>
    <row r="56" spans="1:9" x14ac:dyDescent="0.35">
      <c r="A56" s="26" t="s">
        <v>339</v>
      </c>
      <c r="B56" s="26" t="s">
        <v>340</v>
      </c>
      <c r="C56" s="26" t="s">
        <v>460</v>
      </c>
      <c r="D56" s="26" t="s">
        <v>295</v>
      </c>
      <c r="E56" s="26" t="s">
        <v>477</v>
      </c>
      <c r="F56" s="26" t="s">
        <v>478</v>
      </c>
      <c r="G56" s="26"/>
      <c r="H56" s="26" t="s">
        <v>297</v>
      </c>
      <c r="I56" s="26" t="s">
        <v>223</v>
      </c>
    </row>
    <row r="57" spans="1:9" x14ac:dyDescent="0.35">
      <c r="A57" s="26" t="s">
        <v>341</v>
      </c>
      <c r="B57" s="26" t="s">
        <v>340</v>
      </c>
      <c r="C57" s="26" t="s">
        <v>460</v>
      </c>
      <c r="D57" s="26" t="s">
        <v>295</v>
      </c>
      <c r="E57" s="26" t="s">
        <v>417</v>
      </c>
      <c r="F57" s="26"/>
      <c r="G57" s="26" t="s">
        <v>479</v>
      </c>
      <c r="H57" s="26" t="s">
        <v>297</v>
      </c>
      <c r="I57" s="26" t="s">
        <v>223</v>
      </c>
    </row>
    <row r="58" spans="1:9" x14ac:dyDescent="0.35">
      <c r="A58" s="26" t="s">
        <v>342</v>
      </c>
      <c r="B58" s="26" t="s">
        <v>343</v>
      </c>
      <c r="C58" s="26" t="s">
        <v>480</v>
      </c>
      <c r="D58" s="26" t="s">
        <v>344</v>
      </c>
      <c r="E58" s="26" t="s">
        <v>412</v>
      </c>
      <c r="F58" s="26" t="s">
        <v>481</v>
      </c>
      <c r="G58" s="26"/>
      <c r="H58" s="26" t="s">
        <v>222</v>
      </c>
      <c r="I58" s="26" t="s">
        <v>223</v>
      </c>
    </row>
    <row r="59" spans="1:9" x14ac:dyDescent="0.35">
      <c r="A59" s="26" t="s">
        <v>345</v>
      </c>
      <c r="B59" s="26" t="s">
        <v>343</v>
      </c>
      <c r="C59" s="26" t="s">
        <v>480</v>
      </c>
      <c r="D59" s="26" t="s">
        <v>344</v>
      </c>
      <c r="E59" s="26" t="s">
        <v>447</v>
      </c>
      <c r="F59" s="26" t="s">
        <v>482</v>
      </c>
      <c r="G59" s="26"/>
      <c r="H59" s="26" t="s">
        <v>222</v>
      </c>
      <c r="I59" s="26" t="s">
        <v>223</v>
      </c>
    </row>
    <row r="60" spans="1:9" x14ac:dyDescent="0.35">
      <c r="A60" s="26" t="s">
        <v>346</v>
      </c>
      <c r="B60" s="26" t="s">
        <v>343</v>
      </c>
      <c r="C60" s="26" t="s">
        <v>480</v>
      </c>
      <c r="D60" s="26" t="s">
        <v>344</v>
      </c>
      <c r="E60" s="26" t="s">
        <v>226</v>
      </c>
      <c r="F60" s="26"/>
      <c r="G60" s="26" t="s">
        <v>483</v>
      </c>
      <c r="H60" s="26" t="s">
        <v>222</v>
      </c>
      <c r="I60" s="26" t="s">
        <v>223</v>
      </c>
    </row>
    <row r="61" spans="1:9" x14ac:dyDescent="0.35">
      <c r="A61" s="26" t="s">
        <v>347</v>
      </c>
      <c r="B61" s="26" t="s">
        <v>348</v>
      </c>
      <c r="C61" s="26" t="s">
        <v>484</v>
      </c>
      <c r="D61" s="26" t="s">
        <v>229</v>
      </c>
      <c r="E61" s="26" t="s">
        <v>417</v>
      </c>
      <c r="F61" s="26" t="s">
        <v>485</v>
      </c>
      <c r="G61" s="26"/>
      <c r="H61" s="26" t="s">
        <v>230</v>
      </c>
      <c r="I61" s="26" t="s">
        <v>223</v>
      </c>
    </row>
    <row r="62" spans="1:9" x14ac:dyDescent="0.35">
      <c r="A62" s="26" t="s">
        <v>349</v>
      </c>
      <c r="B62" s="26" t="s">
        <v>348</v>
      </c>
      <c r="C62" s="26" t="s">
        <v>484</v>
      </c>
      <c r="D62" s="26" t="s">
        <v>229</v>
      </c>
      <c r="E62" s="26" t="s">
        <v>199</v>
      </c>
      <c r="F62" s="26"/>
      <c r="G62" s="26" t="s">
        <v>486</v>
      </c>
      <c r="H62" s="26" t="s">
        <v>230</v>
      </c>
      <c r="I62" s="26" t="s">
        <v>223</v>
      </c>
    </row>
    <row r="63" spans="1:9" x14ac:dyDescent="0.35">
      <c r="A63" s="26" t="s">
        <v>350</v>
      </c>
      <c r="B63" s="26" t="s">
        <v>351</v>
      </c>
      <c r="C63" s="26" t="s">
        <v>487</v>
      </c>
      <c r="D63" s="26" t="s">
        <v>234</v>
      </c>
      <c r="E63" s="26" t="s">
        <v>488</v>
      </c>
      <c r="F63" s="26" t="s">
        <v>489</v>
      </c>
      <c r="G63" s="26"/>
      <c r="H63" s="26" t="s">
        <v>87</v>
      </c>
      <c r="I63" s="26" t="s">
        <v>223</v>
      </c>
    </row>
    <row r="64" spans="1:9" x14ac:dyDescent="0.35">
      <c r="A64" s="26" t="s">
        <v>352</v>
      </c>
      <c r="B64" s="26" t="s">
        <v>351</v>
      </c>
      <c r="C64" s="26" t="s">
        <v>487</v>
      </c>
      <c r="D64" s="26" t="s">
        <v>310</v>
      </c>
      <c r="E64" s="26" t="s">
        <v>490</v>
      </c>
      <c r="F64" s="26"/>
      <c r="G64" s="26" t="s">
        <v>491</v>
      </c>
      <c r="H64" s="26" t="s">
        <v>87</v>
      </c>
      <c r="I64" s="26" t="s">
        <v>223</v>
      </c>
    </row>
    <row r="65" spans="1:9" x14ac:dyDescent="0.35">
      <c r="A65" s="26" t="s">
        <v>353</v>
      </c>
      <c r="B65" s="26" t="s">
        <v>354</v>
      </c>
      <c r="C65" s="26" t="s">
        <v>492</v>
      </c>
      <c r="D65" s="26" t="s">
        <v>239</v>
      </c>
      <c r="E65" s="26" t="s">
        <v>490</v>
      </c>
      <c r="F65" s="26" t="s">
        <v>493</v>
      </c>
      <c r="G65" s="26"/>
      <c r="H65" s="26" t="s">
        <v>240</v>
      </c>
      <c r="I65" s="26" t="s">
        <v>223</v>
      </c>
    </row>
    <row r="66" spans="1:9" x14ac:dyDescent="0.35">
      <c r="A66" s="26" t="s">
        <v>355</v>
      </c>
      <c r="B66" s="26" t="s">
        <v>354</v>
      </c>
      <c r="C66" s="26" t="s">
        <v>492</v>
      </c>
      <c r="D66" s="26" t="s">
        <v>239</v>
      </c>
      <c r="E66" s="26" t="s">
        <v>494</v>
      </c>
      <c r="F66" s="26"/>
      <c r="G66" s="26" t="s">
        <v>495</v>
      </c>
      <c r="H66" s="26"/>
      <c r="I66" s="26" t="s">
        <v>223</v>
      </c>
    </row>
    <row r="67" spans="1:9" x14ac:dyDescent="0.35">
      <c r="A67" s="26" t="s">
        <v>356</v>
      </c>
      <c r="B67" s="26" t="s">
        <v>357</v>
      </c>
      <c r="C67" s="26" t="s">
        <v>496</v>
      </c>
      <c r="D67" s="26" t="s">
        <v>245</v>
      </c>
      <c r="E67" s="26" t="s">
        <v>494</v>
      </c>
      <c r="F67" s="26" t="s">
        <v>497</v>
      </c>
      <c r="G67" s="26"/>
      <c r="H67" s="26" t="s">
        <v>240</v>
      </c>
      <c r="I67" s="26" t="s">
        <v>223</v>
      </c>
    </row>
    <row r="68" spans="1:9" x14ac:dyDescent="0.35">
      <c r="A68" s="26" t="s">
        <v>358</v>
      </c>
      <c r="B68" s="26" t="s">
        <v>357</v>
      </c>
      <c r="C68" s="26" t="s">
        <v>496</v>
      </c>
      <c r="D68" s="26" t="s">
        <v>245</v>
      </c>
      <c r="E68" s="26" t="s">
        <v>417</v>
      </c>
      <c r="F68" s="26"/>
      <c r="G68" s="26" t="s">
        <v>498</v>
      </c>
      <c r="H68" s="26" t="s">
        <v>240</v>
      </c>
      <c r="I68" s="26" t="s">
        <v>223</v>
      </c>
    </row>
    <row r="69" spans="1:9" x14ac:dyDescent="0.35">
      <c r="A69" s="26" t="s">
        <v>359</v>
      </c>
      <c r="B69" s="26" t="s">
        <v>360</v>
      </c>
      <c r="C69" s="26" t="s">
        <v>499</v>
      </c>
      <c r="D69" s="26" t="s">
        <v>249</v>
      </c>
      <c r="E69" s="26" t="s">
        <v>500</v>
      </c>
      <c r="F69" s="26" t="s">
        <v>501</v>
      </c>
      <c r="G69" s="26"/>
      <c r="H69" s="26" t="s">
        <v>251</v>
      </c>
      <c r="I69" s="26" t="s">
        <v>223</v>
      </c>
    </row>
    <row r="70" spans="1:9" x14ac:dyDescent="0.35">
      <c r="A70" s="26" t="s">
        <v>361</v>
      </c>
      <c r="B70" s="26" t="s">
        <v>360</v>
      </c>
      <c r="C70" s="26" t="s">
        <v>499</v>
      </c>
      <c r="D70" s="26" t="s">
        <v>249</v>
      </c>
      <c r="E70" s="26" t="s">
        <v>392</v>
      </c>
      <c r="F70" s="26"/>
      <c r="G70" s="26" t="s">
        <v>411</v>
      </c>
      <c r="H70" s="26" t="s">
        <v>251</v>
      </c>
      <c r="I70" s="26" t="s">
        <v>223</v>
      </c>
    </row>
    <row r="71" spans="1:9" x14ac:dyDescent="0.35">
      <c r="A71" s="26" t="s">
        <v>362</v>
      </c>
      <c r="B71" s="26" t="s">
        <v>363</v>
      </c>
      <c r="C71" s="26" t="s">
        <v>502</v>
      </c>
      <c r="D71" s="26" t="s">
        <v>255</v>
      </c>
      <c r="E71" s="26" t="s">
        <v>503</v>
      </c>
      <c r="F71" s="26" t="s">
        <v>504</v>
      </c>
      <c r="G71" s="26"/>
      <c r="H71" s="26" t="s">
        <v>257</v>
      </c>
      <c r="I71" s="26" t="s">
        <v>223</v>
      </c>
    </row>
    <row r="72" spans="1:9" x14ac:dyDescent="0.35">
      <c r="A72" s="26" t="s">
        <v>364</v>
      </c>
      <c r="B72" s="26" t="s">
        <v>363</v>
      </c>
      <c r="C72" s="26" t="s">
        <v>502</v>
      </c>
      <c r="D72" s="26" t="s">
        <v>255</v>
      </c>
      <c r="E72" s="26" t="s">
        <v>197</v>
      </c>
      <c r="F72" s="26"/>
      <c r="G72" s="26" t="s">
        <v>416</v>
      </c>
      <c r="H72" s="26" t="s">
        <v>257</v>
      </c>
      <c r="I72" s="26" t="s">
        <v>223</v>
      </c>
    </row>
    <row r="73" spans="1:9" x14ac:dyDescent="0.35">
      <c r="A73" s="26" t="s">
        <v>365</v>
      </c>
      <c r="B73" s="26" t="s">
        <v>366</v>
      </c>
      <c r="C73" s="26" t="s">
        <v>505</v>
      </c>
      <c r="D73" s="26" t="s">
        <v>325</v>
      </c>
      <c r="E73" s="26" t="s">
        <v>506</v>
      </c>
      <c r="F73" s="26" t="s">
        <v>507</v>
      </c>
      <c r="G73" s="26"/>
      <c r="H73" s="26" t="s">
        <v>263</v>
      </c>
      <c r="I73" s="26" t="s">
        <v>223</v>
      </c>
    </row>
    <row r="74" spans="1:9" x14ac:dyDescent="0.35">
      <c r="A74" s="26" t="s">
        <v>367</v>
      </c>
      <c r="B74" s="26" t="s">
        <v>366</v>
      </c>
      <c r="C74" s="26" t="s">
        <v>505</v>
      </c>
      <c r="D74" s="26" t="s">
        <v>261</v>
      </c>
      <c r="E74" s="26" t="s">
        <v>412</v>
      </c>
      <c r="F74" s="26"/>
      <c r="G74" s="26" t="s">
        <v>508</v>
      </c>
      <c r="H74" s="26" t="s">
        <v>263</v>
      </c>
      <c r="I74" s="26" t="s">
        <v>223</v>
      </c>
    </row>
    <row r="75" spans="1:9" x14ac:dyDescent="0.35">
      <c r="A75" s="26" t="s">
        <v>368</v>
      </c>
      <c r="B75" s="26" t="s">
        <v>369</v>
      </c>
      <c r="C75" s="26" t="s">
        <v>480</v>
      </c>
      <c r="D75" s="26" t="s">
        <v>271</v>
      </c>
      <c r="E75" s="26" t="s">
        <v>509</v>
      </c>
      <c r="F75" s="26" t="s">
        <v>510</v>
      </c>
      <c r="G75" s="26"/>
      <c r="H75" s="26" t="s">
        <v>269</v>
      </c>
      <c r="I75" s="26" t="s">
        <v>223</v>
      </c>
    </row>
    <row r="76" spans="1:9" x14ac:dyDescent="0.35">
      <c r="A76" s="26" t="s">
        <v>370</v>
      </c>
      <c r="B76" s="26" t="s">
        <v>369</v>
      </c>
      <c r="C76" s="26" t="s">
        <v>480</v>
      </c>
      <c r="D76" s="26" t="s">
        <v>271</v>
      </c>
      <c r="E76" s="26" t="s">
        <v>417</v>
      </c>
      <c r="F76" s="26"/>
      <c r="G76" s="26" t="s">
        <v>424</v>
      </c>
      <c r="H76" s="26" t="s">
        <v>269</v>
      </c>
      <c r="I76" s="26" t="s">
        <v>223</v>
      </c>
    </row>
    <row r="77" spans="1:9" x14ac:dyDescent="0.35">
      <c r="A77" s="26" t="s">
        <v>371</v>
      </c>
      <c r="B77" s="26" t="s">
        <v>372</v>
      </c>
      <c r="C77" s="26" t="s">
        <v>487</v>
      </c>
      <c r="D77" s="26" t="s">
        <v>279</v>
      </c>
      <c r="E77" s="26" t="s">
        <v>280</v>
      </c>
      <c r="F77" s="26" t="s">
        <v>431</v>
      </c>
      <c r="G77" s="26"/>
      <c r="H77" s="26" t="s">
        <v>281</v>
      </c>
      <c r="I77" s="26" t="s">
        <v>223</v>
      </c>
    </row>
    <row r="78" spans="1:9" x14ac:dyDescent="0.35">
      <c r="A78" s="26" t="s">
        <v>373</v>
      </c>
      <c r="B78" s="26" t="s">
        <v>372</v>
      </c>
      <c r="C78" s="26" t="s">
        <v>487</v>
      </c>
      <c r="D78" s="26" t="s">
        <v>279</v>
      </c>
      <c r="E78" s="26" t="s">
        <v>203</v>
      </c>
      <c r="F78" s="26"/>
      <c r="G78" s="26" t="s">
        <v>470</v>
      </c>
      <c r="H78" s="26" t="s">
        <v>281</v>
      </c>
      <c r="I78" s="26" t="s">
        <v>223</v>
      </c>
    </row>
    <row r="79" spans="1:9" x14ac:dyDescent="0.35">
      <c r="A79" s="26" t="s">
        <v>374</v>
      </c>
      <c r="B79" s="26" t="s">
        <v>375</v>
      </c>
      <c r="C79" s="26" t="s">
        <v>492</v>
      </c>
      <c r="D79" s="26" t="s">
        <v>285</v>
      </c>
      <c r="E79" s="26" t="s">
        <v>286</v>
      </c>
      <c r="F79" s="26" t="s">
        <v>511</v>
      </c>
      <c r="G79" s="26"/>
      <c r="H79" s="26"/>
      <c r="I79" s="26" t="s">
        <v>223</v>
      </c>
    </row>
    <row r="80" spans="1:9" x14ac:dyDescent="0.35">
      <c r="A80" s="26" t="s">
        <v>376</v>
      </c>
      <c r="B80" s="26" t="s">
        <v>375</v>
      </c>
      <c r="C80" s="26" t="s">
        <v>492</v>
      </c>
      <c r="D80" s="26" t="s">
        <v>285</v>
      </c>
      <c r="E80" s="26" t="s">
        <v>412</v>
      </c>
      <c r="F80" s="26"/>
      <c r="G80" s="26" t="s">
        <v>512</v>
      </c>
      <c r="H80" s="26" t="s">
        <v>197</v>
      </c>
      <c r="I80" s="26" t="s">
        <v>223</v>
      </c>
    </row>
    <row r="81" spans="1:9" x14ac:dyDescent="0.35">
      <c r="A81" s="26" t="s">
        <v>377</v>
      </c>
      <c r="B81" s="26" t="s">
        <v>378</v>
      </c>
      <c r="C81" s="26" t="s">
        <v>496</v>
      </c>
      <c r="D81" s="26" t="s">
        <v>290</v>
      </c>
      <c r="E81" s="26" t="s">
        <v>513</v>
      </c>
      <c r="F81" s="26" t="s">
        <v>436</v>
      </c>
      <c r="G81" s="26"/>
      <c r="H81" s="26" t="s">
        <v>197</v>
      </c>
      <c r="I81" s="26" t="s">
        <v>223</v>
      </c>
    </row>
    <row r="82" spans="1:9" x14ac:dyDescent="0.35">
      <c r="A82" s="26" t="s">
        <v>379</v>
      </c>
      <c r="B82" s="26" t="s">
        <v>378</v>
      </c>
      <c r="C82" s="26" t="s">
        <v>496</v>
      </c>
      <c r="D82" s="26" t="s">
        <v>292</v>
      </c>
      <c r="E82" s="26" t="s">
        <v>417</v>
      </c>
      <c r="F82" s="26"/>
      <c r="G82" s="26" t="s">
        <v>476</v>
      </c>
      <c r="H82" s="26" t="s">
        <v>197</v>
      </c>
      <c r="I82" s="26" t="s">
        <v>223</v>
      </c>
    </row>
    <row r="83" spans="1:9" x14ac:dyDescent="0.35">
      <c r="A83" s="26" t="s">
        <v>380</v>
      </c>
      <c r="B83" s="26" t="s">
        <v>381</v>
      </c>
      <c r="C83" s="26" t="s">
        <v>499</v>
      </c>
      <c r="D83" s="26" t="s">
        <v>295</v>
      </c>
      <c r="E83" s="26" t="s">
        <v>296</v>
      </c>
      <c r="F83" s="26" t="s">
        <v>514</v>
      </c>
      <c r="G83" s="26"/>
      <c r="H83" s="26" t="s">
        <v>297</v>
      </c>
      <c r="I83" s="26" t="s">
        <v>223</v>
      </c>
    </row>
    <row r="84" spans="1:9" x14ac:dyDescent="0.35">
      <c r="A84" s="26" t="s">
        <v>382</v>
      </c>
      <c r="B84" s="26" t="s">
        <v>381</v>
      </c>
      <c r="C84" s="26" t="s">
        <v>499</v>
      </c>
      <c r="D84" s="26" t="s">
        <v>295</v>
      </c>
      <c r="E84" s="26" t="s">
        <v>392</v>
      </c>
      <c r="F84" s="26"/>
      <c r="G84" s="26" t="s">
        <v>515</v>
      </c>
      <c r="H84" s="26" t="s">
        <v>297</v>
      </c>
      <c r="I84" s="26" t="s">
        <v>223</v>
      </c>
    </row>
    <row r="85" spans="1:9" x14ac:dyDescent="0.35">
      <c r="A85" s="26" t="s">
        <v>219</v>
      </c>
      <c r="B85" s="26" t="s">
        <v>220</v>
      </c>
      <c r="C85" s="26" t="s">
        <v>391</v>
      </c>
      <c r="D85" s="26" t="s">
        <v>221</v>
      </c>
      <c r="E85" s="26" t="s">
        <v>392</v>
      </c>
      <c r="F85" s="26" t="s">
        <v>393</v>
      </c>
      <c r="G85" s="26"/>
      <c r="H85" s="26" t="s">
        <v>222</v>
      </c>
      <c r="I85" s="26" t="s">
        <v>223</v>
      </c>
    </row>
    <row r="86" spans="1:9" x14ac:dyDescent="0.35">
      <c r="A86" s="26" t="s">
        <v>224</v>
      </c>
      <c r="B86" s="26" t="s">
        <v>220</v>
      </c>
      <c r="C86" s="26" t="s">
        <v>391</v>
      </c>
      <c r="D86" s="26" t="s">
        <v>221</v>
      </c>
      <c r="E86" s="26" t="s">
        <v>199</v>
      </c>
      <c r="F86" s="26" t="s">
        <v>394</v>
      </c>
      <c r="G86" s="26"/>
      <c r="H86" s="26" t="s">
        <v>222</v>
      </c>
      <c r="I86" s="26" t="s">
        <v>223</v>
      </c>
    </row>
    <row r="87" spans="1:9" x14ac:dyDescent="0.35">
      <c r="A87" s="26" t="s">
        <v>225</v>
      </c>
      <c r="B87" s="26" t="s">
        <v>220</v>
      </c>
      <c r="C87" s="26" t="s">
        <v>391</v>
      </c>
      <c r="D87" s="26" t="s">
        <v>221</v>
      </c>
      <c r="E87" s="26" t="s">
        <v>182</v>
      </c>
      <c r="F87" s="26"/>
      <c r="G87" s="26" t="s">
        <v>395</v>
      </c>
      <c r="H87" s="26" t="s">
        <v>222</v>
      </c>
      <c r="I87" s="26" t="s">
        <v>223</v>
      </c>
    </row>
  </sheetData>
  <autoFilter ref="A1:I87" xr:uid="{00000000-0009-0000-0000-00000C000000}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1.453125" customWidth="1"/>
    <col min="2" max="2" width="21.90625" customWidth="1"/>
    <col min="3" max="3" width="14.36328125" customWidth="1"/>
    <col min="4" max="4" width="15.08984375" customWidth="1"/>
    <col min="5" max="5" width="21.54296875" customWidth="1"/>
  </cols>
  <sheetData>
    <row r="1" spans="1:5" x14ac:dyDescent="0.35">
      <c r="A1" s="21" t="s">
        <v>191</v>
      </c>
      <c r="B1" s="21" t="s">
        <v>192</v>
      </c>
      <c r="C1" s="21" t="s">
        <v>193</v>
      </c>
      <c r="D1" s="21" t="s">
        <v>194</v>
      </c>
      <c r="E1" s="21" t="s">
        <v>195</v>
      </c>
    </row>
    <row r="2" spans="1:5" x14ac:dyDescent="0.35">
      <c r="A2" t="s">
        <v>196</v>
      </c>
      <c r="B2" t="s">
        <v>197</v>
      </c>
      <c r="C2">
        <v>68000</v>
      </c>
      <c r="E2" t="s">
        <v>198</v>
      </c>
    </row>
    <row r="3" spans="1:5" x14ac:dyDescent="0.35">
      <c r="A3" t="s">
        <v>196</v>
      </c>
      <c r="B3" t="s">
        <v>199</v>
      </c>
      <c r="C3">
        <v>12000</v>
      </c>
      <c r="E3" t="s">
        <v>200</v>
      </c>
    </row>
    <row r="4" spans="1:5" x14ac:dyDescent="0.35">
      <c r="A4" t="s">
        <v>196</v>
      </c>
      <c r="B4" t="s">
        <v>87</v>
      </c>
      <c r="C4">
        <v>42000</v>
      </c>
      <c r="E4" t="s">
        <v>201</v>
      </c>
    </row>
    <row r="5" spans="1:5" x14ac:dyDescent="0.35">
      <c r="A5" t="s">
        <v>196</v>
      </c>
      <c r="B5" t="s">
        <v>187</v>
      </c>
      <c r="C5">
        <v>36000</v>
      </c>
      <c r="E5" t="s">
        <v>202</v>
      </c>
    </row>
    <row r="6" spans="1:5" x14ac:dyDescent="0.35">
      <c r="A6" t="s">
        <v>196</v>
      </c>
      <c r="B6" t="s">
        <v>203</v>
      </c>
      <c r="D6">
        <v>9000</v>
      </c>
      <c r="E6" t="s">
        <v>89</v>
      </c>
    </row>
    <row r="7" spans="1:5" x14ac:dyDescent="0.35">
      <c r="A7" t="s">
        <v>196</v>
      </c>
      <c r="B7" t="s">
        <v>204</v>
      </c>
      <c r="D7">
        <v>17000</v>
      </c>
      <c r="E7" t="s">
        <v>205</v>
      </c>
    </row>
    <row r="8" spans="1:5" x14ac:dyDescent="0.35">
      <c r="A8" t="s">
        <v>196</v>
      </c>
      <c r="B8" t="s">
        <v>206</v>
      </c>
      <c r="D8">
        <v>28000</v>
      </c>
      <c r="E8" t="s">
        <v>207</v>
      </c>
    </row>
    <row r="9" spans="1:5" x14ac:dyDescent="0.35">
      <c r="A9" t="s">
        <v>196</v>
      </c>
      <c r="B9" t="s">
        <v>208</v>
      </c>
      <c r="D9">
        <v>70000</v>
      </c>
      <c r="E9" t="s">
        <v>209</v>
      </c>
    </row>
    <row r="10" spans="1:5" x14ac:dyDescent="0.35">
      <c r="A10" t="s">
        <v>196</v>
      </c>
      <c r="B10" t="s">
        <v>210</v>
      </c>
      <c r="D10">
        <v>34000</v>
      </c>
      <c r="E10" t="s">
        <v>98</v>
      </c>
    </row>
  </sheetData>
  <autoFilter ref="A1:E10" xr:uid="{00000000-0009-0000-0000-00000A000000}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4"/>
  <sheetViews>
    <sheetView showGridLines="0" zoomScaleNormal="100" workbookViewId="0">
      <pane ySplit="1" topLeftCell="A2" activePane="bottomLeft" state="frozen"/>
      <selection pane="bottomLeft" activeCell="D15" sqref="D15"/>
    </sheetView>
  </sheetViews>
  <sheetFormatPr defaultColWidth="8.6328125" defaultRowHeight="14.5" x14ac:dyDescent="0.35"/>
  <cols>
    <col min="1" max="1" width="14.54296875" customWidth="1"/>
    <col min="2" max="2" width="17.7265625" customWidth="1"/>
    <col min="3" max="3" width="11.81640625" style="29" customWidth="1"/>
    <col min="4" max="4" width="35.453125" customWidth="1"/>
    <col min="5" max="5" width="21.90625" customWidth="1"/>
    <col min="6" max="6" width="7.7265625" customWidth="1"/>
    <col min="7" max="7" width="7.90625" customWidth="1"/>
    <col min="8" max="8" width="20.36328125" customWidth="1"/>
    <col min="9" max="9" width="14" customWidth="1"/>
  </cols>
  <sheetData>
    <row r="1" spans="1:9" x14ac:dyDescent="0.35">
      <c r="A1" s="30" t="s">
        <v>211</v>
      </c>
      <c r="B1" s="30" t="s">
        <v>212</v>
      </c>
      <c r="C1" s="31" t="s">
        <v>213</v>
      </c>
      <c r="D1" s="30" t="s">
        <v>214</v>
      </c>
      <c r="E1" s="30" t="s">
        <v>192</v>
      </c>
      <c r="F1" s="30" t="s">
        <v>215</v>
      </c>
      <c r="G1" s="30" t="s">
        <v>216</v>
      </c>
      <c r="H1" s="30" t="s">
        <v>217</v>
      </c>
      <c r="I1" s="30" t="s">
        <v>218</v>
      </c>
    </row>
    <row r="2" spans="1:9" x14ac:dyDescent="0.35">
      <c r="A2" s="32" t="s">
        <v>219</v>
      </c>
      <c r="B2" s="32" t="s">
        <v>220</v>
      </c>
      <c r="C2" s="33">
        <v>46025</v>
      </c>
      <c r="D2" s="32" t="s">
        <v>221</v>
      </c>
      <c r="E2" s="32" t="s">
        <v>197</v>
      </c>
      <c r="F2" s="32">
        <v>35000</v>
      </c>
      <c r="G2" s="32"/>
      <c r="H2" s="32" t="s">
        <v>222</v>
      </c>
      <c r="I2" s="32" t="s">
        <v>223</v>
      </c>
    </row>
    <row r="3" spans="1:9" x14ac:dyDescent="0.35">
      <c r="A3" s="32" t="s">
        <v>224</v>
      </c>
      <c r="B3" s="32" t="s">
        <v>220</v>
      </c>
      <c r="C3" s="33">
        <v>46025</v>
      </c>
      <c r="D3" s="32" t="s">
        <v>221</v>
      </c>
      <c r="E3" s="32" t="s">
        <v>199</v>
      </c>
      <c r="F3" s="32">
        <v>19000</v>
      </c>
      <c r="G3" s="32"/>
      <c r="H3" s="32" t="s">
        <v>222</v>
      </c>
      <c r="I3" s="32" t="s">
        <v>223</v>
      </c>
    </row>
    <row r="4" spans="1:9" x14ac:dyDescent="0.35">
      <c r="A4" s="32" t="s">
        <v>225</v>
      </c>
      <c r="B4" s="32" t="s">
        <v>220</v>
      </c>
      <c r="C4" s="33">
        <v>46025</v>
      </c>
      <c r="D4" s="32" t="s">
        <v>221</v>
      </c>
      <c r="E4" s="32" t="s">
        <v>226</v>
      </c>
      <c r="F4" s="32"/>
      <c r="G4" s="32">
        <v>54000</v>
      </c>
      <c r="H4" s="32" t="s">
        <v>222</v>
      </c>
      <c r="I4" s="32" t="s">
        <v>223</v>
      </c>
    </row>
    <row r="5" spans="1:9" x14ac:dyDescent="0.35">
      <c r="A5" s="32" t="s">
        <v>227</v>
      </c>
      <c r="B5" s="32" t="s">
        <v>228</v>
      </c>
      <c r="C5" s="33">
        <v>46027</v>
      </c>
      <c r="D5" s="32" t="s">
        <v>229</v>
      </c>
      <c r="E5" s="32" t="s">
        <v>197</v>
      </c>
      <c r="F5" s="32">
        <v>10000</v>
      </c>
      <c r="G5" s="32"/>
      <c r="H5" s="32" t="s">
        <v>230</v>
      </c>
      <c r="I5" s="32" t="s">
        <v>223</v>
      </c>
    </row>
    <row r="6" spans="1:9" x14ac:dyDescent="0.35">
      <c r="A6" s="32" t="s">
        <v>231</v>
      </c>
      <c r="B6" s="32" t="s">
        <v>228</v>
      </c>
      <c r="C6" s="33">
        <v>46027</v>
      </c>
      <c r="D6" s="32" t="s">
        <v>229</v>
      </c>
      <c r="E6" s="32" t="s">
        <v>199</v>
      </c>
      <c r="F6" s="32"/>
      <c r="G6" s="32">
        <v>10000</v>
      </c>
      <c r="H6" s="32" t="s">
        <v>230</v>
      </c>
      <c r="I6" s="32" t="s">
        <v>223</v>
      </c>
    </row>
    <row r="7" spans="1:9" x14ac:dyDescent="0.35">
      <c r="A7" s="32" t="s">
        <v>232</v>
      </c>
      <c r="B7" s="32" t="s">
        <v>233</v>
      </c>
      <c r="C7" s="33">
        <v>46030</v>
      </c>
      <c r="D7" s="32" t="s">
        <v>234</v>
      </c>
      <c r="E7" s="32" t="s">
        <v>235</v>
      </c>
      <c r="F7" s="32">
        <v>22680</v>
      </c>
      <c r="G7" s="32"/>
      <c r="H7" s="32" t="s">
        <v>87</v>
      </c>
      <c r="I7" s="32" t="s">
        <v>223</v>
      </c>
    </row>
    <row r="8" spans="1:9" x14ac:dyDescent="0.35">
      <c r="A8" s="32" t="s">
        <v>236</v>
      </c>
      <c r="B8" s="32" t="s">
        <v>233</v>
      </c>
      <c r="C8" s="33">
        <v>46030</v>
      </c>
      <c r="D8" s="32" t="s">
        <v>234</v>
      </c>
      <c r="E8" s="32" t="s">
        <v>87</v>
      </c>
      <c r="F8" s="32"/>
      <c r="G8" s="32">
        <v>22680</v>
      </c>
      <c r="H8" s="32" t="s">
        <v>87</v>
      </c>
      <c r="I8" s="32" t="s">
        <v>223</v>
      </c>
    </row>
    <row r="9" spans="1:9" x14ac:dyDescent="0.35">
      <c r="A9" s="32" t="s">
        <v>237</v>
      </c>
      <c r="B9" s="32" t="s">
        <v>238</v>
      </c>
      <c r="C9" s="33">
        <v>46034</v>
      </c>
      <c r="D9" s="32" t="s">
        <v>239</v>
      </c>
      <c r="E9" s="32" t="s">
        <v>87</v>
      </c>
      <c r="F9" s="32">
        <v>25000</v>
      </c>
      <c r="G9" s="32"/>
      <c r="H9" s="32" t="s">
        <v>240</v>
      </c>
      <c r="I9" s="32" t="s">
        <v>223</v>
      </c>
    </row>
    <row r="10" spans="1:9" x14ac:dyDescent="0.35">
      <c r="A10" s="32" t="s">
        <v>241</v>
      </c>
      <c r="B10" s="32" t="s">
        <v>238</v>
      </c>
      <c r="C10" s="33">
        <v>46034</v>
      </c>
      <c r="D10" s="32" t="s">
        <v>242</v>
      </c>
      <c r="E10" s="32" t="s">
        <v>204</v>
      </c>
      <c r="F10" s="32"/>
      <c r="G10" s="32">
        <v>25000</v>
      </c>
      <c r="H10" s="32" t="s">
        <v>240</v>
      </c>
      <c r="I10" s="32" t="s">
        <v>223</v>
      </c>
    </row>
    <row r="11" spans="1:9" x14ac:dyDescent="0.35">
      <c r="A11" s="32" t="s">
        <v>243</v>
      </c>
      <c r="B11" s="32" t="s">
        <v>244</v>
      </c>
      <c r="C11" s="33">
        <v>46037</v>
      </c>
      <c r="D11" s="32" t="s">
        <v>245</v>
      </c>
      <c r="E11" s="32" t="s">
        <v>204</v>
      </c>
      <c r="F11" s="32">
        <v>17000</v>
      </c>
      <c r="G11" s="32"/>
      <c r="H11" s="32" t="s">
        <v>240</v>
      </c>
      <c r="I11" s="32" t="s">
        <v>223</v>
      </c>
    </row>
    <row r="12" spans="1:9" x14ac:dyDescent="0.35">
      <c r="A12" s="32" t="s">
        <v>246</v>
      </c>
      <c r="B12" s="32" t="s">
        <v>244</v>
      </c>
      <c r="C12" s="33">
        <v>46037</v>
      </c>
      <c r="D12" s="32" t="s">
        <v>245</v>
      </c>
      <c r="E12" s="32" t="s">
        <v>197</v>
      </c>
      <c r="F12" s="32"/>
      <c r="G12" s="32">
        <v>17000</v>
      </c>
      <c r="H12" s="32" t="s">
        <v>240</v>
      </c>
      <c r="I12" s="32" t="s">
        <v>223</v>
      </c>
    </row>
    <row r="13" spans="1:9" x14ac:dyDescent="0.35">
      <c r="A13" s="32" t="s">
        <v>247</v>
      </c>
      <c r="B13" s="32" t="s">
        <v>248</v>
      </c>
      <c r="C13" s="33">
        <v>46043</v>
      </c>
      <c r="D13" s="32" t="s">
        <v>249</v>
      </c>
      <c r="E13" s="32" t="s">
        <v>250</v>
      </c>
      <c r="F13" s="32">
        <v>15500</v>
      </c>
      <c r="G13" s="32"/>
      <c r="H13" s="32" t="s">
        <v>251</v>
      </c>
      <c r="I13" s="32" t="s">
        <v>223</v>
      </c>
    </row>
    <row r="14" spans="1:9" x14ac:dyDescent="0.35">
      <c r="A14" s="32" t="s">
        <v>252</v>
      </c>
      <c r="B14" s="32" t="s">
        <v>248</v>
      </c>
      <c r="C14" s="33">
        <v>46043</v>
      </c>
      <c r="D14" s="32" t="s">
        <v>249</v>
      </c>
      <c r="E14" s="32" t="s">
        <v>197</v>
      </c>
      <c r="F14" s="32"/>
      <c r="G14" s="32">
        <v>15500</v>
      </c>
      <c r="H14" s="32"/>
      <c r="I14" s="32" t="s">
        <v>223</v>
      </c>
    </row>
    <row r="15" spans="1:9" x14ac:dyDescent="0.35">
      <c r="A15" s="32" t="s">
        <v>253</v>
      </c>
      <c r="B15" s="32" t="s">
        <v>254</v>
      </c>
      <c r="C15" s="33">
        <v>46047</v>
      </c>
      <c r="D15" s="32" t="s">
        <v>255</v>
      </c>
      <c r="E15" s="32" t="s">
        <v>256</v>
      </c>
      <c r="F15" s="32">
        <v>9000</v>
      </c>
      <c r="G15" s="32"/>
      <c r="H15" s="32" t="s">
        <v>257</v>
      </c>
      <c r="I15" s="32" t="s">
        <v>223</v>
      </c>
    </row>
    <row r="16" spans="1:9" x14ac:dyDescent="0.35">
      <c r="A16" s="32" t="s">
        <v>258</v>
      </c>
      <c r="B16" s="32" t="s">
        <v>254</v>
      </c>
      <c r="C16" s="33">
        <v>46047</v>
      </c>
      <c r="D16" s="32" t="s">
        <v>255</v>
      </c>
      <c r="E16" s="32" t="s">
        <v>197</v>
      </c>
      <c r="F16" s="32"/>
      <c r="G16" s="32">
        <v>9000</v>
      </c>
      <c r="H16" s="32" t="s">
        <v>257</v>
      </c>
      <c r="I16" s="32" t="s">
        <v>223</v>
      </c>
    </row>
    <row r="17" spans="1:9" x14ac:dyDescent="0.35">
      <c r="A17" s="32" t="s">
        <v>259</v>
      </c>
      <c r="B17" s="32" t="s">
        <v>260</v>
      </c>
      <c r="C17" s="33">
        <v>46050</v>
      </c>
      <c r="D17" s="32" t="s">
        <v>261</v>
      </c>
      <c r="E17" s="32" t="s">
        <v>262</v>
      </c>
      <c r="F17" s="32">
        <v>3500</v>
      </c>
      <c r="G17" s="32"/>
      <c r="H17" s="32" t="s">
        <v>263</v>
      </c>
      <c r="I17" s="32" t="s">
        <v>223</v>
      </c>
    </row>
    <row r="18" spans="1:9" x14ac:dyDescent="0.35">
      <c r="A18" s="32" t="s">
        <v>264</v>
      </c>
      <c r="B18" s="32" t="s">
        <v>260</v>
      </c>
      <c r="C18" s="33">
        <v>46050</v>
      </c>
      <c r="D18" s="32" t="s">
        <v>261</v>
      </c>
      <c r="E18" s="32" t="s">
        <v>197</v>
      </c>
      <c r="F18" s="32"/>
      <c r="G18" s="32">
        <v>3500</v>
      </c>
      <c r="H18" s="32" t="s">
        <v>263</v>
      </c>
      <c r="I18" s="32" t="s">
        <v>223</v>
      </c>
    </row>
    <row r="19" spans="1:9" x14ac:dyDescent="0.35">
      <c r="A19" s="32" t="s">
        <v>265</v>
      </c>
      <c r="B19" s="32" t="s">
        <v>266</v>
      </c>
      <c r="C19" s="33">
        <v>46025</v>
      </c>
      <c r="D19" s="32" t="s">
        <v>267</v>
      </c>
      <c r="E19" s="32" t="s">
        <v>268</v>
      </c>
      <c r="F19" s="32">
        <v>1200</v>
      </c>
      <c r="G19" s="32"/>
      <c r="H19" s="32" t="s">
        <v>269</v>
      </c>
      <c r="I19" s="32" t="s">
        <v>223</v>
      </c>
    </row>
    <row r="20" spans="1:9" x14ac:dyDescent="0.35">
      <c r="A20" s="32" t="s">
        <v>270</v>
      </c>
      <c r="B20" s="32" t="s">
        <v>266</v>
      </c>
      <c r="C20" s="33">
        <v>46025</v>
      </c>
      <c r="D20" s="32" t="s">
        <v>271</v>
      </c>
      <c r="E20" s="32" t="s">
        <v>197</v>
      </c>
      <c r="F20" s="32"/>
      <c r="G20" s="32">
        <v>1200</v>
      </c>
      <c r="H20" s="32" t="s">
        <v>269</v>
      </c>
      <c r="I20" s="32" t="s">
        <v>223</v>
      </c>
    </row>
    <row r="21" spans="1:9" x14ac:dyDescent="0.35">
      <c r="A21" s="32" t="s">
        <v>272</v>
      </c>
      <c r="B21" s="32" t="s">
        <v>273</v>
      </c>
      <c r="C21" s="33">
        <v>46027</v>
      </c>
      <c r="D21" s="32" t="s">
        <v>274</v>
      </c>
      <c r="E21" s="32" t="s">
        <v>187</v>
      </c>
      <c r="F21" s="32">
        <v>12000</v>
      </c>
      <c r="G21" s="32"/>
      <c r="H21" s="32" t="s">
        <v>275</v>
      </c>
      <c r="I21" s="32" t="s">
        <v>223</v>
      </c>
    </row>
    <row r="22" spans="1:9" x14ac:dyDescent="0.35">
      <c r="A22" s="32" t="s">
        <v>276</v>
      </c>
      <c r="B22" s="32" t="s">
        <v>273</v>
      </c>
      <c r="C22" s="33">
        <v>46027</v>
      </c>
      <c r="D22" s="32" t="s">
        <v>274</v>
      </c>
      <c r="E22" s="32" t="s">
        <v>197</v>
      </c>
      <c r="F22" s="32"/>
      <c r="G22" s="32">
        <v>12000</v>
      </c>
      <c r="H22" s="32" t="s">
        <v>275</v>
      </c>
      <c r="I22" s="32" t="s">
        <v>223</v>
      </c>
    </row>
    <row r="23" spans="1:9" x14ac:dyDescent="0.35">
      <c r="A23" s="32" t="s">
        <v>277</v>
      </c>
      <c r="B23" s="32" t="s">
        <v>278</v>
      </c>
      <c r="C23" s="33">
        <v>46030</v>
      </c>
      <c r="D23" s="32" t="s">
        <v>279</v>
      </c>
      <c r="E23" s="32" t="s">
        <v>280</v>
      </c>
      <c r="F23" s="32">
        <v>1333.33</v>
      </c>
      <c r="G23" s="32"/>
      <c r="H23" s="32" t="s">
        <v>281</v>
      </c>
      <c r="I23" s="32" t="s">
        <v>223</v>
      </c>
    </row>
    <row r="24" spans="1:9" x14ac:dyDescent="0.35">
      <c r="A24" s="32" t="s">
        <v>282</v>
      </c>
      <c r="B24" s="32" t="s">
        <v>278</v>
      </c>
      <c r="C24" s="33">
        <v>46030</v>
      </c>
      <c r="D24" s="32" t="s">
        <v>279</v>
      </c>
      <c r="E24" s="32" t="s">
        <v>203</v>
      </c>
      <c r="F24" s="32"/>
      <c r="G24" s="32">
        <v>1333.33</v>
      </c>
      <c r="H24" s="32" t="s">
        <v>281</v>
      </c>
      <c r="I24" s="32" t="s">
        <v>223</v>
      </c>
    </row>
    <row r="25" spans="1:9" x14ac:dyDescent="0.35">
      <c r="A25" s="32" t="s">
        <v>283</v>
      </c>
      <c r="B25" s="32" t="s">
        <v>284</v>
      </c>
      <c r="C25" s="33">
        <v>46034</v>
      </c>
      <c r="D25" s="32" t="s">
        <v>285</v>
      </c>
      <c r="E25" s="32" t="s">
        <v>286</v>
      </c>
      <c r="F25" s="32">
        <v>350</v>
      </c>
      <c r="G25" s="32"/>
      <c r="H25" s="32" t="s">
        <v>197</v>
      </c>
      <c r="I25" s="32" t="s">
        <v>223</v>
      </c>
    </row>
    <row r="26" spans="1:9" x14ac:dyDescent="0.35">
      <c r="A26" s="32" t="s">
        <v>287</v>
      </c>
      <c r="B26" s="32" t="s">
        <v>284</v>
      </c>
      <c r="C26" s="33">
        <v>46034</v>
      </c>
      <c r="D26" s="32" t="s">
        <v>285</v>
      </c>
      <c r="E26" s="32" t="s">
        <v>197</v>
      </c>
      <c r="F26" s="32"/>
      <c r="G26" s="32">
        <v>350</v>
      </c>
      <c r="H26" s="32" t="s">
        <v>197</v>
      </c>
      <c r="I26" s="32" t="s">
        <v>223</v>
      </c>
    </row>
    <row r="27" spans="1:9" x14ac:dyDescent="0.35">
      <c r="A27" s="32" t="s">
        <v>288</v>
      </c>
      <c r="B27" s="32" t="s">
        <v>289</v>
      </c>
      <c r="C27" s="33">
        <v>46037</v>
      </c>
      <c r="D27" s="32" t="s">
        <v>290</v>
      </c>
      <c r="E27" s="32" t="s">
        <v>206</v>
      </c>
      <c r="F27" s="32">
        <v>2000</v>
      </c>
      <c r="G27" s="32"/>
      <c r="H27" s="32"/>
      <c r="I27" s="32" t="s">
        <v>223</v>
      </c>
    </row>
    <row r="28" spans="1:9" x14ac:dyDescent="0.35">
      <c r="A28" s="32" t="s">
        <v>291</v>
      </c>
      <c r="B28" s="32" t="s">
        <v>289</v>
      </c>
      <c r="C28" s="33">
        <v>46037</v>
      </c>
      <c r="D28" s="32" t="s">
        <v>292</v>
      </c>
      <c r="E28" s="32" t="s">
        <v>197</v>
      </c>
      <c r="F28" s="32"/>
      <c r="G28" s="32">
        <v>2000</v>
      </c>
      <c r="H28" s="32" t="s">
        <v>197</v>
      </c>
      <c r="I28" s="32" t="s">
        <v>223</v>
      </c>
    </row>
    <row r="29" spans="1:9" x14ac:dyDescent="0.35">
      <c r="A29" s="32" t="s">
        <v>293</v>
      </c>
      <c r="B29" s="32" t="s">
        <v>294</v>
      </c>
      <c r="C29" s="33">
        <v>46043</v>
      </c>
      <c r="D29" s="32" t="s">
        <v>295</v>
      </c>
      <c r="E29" s="32" t="s">
        <v>296</v>
      </c>
      <c r="F29" s="32">
        <v>117.9</v>
      </c>
      <c r="G29" s="32"/>
      <c r="H29" s="32" t="s">
        <v>297</v>
      </c>
      <c r="I29" s="32" t="s">
        <v>223</v>
      </c>
    </row>
    <row r="30" spans="1:9" x14ac:dyDescent="0.35">
      <c r="A30" s="32" t="s">
        <v>298</v>
      </c>
      <c r="B30" s="32" t="s">
        <v>294</v>
      </c>
      <c r="C30" s="33">
        <v>46043</v>
      </c>
      <c r="D30" s="32" t="s">
        <v>295</v>
      </c>
      <c r="E30" s="32" t="s">
        <v>197</v>
      </c>
      <c r="F30" s="32"/>
      <c r="G30" s="32">
        <v>117.9</v>
      </c>
      <c r="H30" s="32" t="s">
        <v>297</v>
      </c>
      <c r="I30" s="32" t="s">
        <v>223</v>
      </c>
    </row>
    <row r="31" spans="1:9" x14ac:dyDescent="0.35">
      <c r="A31" s="32" t="s">
        <v>299</v>
      </c>
      <c r="B31" s="32" t="s">
        <v>300</v>
      </c>
      <c r="C31" s="33">
        <v>46056</v>
      </c>
      <c r="D31" s="32" t="s">
        <v>301</v>
      </c>
      <c r="E31" s="32" t="s">
        <v>197</v>
      </c>
      <c r="F31" s="32">
        <v>39000</v>
      </c>
      <c r="G31" s="32"/>
      <c r="H31" s="32" t="s">
        <v>222</v>
      </c>
      <c r="I31" s="32" t="s">
        <v>223</v>
      </c>
    </row>
    <row r="32" spans="1:9" x14ac:dyDescent="0.35">
      <c r="A32" s="32" t="s">
        <v>302</v>
      </c>
      <c r="B32" s="32" t="s">
        <v>300</v>
      </c>
      <c r="C32" s="33">
        <v>46056</v>
      </c>
      <c r="D32" s="32" t="s">
        <v>301</v>
      </c>
      <c r="E32" s="32" t="s">
        <v>199</v>
      </c>
      <c r="F32" s="32">
        <v>20000</v>
      </c>
      <c r="G32" s="32"/>
      <c r="H32" s="32" t="s">
        <v>222</v>
      </c>
      <c r="I32" s="32" t="s">
        <v>223</v>
      </c>
    </row>
    <row r="33" spans="1:9" x14ac:dyDescent="0.35">
      <c r="A33" s="32" t="s">
        <v>303</v>
      </c>
      <c r="B33" s="32" t="s">
        <v>300</v>
      </c>
      <c r="C33" s="33">
        <v>46056</v>
      </c>
      <c r="D33" s="32" t="s">
        <v>301</v>
      </c>
      <c r="E33" s="32" t="s">
        <v>226</v>
      </c>
      <c r="F33" s="32"/>
      <c r="G33" s="32">
        <v>59000</v>
      </c>
      <c r="H33" s="32" t="s">
        <v>222</v>
      </c>
      <c r="I33" s="32" t="s">
        <v>223</v>
      </c>
    </row>
    <row r="34" spans="1:9" x14ac:dyDescent="0.35">
      <c r="A34" s="32" t="s">
        <v>304</v>
      </c>
      <c r="B34" s="32" t="s">
        <v>305</v>
      </c>
      <c r="C34" s="33">
        <v>46058</v>
      </c>
      <c r="D34" s="32" t="s">
        <v>229</v>
      </c>
      <c r="E34" s="32" t="s">
        <v>197</v>
      </c>
      <c r="F34" s="32">
        <v>19000</v>
      </c>
      <c r="G34" s="32"/>
      <c r="H34" s="32" t="s">
        <v>230</v>
      </c>
      <c r="I34" s="32" t="s">
        <v>223</v>
      </c>
    </row>
    <row r="35" spans="1:9" x14ac:dyDescent="0.35">
      <c r="A35" s="32" t="s">
        <v>306</v>
      </c>
      <c r="B35" s="32" t="s">
        <v>305</v>
      </c>
      <c r="C35" s="33">
        <v>46058</v>
      </c>
      <c r="D35" s="32" t="s">
        <v>229</v>
      </c>
      <c r="E35" s="32" t="s">
        <v>199</v>
      </c>
      <c r="F35" s="32"/>
      <c r="G35" s="32">
        <v>19000</v>
      </c>
      <c r="H35" s="32" t="s">
        <v>230</v>
      </c>
      <c r="I35" s="32" t="s">
        <v>223</v>
      </c>
    </row>
    <row r="36" spans="1:9" x14ac:dyDescent="0.35">
      <c r="A36" s="32" t="s">
        <v>307</v>
      </c>
      <c r="B36" s="32" t="s">
        <v>308</v>
      </c>
      <c r="C36" s="33">
        <v>46061</v>
      </c>
      <c r="D36" s="32" t="s">
        <v>234</v>
      </c>
      <c r="E36" s="32" t="s">
        <v>235</v>
      </c>
      <c r="F36" s="32">
        <v>24780</v>
      </c>
      <c r="G36" s="32"/>
      <c r="H36" s="32" t="s">
        <v>87</v>
      </c>
      <c r="I36" s="32" t="s">
        <v>223</v>
      </c>
    </row>
    <row r="37" spans="1:9" x14ac:dyDescent="0.35">
      <c r="A37" s="32" t="s">
        <v>309</v>
      </c>
      <c r="B37" s="32" t="s">
        <v>308</v>
      </c>
      <c r="C37" s="33">
        <v>46061</v>
      </c>
      <c r="D37" s="32" t="s">
        <v>310</v>
      </c>
      <c r="E37" s="32" t="s">
        <v>87</v>
      </c>
      <c r="F37" s="32"/>
      <c r="G37" s="32">
        <v>24780</v>
      </c>
      <c r="H37" s="32" t="s">
        <v>87</v>
      </c>
      <c r="I37" s="32" t="s">
        <v>223</v>
      </c>
    </row>
    <row r="38" spans="1:9" x14ac:dyDescent="0.35">
      <c r="A38" s="32" t="s">
        <v>311</v>
      </c>
      <c r="B38" s="32" t="s">
        <v>312</v>
      </c>
      <c r="C38" s="33">
        <v>46065</v>
      </c>
      <c r="D38" s="32" t="s">
        <v>239</v>
      </c>
      <c r="E38" s="32" t="s">
        <v>87</v>
      </c>
      <c r="F38" s="32">
        <v>28000</v>
      </c>
      <c r="G38" s="32"/>
      <c r="H38" s="32" t="s">
        <v>240</v>
      </c>
      <c r="I38" s="32" t="s">
        <v>223</v>
      </c>
    </row>
    <row r="39" spans="1:9" x14ac:dyDescent="0.35">
      <c r="A39" s="32" t="s">
        <v>313</v>
      </c>
      <c r="B39" s="32" t="s">
        <v>312</v>
      </c>
      <c r="C39" s="33">
        <v>46065</v>
      </c>
      <c r="D39" s="32" t="s">
        <v>239</v>
      </c>
      <c r="E39" s="32" t="s">
        <v>204</v>
      </c>
      <c r="F39" s="32"/>
      <c r="G39" s="32">
        <v>28000</v>
      </c>
      <c r="H39" s="32" t="s">
        <v>240</v>
      </c>
      <c r="I39" s="32" t="s">
        <v>223</v>
      </c>
    </row>
    <row r="40" spans="1:9" x14ac:dyDescent="0.35">
      <c r="A40" s="32" t="s">
        <v>314</v>
      </c>
      <c r="B40" s="32" t="s">
        <v>315</v>
      </c>
      <c r="C40" s="33">
        <v>46068</v>
      </c>
      <c r="D40" s="32" t="s">
        <v>245</v>
      </c>
      <c r="E40" s="32" t="s">
        <v>204</v>
      </c>
      <c r="F40" s="32">
        <v>25000</v>
      </c>
      <c r="G40" s="32"/>
      <c r="H40" s="32"/>
      <c r="I40" s="32" t="s">
        <v>223</v>
      </c>
    </row>
    <row r="41" spans="1:9" x14ac:dyDescent="0.35">
      <c r="A41" s="32" t="s">
        <v>316</v>
      </c>
      <c r="B41" s="32" t="s">
        <v>315</v>
      </c>
      <c r="C41" s="33">
        <v>46068</v>
      </c>
      <c r="D41" s="32" t="s">
        <v>245</v>
      </c>
      <c r="E41" s="32" t="s">
        <v>197</v>
      </c>
      <c r="F41" s="32"/>
      <c r="G41" s="32">
        <v>25000</v>
      </c>
      <c r="H41" s="32" t="s">
        <v>240</v>
      </c>
      <c r="I41" s="32" t="s">
        <v>223</v>
      </c>
    </row>
    <row r="42" spans="1:9" x14ac:dyDescent="0.35">
      <c r="A42" s="32" t="s">
        <v>317</v>
      </c>
      <c r="B42" s="32" t="s">
        <v>318</v>
      </c>
      <c r="C42" s="33">
        <v>46074</v>
      </c>
      <c r="D42" s="32" t="s">
        <v>249</v>
      </c>
      <c r="E42" s="32" t="s">
        <v>250</v>
      </c>
      <c r="F42" s="32">
        <v>15500</v>
      </c>
      <c r="G42" s="32"/>
      <c r="H42" s="32" t="s">
        <v>251</v>
      </c>
      <c r="I42" s="32" t="s">
        <v>223</v>
      </c>
    </row>
    <row r="43" spans="1:9" x14ac:dyDescent="0.35">
      <c r="A43" s="32" t="s">
        <v>319</v>
      </c>
      <c r="B43" s="32" t="s">
        <v>318</v>
      </c>
      <c r="C43" s="33">
        <v>46074</v>
      </c>
      <c r="D43" s="32" t="s">
        <v>249</v>
      </c>
      <c r="E43" s="32" t="s">
        <v>197</v>
      </c>
      <c r="F43" s="32"/>
      <c r="G43" s="32">
        <v>15500</v>
      </c>
      <c r="H43" s="32" t="s">
        <v>251</v>
      </c>
      <c r="I43" s="32" t="s">
        <v>223</v>
      </c>
    </row>
    <row r="44" spans="1:9" x14ac:dyDescent="0.35">
      <c r="A44" s="32" t="s">
        <v>320</v>
      </c>
      <c r="B44" s="32" t="s">
        <v>321</v>
      </c>
      <c r="C44" s="33">
        <v>46078</v>
      </c>
      <c r="D44" s="32" t="s">
        <v>255</v>
      </c>
      <c r="E44" s="32" t="s">
        <v>256</v>
      </c>
      <c r="F44" s="32">
        <v>9000</v>
      </c>
      <c r="G44" s="32"/>
      <c r="H44" s="32" t="s">
        <v>257</v>
      </c>
      <c r="I44" s="32" t="s">
        <v>223</v>
      </c>
    </row>
    <row r="45" spans="1:9" x14ac:dyDescent="0.35">
      <c r="A45" s="32" t="s">
        <v>322</v>
      </c>
      <c r="B45" s="32" t="s">
        <v>321</v>
      </c>
      <c r="C45" s="33">
        <v>46078</v>
      </c>
      <c r="D45" s="32" t="s">
        <v>255</v>
      </c>
      <c r="E45" s="32" t="s">
        <v>197</v>
      </c>
      <c r="F45" s="32"/>
      <c r="G45" s="32">
        <v>9000</v>
      </c>
      <c r="H45" s="32" t="s">
        <v>257</v>
      </c>
      <c r="I45" s="32" t="s">
        <v>223</v>
      </c>
    </row>
    <row r="46" spans="1:9" x14ac:dyDescent="0.35">
      <c r="A46" s="32" t="s">
        <v>323</v>
      </c>
      <c r="B46" s="32" t="s">
        <v>324</v>
      </c>
      <c r="C46" s="33">
        <v>46081</v>
      </c>
      <c r="D46" s="32" t="s">
        <v>325</v>
      </c>
      <c r="E46" s="32" t="s">
        <v>262</v>
      </c>
      <c r="F46" s="32">
        <v>4000</v>
      </c>
      <c r="G46" s="32"/>
      <c r="H46" s="32" t="s">
        <v>263</v>
      </c>
      <c r="I46" s="32" t="s">
        <v>223</v>
      </c>
    </row>
    <row r="47" spans="1:9" x14ac:dyDescent="0.35">
      <c r="A47" s="32" t="s">
        <v>326</v>
      </c>
      <c r="B47" s="32" t="s">
        <v>324</v>
      </c>
      <c r="C47" s="33">
        <v>46081</v>
      </c>
      <c r="D47" s="32" t="s">
        <v>261</v>
      </c>
      <c r="E47" s="32" t="s">
        <v>197</v>
      </c>
      <c r="F47" s="32"/>
      <c r="G47" s="32">
        <v>4000</v>
      </c>
      <c r="H47" s="32" t="s">
        <v>263</v>
      </c>
      <c r="I47" s="32" t="s">
        <v>223</v>
      </c>
    </row>
    <row r="48" spans="1:9" x14ac:dyDescent="0.35">
      <c r="A48" s="32" t="s">
        <v>327</v>
      </c>
      <c r="B48" s="32" t="s">
        <v>328</v>
      </c>
      <c r="C48" s="33">
        <v>46056</v>
      </c>
      <c r="D48" s="32" t="s">
        <v>271</v>
      </c>
      <c r="E48" s="32" t="s">
        <v>268</v>
      </c>
      <c r="F48" s="32">
        <v>1200</v>
      </c>
      <c r="G48" s="32"/>
      <c r="H48" s="32" t="s">
        <v>269</v>
      </c>
      <c r="I48" s="32" t="s">
        <v>223</v>
      </c>
    </row>
    <row r="49" spans="1:9" x14ac:dyDescent="0.35">
      <c r="A49" s="32" t="s">
        <v>329</v>
      </c>
      <c r="B49" s="32" t="s">
        <v>328</v>
      </c>
      <c r="C49" s="33">
        <v>46056</v>
      </c>
      <c r="D49" s="32" t="s">
        <v>271</v>
      </c>
      <c r="E49" s="32" t="s">
        <v>197</v>
      </c>
      <c r="F49" s="32"/>
      <c r="G49" s="32">
        <v>1200</v>
      </c>
      <c r="H49" s="32" t="s">
        <v>269</v>
      </c>
      <c r="I49" s="32" t="s">
        <v>223</v>
      </c>
    </row>
    <row r="50" spans="1:9" x14ac:dyDescent="0.35">
      <c r="A50" s="32" t="s">
        <v>330</v>
      </c>
      <c r="B50" s="32" t="s">
        <v>331</v>
      </c>
      <c r="C50" s="33">
        <v>46061</v>
      </c>
      <c r="D50" s="32" t="s">
        <v>279</v>
      </c>
      <c r="E50" s="32" t="s">
        <v>280</v>
      </c>
      <c r="F50" s="32">
        <v>1333.33</v>
      </c>
      <c r="G50" s="32"/>
      <c r="H50" s="32" t="s">
        <v>281</v>
      </c>
      <c r="I50" s="32" t="s">
        <v>223</v>
      </c>
    </row>
    <row r="51" spans="1:9" x14ac:dyDescent="0.35">
      <c r="A51" s="32" t="s">
        <v>332</v>
      </c>
      <c r="B51" s="32" t="s">
        <v>331</v>
      </c>
      <c r="C51" s="33">
        <v>46061</v>
      </c>
      <c r="D51" s="32" t="s">
        <v>279</v>
      </c>
      <c r="E51" s="32" t="s">
        <v>203</v>
      </c>
      <c r="F51" s="32"/>
      <c r="G51" s="32">
        <v>1333.33</v>
      </c>
      <c r="H51" s="32" t="s">
        <v>281</v>
      </c>
      <c r="I51" s="32" t="s">
        <v>223</v>
      </c>
    </row>
    <row r="52" spans="1:9" x14ac:dyDescent="0.35">
      <c r="A52" s="32" t="s">
        <v>333</v>
      </c>
      <c r="B52" s="32" t="s">
        <v>334</v>
      </c>
      <c r="C52" s="33">
        <v>46065</v>
      </c>
      <c r="D52" s="32" t="s">
        <v>285</v>
      </c>
      <c r="E52" s="32" t="s">
        <v>286</v>
      </c>
      <c r="F52" s="32">
        <v>325</v>
      </c>
      <c r="G52" s="32"/>
      <c r="H52" s="32" t="s">
        <v>197</v>
      </c>
      <c r="I52" s="32" t="s">
        <v>223</v>
      </c>
    </row>
    <row r="53" spans="1:9" x14ac:dyDescent="0.35">
      <c r="A53" s="32" t="s">
        <v>335</v>
      </c>
      <c r="B53" s="32" t="s">
        <v>334</v>
      </c>
      <c r="C53" s="33">
        <v>46065</v>
      </c>
      <c r="D53" s="32" t="s">
        <v>285</v>
      </c>
      <c r="E53" s="32" t="s">
        <v>197</v>
      </c>
      <c r="F53" s="32"/>
      <c r="G53" s="32">
        <v>325</v>
      </c>
      <c r="H53" s="32"/>
      <c r="I53" s="32" t="s">
        <v>223</v>
      </c>
    </row>
    <row r="54" spans="1:9" x14ac:dyDescent="0.35">
      <c r="A54" s="32" t="s">
        <v>336</v>
      </c>
      <c r="B54" s="32" t="s">
        <v>337</v>
      </c>
      <c r="C54" s="33">
        <v>46068</v>
      </c>
      <c r="D54" s="32" t="s">
        <v>290</v>
      </c>
      <c r="E54" s="32" t="s">
        <v>206</v>
      </c>
      <c r="F54" s="32">
        <v>2000</v>
      </c>
      <c r="G54" s="32"/>
      <c r="H54" s="32" t="s">
        <v>197</v>
      </c>
      <c r="I54" s="32" t="s">
        <v>223</v>
      </c>
    </row>
    <row r="55" spans="1:9" x14ac:dyDescent="0.35">
      <c r="A55" s="32" t="s">
        <v>338</v>
      </c>
      <c r="B55" s="32" t="s">
        <v>337</v>
      </c>
      <c r="C55" s="33">
        <v>46068</v>
      </c>
      <c r="D55" s="32" t="s">
        <v>292</v>
      </c>
      <c r="E55" s="32" t="s">
        <v>197</v>
      </c>
      <c r="F55" s="32"/>
      <c r="G55" s="32">
        <v>2000</v>
      </c>
      <c r="H55" s="32" t="s">
        <v>197</v>
      </c>
      <c r="I55" s="32" t="s">
        <v>223</v>
      </c>
    </row>
    <row r="56" spans="1:9" x14ac:dyDescent="0.35">
      <c r="A56" s="32" t="s">
        <v>339</v>
      </c>
      <c r="B56" s="32" t="s">
        <v>340</v>
      </c>
      <c r="C56" s="33">
        <v>46074</v>
      </c>
      <c r="D56" s="32" t="s">
        <v>295</v>
      </c>
      <c r="E56" s="32" t="s">
        <v>296</v>
      </c>
      <c r="F56" s="32">
        <v>772.65</v>
      </c>
      <c r="G56" s="32"/>
      <c r="H56" s="32" t="s">
        <v>297</v>
      </c>
      <c r="I56" s="32" t="s">
        <v>223</v>
      </c>
    </row>
    <row r="57" spans="1:9" x14ac:dyDescent="0.35">
      <c r="A57" s="32" t="s">
        <v>341</v>
      </c>
      <c r="B57" s="32" t="s">
        <v>340</v>
      </c>
      <c r="C57" s="33">
        <v>46074</v>
      </c>
      <c r="D57" s="32" t="s">
        <v>295</v>
      </c>
      <c r="E57" s="32" t="s">
        <v>197</v>
      </c>
      <c r="F57" s="32"/>
      <c r="G57" s="32">
        <v>772.65</v>
      </c>
      <c r="H57" s="32" t="s">
        <v>297</v>
      </c>
      <c r="I57" s="32" t="s">
        <v>223</v>
      </c>
    </row>
    <row r="58" spans="1:9" x14ac:dyDescent="0.35">
      <c r="A58" s="32" t="s">
        <v>342</v>
      </c>
      <c r="B58" s="32" t="s">
        <v>343</v>
      </c>
      <c r="C58" s="33">
        <v>46084</v>
      </c>
      <c r="D58" s="32" t="s">
        <v>344</v>
      </c>
      <c r="E58" s="32" t="s">
        <v>197</v>
      </c>
      <c r="F58" s="32">
        <v>42000</v>
      </c>
      <c r="G58" s="32"/>
      <c r="H58" s="32" t="s">
        <v>222</v>
      </c>
      <c r="I58" s="32" t="s">
        <v>223</v>
      </c>
    </row>
    <row r="59" spans="1:9" x14ac:dyDescent="0.35">
      <c r="A59" s="32" t="s">
        <v>345</v>
      </c>
      <c r="B59" s="32" t="s">
        <v>343</v>
      </c>
      <c r="C59" s="33">
        <v>46084</v>
      </c>
      <c r="D59" s="32" t="s">
        <v>344</v>
      </c>
      <c r="E59" s="32" t="s">
        <v>199</v>
      </c>
      <c r="F59" s="32">
        <v>24000</v>
      </c>
      <c r="G59" s="32"/>
      <c r="H59" s="32" t="s">
        <v>222</v>
      </c>
      <c r="I59" s="32" t="s">
        <v>223</v>
      </c>
    </row>
    <row r="60" spans="1:9" x14ac:dyDescent="0.35">
      <c r="A60" s="32" t="s">
        <v>346</v>
      </c>
      <c r="B60" s="32" t="s">
        <v>343</v>
      </c>
      <c r="C60" s="33">
        <v>46084</v>
      </c>
      <c r="D60" s="32" t="s">
        <v>344</v>
      </c>
      <c r="E60" s="32" t="s">
        <v>226</v>
      </c>
      <c r="F60" s="32"/>
      <c r="G60" s="32">
        <v>66000</v>
      </c>
      <c r="H60" s="32" t="s">
        <v>222</v>
      </c>
      <c r="I60" s="32" t="s">
        <v>223</v>
      </c>
    </row>
    <row r="61" spans="1:9" x14ac:dyDescent="0.35">
      <c r="A61" s="32" t="s">
        <v>347</v>
      </c>
      <c r="B61" s="32" t="s">
        <v>348</v>
      </c>
      <c r="C61" s="33">
        <v>46086</v>
      </c>
      <c r="D61" s="32" t="s">
        <v>229</v>
      </c>
      <c r="E61" s="32" t="s">
        <v>197</v>
      </c>
      <c r="F61" s="32">
        <v>20000</v>
      </c>
      <c r="G61" s="32"/>
      <c r="H61" s="32" t="s">
        <v>230</v>
      </c>
      <c r="I61" s="32" t="s">
        <v>223</v>
      </c>
    </row>
    <row r="62" spans="1:9" x14ac:dyDescent="0.35">
      <c r="A62" s="32" t="s">
        <v>349</v>
      </c>
      <c r="B62" s="32" t="s">
        <v>348</v>
      </c>
      <c r="C62" s="33">
        <v>46086</v>
      </c>
      <c r="D62" s="32" t="s">
        <v>229</v>
      </c>
      <c r="E62" s="32" t="s">
        <v>199</v>
      </c>
      <c r="F62" s="32"/>
      <c r="G62" s="32">
        <v>20000</v>
      </c>
      <c r="H62" s="32" t="s">
        <v>230</v>
      </c>
      <c r="I62" s="32" t="s">
        <v>223</v>
      </c>
    </row>
    <row r="63" spans="1:9" x14ac:dyDescent="0.35">
      <c r="A63" s="32" t="s">
        <v>350</v>
      </c>
      <c r="B63" s="32" t="s">
        <v>351</v>
      </c>
      <c r="C63" s="33">
        <v>46089</v>
      </c>
      <c r="D63" s="32" t="s">
        <v>234</v>
      </c>
      <c r="E63" s="32" t="s">
        <v>235</v>
      </c>
      <c r="F63" s="32">
        <v>27720</v>
      </c>
      <c r="G63" s="32"/>
      <c r="H63" s="32" t="s">
        <v>87</v>
      </c>
      <c r="I63" s="32" t="s">
        <v>223</v>
      </c>
    </row>
    <row r="64" spans="1:9" x14ac:dyDescent="0.35">
      <c r="A64" s="32" t="s">
        <v>352</v>
      </c>
      <c r="B64" s="32" t="s">
        <v>351</v>
      </c>
      <c r="C64" s="33">
        <v>46089</v>
      </c>
      <c r="D64" s="32" t="s">
        <v>310</v>
      </c>
      <c r="E64" s="32" t="s">
        <v>87</v>
      </c>
      <c r="F64" s="32"/>
      <c r="G64" s="32">
        <v>27720</v>
      </c>
      <c r="H64" s="32" t="s">
        <v>87</v>
      </c>
      <c r="I64" s="32" t="s">
        <v>223</v>
      </c>
    </row>
    <row r="65" spans="1:9" x14ac:dyDescent="0.35">
      <c r="A65" s="32" t="s">
        <v>353</v>
      </c>
      <c r="B65" s="32" t="s">
        <v>354</v>
      </c>
      <c r="C65" s="33">
        <v>46093</v>
      </c>
      <c r="D65" s="32" t="s">
        <v>239</v>
      </c>
      <c r="E65" s="32" t="s">
        <v>87</v>
      </c>
      <c r="F65" s="32">
        <v>30000</v>
      </c>
      <c r="G65" s="32"/>
      <c r="H65" s="32" t="s">
        <v>240</v>
      </c>
      <c r="I65" s="32" t="s">
        <v>223</v>
      </c>
    </row>
    <row r="66" spans="1:9" x14ac:dyDescent="0.35">
      <c r="A66" s="32" t="s">
        <v>355</v>
      </c>
      <c r="B66" s="32" t="s">
        <v>354</v>
      </c>
      <c r="C66" s="33">
        <v>46093</v>
      </c>
      <c r="D66" s="32" t="s">
        <v>239</v>
      </c>
      <c r="E66" s="32" t="s">
        <v>204</v>
      </c>
      <c r="F66" s="32"/>
      <c r="G66" s="32">
        <v>30000</v>
      </c>
      <c r="H66" s="32"/>
      <c r="I66" s="32" t="s">
        <v>223</v>
      </c>
    </row>
    <row r="67" spans="1:9" x14ac:dyDescent="0.35">
      <c r="A67" s="32" t="s">
        <v>356</v>
      </c>
      <c r="B67" s="32" t="s">
        <v>357</v>
      </c>
      <c r="C67" s="33">
        <v>46096</v>
      </c>
      <c r="D67" s="32" t="s">
        <v>245</v>
      </c>
      <c r="E67" s="32" t="s">
        <v>204</v>
      </c>
      <c r="F67" s="32">
        <v>28000</v>
      </c>
      <c r="G67" s="32"/>
      <c r="H67" s="32" t="s">
        <v>240</v>
      </c>
      <c r="I67" s="32" t="s">
        <v>223</v>
      </c>
    </row>
    <row r="68" spans="1:9" x14ac:dyDescent="0.35">
      <c r="A68" s="32" t="s">
        <v>358</v>
      </c>
      <c r="B68" s="32" t="s">
        <v>357</v>
      </c>
      <c r="C68" s="33">
        <v>46096</v>
      </c>
      <c r="D68" s="32" t="s">
        <v>245</v>
      </c>
      <c r="E68" s="32" t="s">
        <v>197</v>
      </c>
      <c r="F68" s="32"/>
      <c r="G68" s="32">
        <v>28000</v>
      </c>
      <c r="H68" s="32" t="s">
        <v>240</v>
      </c>
      <c r="I68" s="32" t="s">
        <v>223</v>
      </c>
    </row>
    <row r="69" spans="1:9" x14ac:dyDescent="0.35">
      <c r="A69" s="32" t="s">
        <v>359</v>
      </c>
      <c r="B69" s="32" t="s">
        <v>360</v>
      </c>
      <c r="C69" s="33">
        <v>46102</v>
      </c>
      <c r="D69" s="32" t="s">
        <v>249</v>
      </c>
      <c r="E69" s="32" t="s">
        <v>250</v>
      </c>
      <c r="F69" s="32">
        <v>15500</v>
      </c>
      <c r="G69" s="32"/>
      <c r="H69" s="32" t="s">
        <v>251</v>
      </c>
      <c r="I69" s="32" t="s">
        <v>223</v>
      </c>
    </row>
    <row r="70" spans="1:9" x14ac:dyDescent="0.35">
      <c r="A70" s="32" t="s">
        <v>361</v>
      </c>
      <c r="B70" s="32" t="s">
        <v>360</v>
      </c>
      <c r="C70" s="33">
        <v>46102</v>
      </c>
      <c r="D70" s="32" t="s">
        <v>249</v>
      </c>
      <c r="E70" s="32" t="s">
        <v>197</v>
      </c>
      <c r="F70" s="32"/>
      <c r="G70" s="32">
        <v>15500</v>
      </c>
      <c r="H70" s="32" t="s">
        <v>251</v>
      </c>
      <c r="I70" s="32" t="s">
        <v>223</v>
      </c>
    </row>
    <row r="71" spans="1:9" x14ac:dyDescent="0.35">
      <c r="A71" s="32" t="s">
        <v>362</v>
      </c>
      <c r="B71" s="32" t="s">
        <v>363</v>
      </c>
      <c r="C71" s="33">
        <v>46106</v>
      </c>
      <c r="D71" s="32" t="s">
        <v>255</v>
      </c>
      <c r="E71" s="32" t="s">
        <v>256</v>
      </c>
      <c r="F71" s="32">
        <v>9000</v>
      </c>
      <c r="G71" s="32"/>
      <c r="H71" s="32" t="s">
        <v>257</v>
      </c>
      <c r="I71" s="32" t="s">
        <v>223</v>
      </c>
    </row>
    <row r="72" spans="1:9" x14ac:dyDescent="0.35">
      <c r="A72" s="32" t="s">
        <v>364</v>
      </c>
      <c r="B72" s="32" t="s">
        <v>363</v>
      </c>
      <c r="C72" s="33">
        <v>46106</v>
      </c>
      <c r="D72" s="32" t="s">
        <v>255</v>
      </c>
      <c r="E72" s="32" t="s">
        <v>197</v>
      </c>
      <c r="F72" s="32"/>
      <c r="G72" s="32">
        <v>9000</v>
      </c>
      <c r="H72" s="32" t="s">
        <v>257</v>
      </c>
      <c r="I72" s="32" t="s">
        <v>223</v>
      </c>
    </row>
    <row r="73" spans="1:9" x14ac:dyDescent="0.35">
      <c r="A73" s="32" t="s">
        <v>365</v>
      </c>
      <c r="B73" s="32" t="s">
        <v>366</v>
      </c>
      <c r="C73" s="33">
        <v>46109</v>
      </c>
      <c r="D73" s="32" t="s">
        <v>325</v>
      </c>
      <c r="E73" s="32" t="s">
        <v>262</v>
      </c>
      <c r="F73" s="32">
        <v>5000</v>
      </c>
      <c r="G73" s="32"/>
      <c r="H73" s="32" t="s">
        <v>263</v>
      </c>
      <c r="I73" s="32" t="s">
        <v>223</v>
      </c>
    </row>
    <row r="74" spans="1:9" x14ac:dyDescent="0.35">
      <c r="A74" s="32" t="s">
        <v>367</v>
      </c>
      <c r="B74" s="32" t="s">
        <v>366</v>
      </c>
      <c r="C74" s="33">
        <v>46109</v>
      </c>
      <c r="D74" s="32" t="s">
        <v>261</v>
      </c>
      <c r="E74" s="32" t="s">
        <v>197</v>
      </c>
      <c r="F74" s="32"/>
      <c r="G74" s="32">
        <v>5000</v>
      </c>
      <c r="H74" s="32" t="s">
        <v>263</v>
      </c>
      <c r="I74" s="32" t="s">
        <v>223</v>
      </c>
    </row>
    <row r="75" spans="1:9" x14ac:dyDescent="0.35">
      <c r="A75" s="32" t="s">
        <v>368</v>
      </c>
      <c r="B75" s="32" t="s">
        <v>369</v>
      </c>
      <c r="C75" s="33">
        <v>46084</v>
      </c>
      <c r="D75" s="32" t="s">
        <v>271</v>
      </c>
      <c r="E75" s="32" t="s">
        <v>268</v>
      </c>
      <c r="F75" s="32">
        <v>1200</v>
      </c>
      <c r="G75" s="32"/>
      <c r="H75" s="32" t="s">
        <v>269</v>
      </c>
      <c r="I75" s="32" t="s">
        <v>223</v>
      </c>
    </row>
    <row r="76" spans="1:9" x14ac:dyDescent="0.35">
      <c r="A76" s="32" t="s">
        <v>370</v>
      </c>
      <c r="B76" s="32" t="s">
        <v>369</v>
      </c>
      <c r="C76" s="33">
        <v>46084</v>
      </c>
      <c r="D76" s="32" t="s">
        <v>271</v>
      </c>
      <c r="E76" s="32" t="s">
        <v>197</v>
      </c>
      <c r="F76" s="32"/>
      <c r="G76" s="32">
        <v>1200</v>
      </c>
      <c r="H76" s="32" t="s">
        <v>269</v>
      </c>
      <c r="I76" s="32" t="s">
        <v>223</v>
      </c>
    </row>
    <row r="77" spans="1:9" x14ac:dyDescent="0.35">
      <c r="A77" s="32" t="s">
        <v>371</v>
      </c>
      <c r="B77" s="32" t="s">
        <v>372</v>
      </c>
      <c r="C77" s="33">
        <v>46089</v>
      </c>
      <c r="D77" s="32" t="s">
        <v>279</v>
      </c>
      <c r="E77" s="32" t="s">
        <v>280</v>
      </c>
      <c r="F77" s="32">
        <v>1333.33</v>
      </c>
      <c r="G77" s="32"/>
      <c r="H77" s="32" t="s">
        <v>281</v>
      </c>
      <c r="I77" s="32" t="s">
        <v>223</v>
      </c>
    </row>
    <row r="78" spans="1:9" x14ac:dyDescent="0.35">
      <c r="A78" s="32" t="s">
        <v>373</v>
      </c>
      <c r="B78" s="32" t="s">
        <v>372</v>
      </c>
      <c r="C78" s="33">
        <v>46089</v>
      </c>
      <c r="D78" s="32" t="s">
        <v>279</v>
      </c>
      <c r="E78" s="32" t="s">
        <v>203</v>
      </c>
      <c r="F78" s="32"/>
      <c r="G78" s="32">
        <v>1333.33</v>
      </c>
      <c r="H78" s="32" t="s">
        <v>281</v>
      </c>
      <c r="I78" s="32" t="s">
        <v>223</v>
      </c>
    </row>
    <row r="79" spans="1:9" x14ac:dyDescent="0.35">
      <c r="A79" s="32" t="s">
        <v>374</v>
      </c>
      <c r="B79" s="32" t="s">
        <v>375</v>
      </c>
      <c r="C79" s="33">
        <v>46093</v>
      </c>
      <c r="D79" s="32" t="s">
        <v>285</v>
      </c>
      <c r="E79" s="32" t="s">
        <v>286</v>
      </c>
      <c r="F79" s="32">
        <v>300</v>
      </c>
      <c r="G79" s="32"/>
      <c r="H79" s="32"/>
      <c r="I79" s="32" t="s">
        <v>223</v>
      </c>
    </row>
    <row r="80" spans="1:9" x14ac:dyDescent="0.35">
      <c r="A80" s="32" t="s">
        <v>376</v>
      </c>
      <c r="B80" s="32" t="s">
        <v>375</v>
      </c>
      <c r="C80" s="33">
        <v>46093</v>
      </c>
      <c r="D80" s="32" t="s">
        <v>285</v>
      </c>
      <c r="E80" s="32" t="s">
        <v>197</v>
      </c>
      <c r="F80" s="32"/>
      <c r="G80" s="32">
        <v>300</v>
      </c>
      <c r="H80" s="32" t="s">
        <v>197</v>
      </c>
      <c r="I80" s="32" t="s">
        <v>223</v>
      </c>
    </row>
    <row r="81" spans="1:9" x14ac:dyDescent="0.35">
      <c r="A81" s="32" t="s">
        <v>377</v>
      </c>
      <c r="B81" s="32" t="s">
        <v>378</v>
      </c>
      <c r="C81" s="33">
        <v>46096</v>
      </c>
      <c r="D81" s="32" t="s">
        <v>290</v>
      </c>
      <c r="E81" s="32" t="s">
        <v>206</v>
      </c>
      <c r="F81" s="32">
        <v>2000</v>
      </c>
      <c r="G81" s="32"/>
      <c r="H81" s="32" t="s">
        <v>197</v>
      </c>
      <c r="I81" s="32" t="s">
        <v>223</v>
      </c>
    </row>
    <row r="82" spans="1:9" x14ac:dyDescent="0.35">
      <c r="A82" s="32" t="s">
        <v>379</v>
      </c>
      <c r="B82" s="32" t="s">
        <v>378</v>
      </c>
      <c r="C82" s="33">
        <v>46096</v>
      </c>
      <c r="D82" s="32" t="s">
        <v>292</v>
      </c>
      <c r="E82" s="32" t="s">
        <v>197</v>
      </c>
      <c r="F82" s="32"/>
      <c r="G82" s="32">
        <v>2000</v>
      </c>
      <c r="H82" s="32" t="s">
        <v>197</v>
      </c>
      <c r="I82" s="32" t="s">
        <v>223</v>
      </c>
    </row>
    <row r="83" spans="1:9" x14ac:dyDescent="0.35">
      <c r="A83" s="32" t="s">
        <v>380</v>
      </c>
      <c r="B83" s="32" t="s">
        <v>381</v>
      </c>
      <c r="C83" s="33">
        <v>46102</v>
      </c>
      <c r="D83" s="32" t="s">
        <v>295</v>
      </c>
      <c r="E83" s="32" t="s">
        <v>296</v>
      </c>
      <c r="F83" s="32">
        <v>1605.6</v>
      </c>
      <c r="G83" s="32"/>
      <c r="H83" s="32" t="s">
        <v>297</v>
      </c>
      <c r="I83" s="32" t="s">
        <v>223</v>
      </c>
    </row>
    <row r="84" spans="1:9" x14ac:dyDescent="0.35">
      <c r="A84" s="32" t="s">
        <v>382</v>
      </c>
      <c r="B84" s="32" t="s">
        <v>381</v>
      </c>
      <c r="C84" s="33">
        <v>46102</v>
      </c>
      <c r="D84" s="32" t="s">
        <v>295</v>
      </c>
      <c r="E84" s="32" t="s">
        <v>197</v>
      </c>
      <c r="F84" s="32"/>
      <c r="G84" s="32">
        <v>1605.6</v>
      </c>
      <c r="H84" s="32" t="s">
        <v>297</v>
      </c>
      <c r="I84" s="32" t="s">
        <v>223</v>
      </c>
    </row>
  </sheetData>
  <autoFilter ref="A1:I84" xr:uid="{00000000-0009-0000-0000-00000B000000}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showGridLines="0" zoomScaleNormal="100" workbookViewId="0">
      <pane xSplit="1" ySplit="3" topLeftCell="B20" activePane="bottomRight" state="frozen"/>
      <selection pane="topRight" activeCell="B1" sqref="B1"/>
      <selection pane="bottomLeft" activeCell="A4" sqref="A4"/>
      <selection pane="bottomRight" activeCell="B11" sqref="B11"/>
    </sheetView>
  </sheetViews>
  <sheetFormatPr defaultColWidth="8.6328125" defaultRowHeight="14.5" x14ac:dyDescent="0.35"/>
  <cols>
    <col min="1" max="1" width="38" customWidth="1"/>
    <col min="2" max="10" width="13" customWidth="1"/>
  </cols>
  <sheetData>
    <row r="1" spans="1:13" ht="28.5" customHeight="1" x14ac:dyDescent="0.5">
      <c r="A1" s="5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8.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35">
      <c r="A3" s="14" t="s">
        <v>38</v>
      </c>
      <c r="B3" s="15">
        <v>46113</v>
      </c>
      <c r="C3" s="15">
        <v>46143</v>
      </c>
      <c r="D3" s="15">
        <v>46174</v>
      </c>
      <c r="E3" s="15">
        <v>46204</v>
      </c>
      <c r="F3" s="15">
        <v>46235</v>
      </c>
      <c r="G3" s="15">
        <v>46266</v>
      </c>
      <c r="H3" s="15">
        <v>46296</v>
      </c>
      <c r="I3" s="15">
        <v>46327</v>
      </c>
      <c r="J3" s="15">
        <v>46357</v>
      </c>
    </row>
    <row r="4" spans="1:13" x14ac:dyDescent="0.35">
      <c r="A4" s="9" t="s">
        <v>39</v>
      </c>
      <c r="B4" s="16">
        <v>0.08</v>
      </c>
      <c r="C4" s="16">
        <v>0.08</v>
      </c>
      <c r="D4" s="16">
        <v>0.08</v>
      </c>
      <c r="E4" s="16">
        <v>0.05</v>
      </c>
      <c r="F4" s="16">
        <v>0.05</v>
      </c>
      <c r="G4" s="16">
        <v>0.05</v>
      </c>
      <c r="H4" s="16">
        <v>0.03</v>
      </c>
      <c r="I4" s="16">
        <v>0.03</v>
      </c>
      <c r="J4" s="16">
        <v>0.03</v>
      </c>
    </row>
    <row r="5" spans="1:13" x14ac:dyDescent="0.35">
      <c r="A5" s="17" t="s">
        <v>40</v>
      </c>
      <c r="B5" s="16">
        <v>0.6</v>
      </c>
      <c r="C5" s="16">
        <v>0.6</v>
      </c>
      <c r="D5" s="16">
        <v>0.6</v>
      </c>
      <c r="E5" s="16">
        <v>0.6</v>
      </c>
      <c r="F5" s="16">
        <v>0.6</v>
      </c>
      <c r="G5" s="16">
        <v>0.6</v>
      </c>
      <c r="H5" s="16">
        <v>0.6</v>
      </c>
      <c r="I5" s="16">
        <v>0.6</v>
      </c>
      <c r="J5" s="16">
        <v>0.6</v>
      </c>
    </row>
    <row r="6" spans="1:13" x14ac:dyDescent="0.35">
      <c r="A6" s="17" t="s">
        <v>41</v>
      </c>
      <c r="B6" s="16">
        <v>0.4</v>
      </c>
      <c r="C6" s="16">
        <v>0.4</v>
      </c>
      <c r="D6" s="16">
        <v>0.4</v>
      </c>
      <c r="E6" s="16">
        <v>0.4</v>
      </c>
      <c r="F6" s="16">
        <v>0.4</v>
      </c>
      <c r="G6" s="16">
        <v>0.4</v>
      </c>
      <c r="H6" s="16">
        <v>0.4</v>
      </c>
      <c r="I6" s="16">
        <v>0.4</v>
      </c>
      <c r="J6" s="16">
        <v>0.4</v>
      </c>
    </row>
    <row r="7" spans="1:13" x14ac:dyDescent="0.35">
      <c r="A7" s="9" t="s">
        <v>42</v>
      </c>
      <c r="B7" s="16">
        <v>0.42</v>
      </c>
      <c r="C7" s="16">
        <v>0.42</v>
      </c>
      <c r="D7" s="16">
        <v>0.42</v>
      </c>
      <c r="E7" s="16">
        <v>0.42</v>
      </c>
      <c r="F7" s="16">
        <v>0.42</v>
      </c>
      <c r="G7" s="16">
        <v>0.42</v>
      </c>
      <c r="H7" s="16">
        <v>0.42</v>
      </c>
      <c r="I7" s="16">
        <v>0.42</v>
      </c>
      <c r="J7" s="16">
        <v>0.42</v>
      </c>
    </row>
    <row r="8" spans="1:13" x14ac:dyDescent="0.35">
      <c r="A8" s="17" t="s">
        <v>43</v>
      </c>
      <c r="B8" s="18">
        <v>1.5</v>
      </c>
      <c r="C8" s="18">
        <v>1.5</v>
      </c>
      <c r="D8" s="18">
        <v>1.5</v>
      </c>
      <c r="E8" s="18">
        <v>1.5</v>
      </c>
      <c r="F8" s="18">
        <v>1.5</v>
      </c>
      <c r="G8" s="18">
        <v>1.5</v>
      </c>
      <c r="H8" s="18">
        <v>1.5</v>
      </c>
      <c r="I8" s="18">
        <v>1.5</v>
      </c>
      <c r="J8" s="18">
        <v>1.5</v>
      </c>
    </row>
    <row r="9" spans="1:13" x14ac:dyDescent="0.35">
      <c r="A9" s="17" t="s">
        <v>44</v>
      </c>
      <c r="B9" s="18">
        <v>1</v>
      </c>
      <c r="C9" s="18">
        <v>1</v>
      </c>
      <c r="D9" s="18">
        <v>1</v>
      </c>
      <c r="E9" s="18">
        <v>1</v>
      </c>
      <c r="F9" s="18">
        <v>1</v>
      </c>
      <c r="G9" s="18">
        <v>1</v>
      </c>
      <c r="H9" s="18">
        <v>1</v>
      </c>
      <c r="I9" s="18">
        <v>1</v>
      </c>
      <c r="J9" s="18">
        <v>1</v>
      </c>
    </row>
    <row r="10" spans="1:13" x14ac:dyDescent="0.35">
      <c r="A10" s="9" t="s">
        <v>45</v>
      </c>
      <c r="B10" s="19">
        <v>15500</v>
      </c>
      <c r="C10" s="19">
        <v>15500</v>
      </c>
      <c r="D10" s="19">
        <v>15500</v>
      </c>
      <c r="E10" s="19">
        <v>16275</v>
      </c>
      <c r="F10" s="19">
        <v>16275</v>
      </c>
      <c r="G10" s="19">
        <v>16275</v>
      </c>
      <c r="H10" s="19">
        <v>16275</v>
      </c>
      <c r="I10" s="19">
        <v>16275</v>
      </c>
      <c r="J10" s="19">
        <v>16275</v>
      </c>
    </row>
    <row r="11" spans="1:13" x14ac:dyDescent="0.35">
      <c r="A11" s="17" t="s">
        <v>46</v>
      </c>
      <c r="B11" s="19">
        <v>9000</v>
      </c>
      <c r="C11" s="19">
        <v>9000</v>
      </c>
      <c r="D11" s="19">
        <v>9000</v>
      </c>
      <c r="E11" s="19">
        <v>9000</v>
      </c>
      <c r="F11" s="19">
        <v>9000</v>
      </c>
      <c r="G11" s="19">
        <v>9000</v>
      </c>
      <c r="H11" s="19">
        <v>9000</v>
      </c>
      <c r="I11" s="19">
        <v>9000</v>
      </c>
      <c r="J11" s="19">
        <v>9000</v>
      </c>
    </row>
    <row r="12" spans="1:13" x14ac:dyDescent="0.35">
      <c r="A12" s="17" t="s">
        <v>47</v>
      </c>
      <c r="B12" s="19">
        <v>5000</v>
      </c>
      <c r="C12" s="19">
        <v>5000</v>
      </c>
      <c r="D12" s="19">
        <v>5000</v>
      </c>
      <c r="E12" s="19">
        <v>6000</v>
      </c>
      <c r="F12" s="19">
        <v>6000</v>
      </c>
      <c r="G12" s="19">
        <v>6000</v>
      </c>
      <c r="H12" s="19">
        <v>6000</v>
      </c>
      <c r="I12" s="19">
        <v>6000</v>
      </c>
      <c r="J12" s="19">
        <v>6000</v>
      </c>
    </row>
    <row r="13" spans="1:13" x14ac:dyDescent="0.35">
      <c r="A13" s="17" t="s">
        <v>48</v>
      </c>
      <c r="B13" s="19">
        <v>1300</v>
      </c>
      <c r="C13" s="19">
        <v>1300</v>
      </c>
      <c r="D13" s="19">
        <v>1300</v>
      </c>
      <c r="E13" s="19">
        <v>1300</v>
      </c>
      <c r="F13" s="19">
        <v>1300</v>
      </c>
      <c r="G13" s="19">
        <v>1300</v>
      </c>
      <c r="H13" s="19">
        <v>1300</v>
      </c>
      <c r="I13" s="19">
        <v>1300</v>
      </c>
      <c r="J13" s="19">
        <v>1300</v>
      </c>
    </row>
    <row r="14" spans="1:13" x14ac:dyDescent="0.35">
      <c r="A14" s="9" t="s">
        <v>49</v>
      </c>
      <c r="B14" s="19"/>
      <c r="C14" s="19"/>
      <c r="D14" s="19"/>
      <c r="E14" s="19">
        <v>18000</v>
      </c>
      <c r="F14" s="19"/>
      <c r="G14" s="19"/>
      <c r="H14" s="19"/>
      <c r="I14" s="19"/>
      <c r="J14" s="19"/>
    </row>
    <row r="15" spans="1:13" x14ac:dyDescent="0.35">
      <c r="A15" s="17" t="s">
        <v>50</v>
      </c>
      <c r="B15" s="18"/>
      <c r="C15" s="18"/>
      <c r="D15" s="18"/>
      <c r="E15" s="18">
        <v>36</v>
      </c>
      <c r="F15" s="18"/>
      <c r="G15" s="18"/>
      <c r="H15" s="18"/>
      <c r="I15" s="18"/>
      <c r="J15" s="18"/>
    </row>
    <row r="16" spans="1:13" x14ac:dyDescent="0.35">
      <c r="A16" s="17" t="s">
        <v>51</v>
      </c>
      <c r="B16" s="19">
        <v>1333.33</v>
      </c>
      <c r="C16" s="19">
        <v>1333.33</v>
      </c>
      <c r="D16" s="19">
        <v>1333.33</v>
      </c>
      <c r="E16" s="19">
        <v>1333.33</v>
      </c>
      <c r="F16" s="19">
        <v>1333.33</v>
      </c>
      <c r="G16" s="19">
        <v>1333.33</v>
      </c>
      <c r="H16" s="19">
        <v>1333.33</v>
      </c>
      <c r="I16" s="19">
        <v>1333.33</v>
      </c>
      <c r="J16" s="19">
        <v>1333.33</v>
      </c>
    </row>
    <row r="17" spans="1:10" x14ac:dyDescent="0.35">
      <c r="A17" s="9" t="s">
        <v>52</v>
      </c>
      <c r="B17" s="16">
        <v>0.15</v>
      </c>
      <c r="C17" s="16">
        <v>0.15</v>
      </c>
      <c r="D17" s="16">
        <v>0.15</v>
      </c>
      <c r="E17" s="16">
        <v>0.15</v>
      </c>
      <c r="F17" s="16">
        <v>0.15</v>
      </c>
      <c r="G17" s="16">
        <v>0.15</v>
      </c>
      <c r="H17" s="16">
        <v>0.15</v>
      </c>
      <c r="I17" s="16">
        <v>0.15</v>
      </c>
      <c r="J17" s="16">
        <v>0.15</v>
      </c>
    </row>
    <row r="18" spans="1:10" x14ac:dyDescent="0.35">
      <c r="A18" s="17" t="s">
        <v>53</v>
      </c>
      <c r="B18" s="19">
        <v>2000</v>
      </c>
      <c r="C18" s="19">
        <v>2000</v>
      </c>
      <c r="D18" s="19">
        <v>2000</v>
      </c>
      <c r="E18" s="19">
        <v>2000</v>
      </c>
      <c r="F18" s="19">
        <v>2000</v>
      </c>
      <c r="G18" s="19">
        <v>2000</v>
      </c>
      <c r="H18" s="19">
        <v>2000</v>
      </c>
      <c r="I18" s="19">
        <v>2000</v>
      </c>
      <c r="J18" s="19">
        <v>2000</v>
      </c>
    </row>
    <row r="19" spans="1:10" x14ac:dyDescent="0.35">
      <c r="A19" s="9" t="s">
        <v>54</v>
      </c>
      <c r="B19" s="16">
        <v>0.27</v>
      </c>
      <c r="C19" s="16">
        <v>0.27</v>
      </c>
      <c r="D19" s="16">
        <v>0.27</v>
      </c>
      <c r="E19" s="16">
        <v>0.27</v>
      </c>
      <c r="F19" s="16">
        <v>0.27</v>
      </c>
      <c r="G19" s="16">
        <v>0.27</v>
      </c>
      <c r="H19" s="16">
        <v>0.27</v>
      </c>
      <c r="I19" s="16">
        <v>0.27</v>
      </c>
      <c r="J19" s="16">
        <v>0.27</v>
      </c>
    </row>
    <row r="22" spans="1:10" x14ac:dyDescent="0.35">
      <c r="A22" s="8" t="s">
        <v>55</v>
      </c>
      <c r="B22" s="8"/>
      <c r="C22" s="8"/>
      <c r="D22" s="8"/>
      <c r="E22" s="8"/>
      <c r="F22" s="8"/>
      <c r="G22" s="8"/>
      <c r="H22" s="8"/>
      <c r="I22" s="8"/>
      <c r="J22" s="8"/>
    </row>
    <row r="23" spans="1:10" ht="24.75" customHeight="1" x14ac:dyDescent="0.35">
      <c r="A23" s="1" t="s">
        <v>56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4.75" customHeight="1" x14ac:dyDescent="0.35">
      <c r="A24" s="1" t="s">
        <v>57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24.75" customHeight="1" x14ac:dyDescent="0.35">
      <c r="A25" s="1" t="s">
        <v>58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24.75" customHeight="1" x14ac:dyDescent="0.35">
      <c r="A26" s="1" t="s">
        <v>59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24.75" customHeight="1" x14ac:dyDescent="0.35">
      <c r="A27" s="1" t="s">
        <v>60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24.75" customHeight="1" x14ac:dyDescent="0.35">
      <c r="A28" s="1" t="s">
        <v>61</v>
      </c>
      <c r="B28" s="1"/>
      <c r="C28" s="1"/>
      <c r="D28" s="1"/>
      <c r="E28" s="1"/>
      <c r="F28" s="1"/>
      <c r="G28" s="1"/>
      <c r="H28" s="1"/>
      <c r="I28" s="1"/>
      <c r="J28" s="1"/>
    </row>
  </sheetData>
  <mergeCells count="8">
    <mergeCell ref="A26:J26"/>
    <mergeCell ref="A27:J27"/>
    <mergeCell ref="A28:J28"/>
    <mergeCell ref="A1:M1"/>
    <mergeCell ref="A2:M2"/>
    <mergeCell ref="A23:J23"/>
    <mergeCell ref="A24:J24"/>
    <mergeCell ref="A25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  <pageSetUpPr fitToPage="1"/>
  </sheetPr>
  <dimension ref="A1:M22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1" sqref="C11"/>
    </sheetView>
  </sheetViews>
  <sheetFormatPr defaultColWidth="8.6328125" defaultRowHeight="14.5" x14ac:dyDescent="0.35"/>
  <cols>
    <col min="1" max="1" width="37" style="32" customWidth="1"/>
    <col min="2" max="13" width="13" style="32" customWidth="1"/>
    <col min="14" max="16384" width="8.6328125" style="32"/>
  </cols>
  <sheetData>
    <row r="1" spans="1:13" ht="28.5" customHeight="1" x14ac:dyDescent="0.5">
      <c r="A1" s="34" t="s">
        <v>62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8.5" customHeight="1" x14ac:dyDescent="0.3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5">
      <c r="B3" s="36">
        <v>46023</v>
      </c>
      <c r="C3" s="36">
        <v>46054</v>
      </c>
      <c r="D3" s="36">
        <v>46082</v>
      </c>
      <c r="E3" s="36">
        <v>46113</v>
      </c>
      <c r="F3" s="36">
        <v>46143</v>
      </c>
      <c r="G3" s="36">
        <v>46174</v>
      </c>
      <c r="H3" s="36">
        <v>46204</v>
      </c>
      <c r="I3" s="36">
        <v>46235</v>
      </c>
      <c r="J3" s="36">
        <v>46266</v>
      </c>
      <c r="K3" s="36">
        <v>46296</v>
      </c>
      <c r="L3" s="36">
        <v>46327</v>
      </c>
      <c r="M3" s="36">
        <v>46357</v>
      </c>
    </row>
    <row r="4" spans="1:13" x14ac:dyDescent="0.35">
      <c r="A4" s="37" t="s">
        <v>63</v>
      </c>
      <c r="B4" s="32" t="s">
        <v>64</v>
      </c>
      <c r="C4" s="32" t="s">
        <v>64</v>
      </c>
      <c r="D4" s="32" t="s">
        <v>64</v>
      </c>
      <c r="E4" s="32" t="s">
        <v>65</v>
      </c>
      <c r="F4" s="32" t="s">
        <v>65</v>
      </c>
      <c r="G4" s="32" t="s">
        <v>65</v>
      </c>
      <c r="H4" s="32" t="s">
        <v>65</v>
      </c>
      <c r="I4" s="32" t="s">
        <v>65</v>
      </c>
      <c r="J4" s="32" t="s">
        <v>65</v>
      </c>
      <c r="K4" s="32" t="s">
        <v>65</v>
      </c>
      <c r="L4" s="32" t="s">
        <v>65</v>
      </c>
      <c r="M4" s="32" t="s">
        <v>65</v>
      </c>
    </row>
    <row r="5" spans="1:13" x14ac:dyDescent="0.35">
      <c r="A5" s="38" t="s">
        <v>66</v>
      </c>
      <c r="B5" s="32">
        <f>SUMIFS('Clean Journal'!$G:$G,'Clean Journal'!$E:$E,"Sales Revenue",'Clean Journal'!$C:$C,"&gt;="&amp;B$3,'Clean Journal'!$C:$C,"&lt;"&amp;EDATE(B$3,1))</f>
        <v>54000</v>
      </c>
      <c r="C5" s="32">
        <f>SUMIFS('Clean Journal'!$G:$G,'Clean Journal'!$E:$E,"Sales Revenue",'Clean Journal'!$C:$C,"&gt;="&amp;C$3,'Clean Journal'!$C:$C,"&lt;"&amp;EDATE(C$3,1))</f>
        <v>59000</v>
      </c>
      <c r="D5" s="32">
        <f>SUMIFS('Clean Journal'!$G:$G,'Clean Journal'!$E:$E,"Sales Revenue",'Clean Journal'!$C:$C,"&gt;="&amp;D$3,'Clean Journal'!$C:$C,"&lt;"&amp;EDATE(D$3,1))</f>
        <v>66000</v>
      </c>
      <c r="E5" s="32">
        <f>D5*(1+Assumptions!B4)</f>
        <v>71280</v>
      </c>
      <c r="F5" s="32">
        <f>E5*(1+Assumptions!C4)</f>
        <v>76982.400000000009</v>
      </c>
      <c r="G5" s="32">
        <f>F5*(1+Assumptions!D4)</f>
        <v>83140.992000000013</v>
      </c>
      <c r="H5" s="32">
        <f>G5*(1+Assumptions!E4)</f>
        <v>87298.041600000011</v>
      </c>
      <c r="I5" s="32">
        <f>H5*(1+Assumptions!F4)</f>
        <v>91662.943680000011</v>
      </c>
      <c r="J5" s="32">
        <f>I5*(1+Assumptions!G4)</f>
        <v>96246.090864000013</v>
      </c>
      <c r="K5" s="32">
        <f>J5*(1+Assumptions!H4)</f>
        <v>99133.473589920017</v>
      </c>
      <c r="L5" s="32">
        <f>K5*(1+Assumptions!I4)</f>
        <v>102107.47779761763</v>
      </c>
      <c r="M5" s="32">
        <f>L5*(1+Assumptions!J4)</f>
        <v>105170.70213154616</v>
      </c>
    </row>
    <row r="6" spans="1:13" x14ac:dyDescent="0.35">
      <c r="A6" s="38" t="s">
        <v>67</v>
      </c>
      <c r="B6" s="32">
        <f>SUMIFS('Clean Journal'!$F:$F,'Clean Journal'!$E:$E,"Cost of Sales",'Clean Journal'!$C:$C,"&gt;="&amp;B$3,'Clean Journal'!$C:$C,"&lt;"&amp;EDATE(B$3,1))</f>
        <v>22680</v>
      </c>
      <c r="C6" s="32">
        <f>SUMIFS('Clean Journal'!$F:$F,'Clean Journal'!$E:$E,"Cost of Sales",'Clean Journal'!$C:$C,"&gt;="&amp;C$3,'Clean Journal'!$C:$C,"&lt;"&amp;EDATE(C$3,1))</f>
        <v>24780</v>
      </c>
      <c r="D6" s="32">
        <f>SUMIFS('Clean Journal'!$F:$F,'Clean Journal'!$E:$E,"Cost of Sales",'Clean Journal'!$C:$C,"&gt;="&amp;D$3,'Clean Journal'!$C:$C,"&lt;"&amp;EDATE(D$3,1))</f>
        <v>27720</v>
      </c>
      <c r="E6" s="32">
        <f>E5*Assumptions!B7</f>
        <v>29937.599999999999</v>
      </c>
      <c r="F6" s="32">
        <f>F5*Assumptions!C7</f>
        <v>32332.608000000004</v>
      </c>
      <c r="G6" s="32">
        <f>G5*Assumptions!D7</f>
        <v>34919.216640000006</v>
      </c>
      <c r="H6" s="32">
        <f>H5*Assumptions!E7</f>
        <v>36665.177472000003</v>
      </c>
      <c r="I6" s="32">
        <f>I5*Assumptions!F7</f>
        <v>38498.436345600006</v>
      </c>
      <c r="J6" s="32">
        <f>J5*Assumptions!G7</f>
        <v>40423.358162880002</v>
      </c>
      <c r="K6" s="32">
        <f>K5*Assumptions!H7</f>
        <v>41636.058907766404</v>
      </c>
      <c r="L6" s="32">
        <f>L5*Assumptions!I7</f>
        <v>42885.140674999398</v>
      </c>
      <c r="M6" s="32">
        <f>M5*Assumptions!J7</f>
        <v>44171.694895249384</v>
      </c>
    </row>
    <row r="7" spans="1:13" x14ac:dyDescent="0.35">
      <c r="A7" s="37" t="s">
        <v>68</v>
      </c>
      <c r="B7" s="32">
        <f t="shared" ref="B7:M7" si="0">B5-B6</f>
        <v>31320</v>
      </c>
      <c r="C7" s="32">
        <f t="shared" si="0"/>
        <v>34220</v>
      </c>
      <c r="D7" s="32">
        <f t="shared" si="0"/>
        <v>38280</v>
      </c>
      <c r="E7" s="32">
        <f t="shared" si="0"/>
        <v>41342.400000000001</v>
      </c>
      <c r="F7" s="32">
        <f t="shared" si="0"/>
        <v>44649.792000000001</v>
      </c>
      <c r="G7" s="32">
        <f t="shared" si="0"/>
        <v>48221.775360000007</v>
      </c>
      <c r="H7" s="32">
        <f t="shared" si="0"/>
        <v>50632.864128000008</v>
      </c>
      <c r="I7" s="32">
        <f t="shared" si="0"/>
        <v>53164.507334400005</v>
      </c>
      <c r="J7" s="32">
        <f t="shared" si="0"/>
        <v>55822.73270112001</v>
      </c>
      <c r="K7" s="32">
        <f t="shared" si="0"/>
        <v>57497.414682153612</v>
      </c>
      <c r="L7" s="32">
        <f t="shared" si="0"/>
        <v>59222.337122618228</v>
      </c>
      <c r="M7" s="32">
        <f t="shared" si="0"/>
        <v>60999.007236296777</v>
      </c>
    </row>
    <row r="8" spans="1:13" x14ac:dyDescent="0.35">
      <c r="A8" s="38" t="s">
        <v>69</v>
      </c>
      <c r="B8" s="39">
        <f t="shared" ref="B8:M8" si="1">IFERROR(B7/B5,0)</f>
        <v>0.57999999999999996</v>
      </c>
      <c r="C8" s="39">
        <f t="shared" si="1"/>
        <v>0.57999999999999996</v>
      </c>
      <c r="D8" s="39">
        <f t="shared" si="1"/>
        <v>0.57999999999999996</v>
      </c>
      <c r="E8" s="39">
        <f t="shared" si="1"/>
        <v>0.58000000000000007</v>
      </c>
      <c r="F8" s="39">
        <f t="shared" si="1"/>
        <v>0.57999999999999996</v>
      </c>
      <c r="G8" s="39">
        <f t="shared" si="1"/>
        <v>0.57999999999999996</v>
      </c>
      <c r="H8" s="39">
        <f t="shared" si="1"/>
        <v>0.58000000000000007</v>
      </c>
      <c r="I8" s="39">
        <f t="shared" si="1"/>
        <v>0.57999999999999996</v>
      </c>
      <c r="J8" s="39">
        <f t="shared" si="1"/>
        <v>0.58000000000000007</v>
      </c>
      <c r="K8" s="39">
        <f t="shared" si="1"/>
        <v>0.58000000000000007</v>
      </c>
      <c r="L8" s="39">
        <f t="shared" si="1"/>
        <v>0.58000000000000007</v>
      </c>
      <c r="M8" s="39">
        <f t="shared" si="1"/>
        <v>0.58000000000000007</v>
      </c>
    </row>
    <row r="9" spans="1:13" x14ac:dyDescent="0.35">
      <c r="A9" s="38"/>
    </row>
    <row r="10" spans="1:13" x14ac:dyDescent="0.35">
      <c r="A10" s="37" t="s">
        <v>70</v>
      </c>
      <c r="B10" s="32">
        <f>SUMIFS('Clean Journal'!$F:$F,'Clean Journal'!$E:$E,"Payroll Expense",'Clean Journal'!$C:$C,"&gt;="&amp;B$3,'Clean Journal'!$C:$C,"&lt;"&amp;EDATE(B$3,1))</f>
        <v>15500</v>
      </c>
      <c r="C10" s="32">
        <f>SUMIFS('Clean Journal'!$F:$F,'Clean Journal'!$E:$E,"Payroll Expense",'Clean Journal'!$C:$C,"&gt;="&amp;C$3,'Clean Journal'!$C:$C,"&lt;"&amp;EDATE(C$3,1))</f>
        <v>15500</v>
      </c>
      <c r="D10" s="32">
        <f>SUMIFS('Clean Journal'!$F:$F,'Clean Journal'!$E:$E,"Payroll Expense",'Clean Journal'!$C:$C,"&gt;="&amp;D$3,'Clean Journal'!$C:$C,"&lt;"&amp;EDATE(D$3,1))</f>
        <v>15500</v>
      </c>
      <c r="E10" s="40">
        <f>Assumptions!B10</f>
        <v>15500</v>
      </c>
      <c r="F10" s="40">
        <f>Assumptions!C10</f>
        <v>15500</v>
      </c>
      <c r="G10" s="40">
        <f>Assumptions!D10</f>
        <v>15500</v>
      </c>
      <c r="H10" s="40">
        <f>Assumptions!E10</f>
        <v>16275</v>
      </c>
      <c r="I10" s="40">
        <f>Assumptions!F10</f>
        <v>16275</v>
      </c>
      <c r="J10" s="40">
        <f>Assumptions!G10</f>
        <v>16275</v>
      </c>
      <c r="K10" s="40">
        <f>Assumptions!H10</f>
        <v>16275</v>
      </c>
      <c r="L10" s="40">
        <f>Assumptions!I10</f>
        <v>16275</v>
      </c>
      <c r="M10" s="40">
        <f>Assumptions!J10</f>
        <v>16275</v>
      </c>
    </row>
    <row r="11" spans="1:13" x14ac:dyDescent="0.35">
      <c r="A11" s="37" t="s">
        <v>71</v>
      </c>
      <c r="B11" s="32">
        <f>SUMIFS('Clean Journal'!$F:$F,'Clean Journal'!$E:$E,"Rent Expense",'Clean Journal'!$C:$C,"&gt;="&amp;B$3,'Clean Journal'!$C:$C,"&lt;"&amp;EDATE(B$3,1))</f>
        <v>9000</v>
      </c>
      <c r="C11" s="32">
        <f>SUMIFS('Clean Journal'!$F:$F,'Clean Journal'!$E:$E,"Rent Expense",'Clean Journal'!$C:$C,"&gt;="&amp;C$3,'Clean Journal'!$C:$C,"&lt;"&amp;EDATE(C$3,1))</f>
        <v>9000</v>
      </c>
      <c r="D11" s="32">
        <f>SUMIFS('Clean Journal'!$F:$F,'Clean Journal'!$E:$E,"Rent Expense",'Clean Journal'!$C:$C,"&gt;="&amp;D$3,'Clean Journal'!$C:$C,"&lt;"&amp;EDATE(D$3,1))</f>
        <v>9000</v>
      </c>
      <c r="E11" s="40">
        <f>Assumptions!B11</f>
        <v>9000</v>
      </c>
      <c r="F11" s="40">
        <f>Assumptions!C11</f>
        <v>9000</v>
      </c>
      <c r="G11" s="40">
        <f>Assumptions!D11</f>
        <v>9000</v>
      </c>
      <c r="H11" s="40">
        <f>Assumptions!E11</f>
        <v>9000</v>
      </c>
      <c r="I11" s="40">
        <f>Assumptions!F11</f>
        <v>9000</v>
      </c>
      <c r="J11" s="40">
        <f>Assumptions!G11</f>
        <v>9000</v>
      </c>
      <c r="K11" s="40">
        <f>Assumptions!H11</f>
        <v>9000</v>
      </c>
      <c r="L11" s="40">
        <f>Assumptions!I11</f>
        <v>9000</v>
      </c>
      <c r="M11" s="40">
        <f>Assumptions!J11</f>
        <v>9000</v>
      </c>
    </row>
    <row r="12" spans="1:13" x14ac:dyDescent="0.35">
      <c r="A12" s="38" t="s">
        <v>72</v>
      </c>
      <c r="B12" s="32">
        <f>SUMIFS('Clean Journal'!$F:$F,'Clean Journal'!$E:$E,"Marketing Expense",'Clean Journal'!$C:$C,"&gt;="&amp;B$3,'Clean Journal'!$C:$C,"&lt;"&amp;EDATE(B$3,1))</f>
        <v>3500</v>
      </c>
      <c r="C12" s="32">
        <f>SUMIFS('Clean Journal'!$F:$F,'Clean Journal'!$E:$E,"Marketing Expense",'Clean Journal'!$C:$C,"&gt;="&amp;C$3,'Clean Journal'!$C:$C,"&lt;"&amp;EDATE(C$3,1))</f>
        <v>4000</v>
      </c>
      <c r="D12" s="32">
        <f>SUMIFS('Clean Journal'!$F:$F,'Clean Journal'!$E:$E,"Marketing Expense",'Clean Journal'!$C:$C,"&gt;="&amp;D$3,'Clean Journal'!$C:$C,"&lt;"&amp;EDATE(D$3,1))</f>
        <v>5000</v>
      </c>
      <c r="E12" s="40">
        <f>Assumptions!B12</f>
        <v>5000</v>
      </c>
      <c r="F12" s="40">
        <f>Assumptions!C12</f>
        <v>5000</v>
      </c>
      <c r="G12" s="40">
        <f>Assumptions!D12</f>
        <v>5000</v>
      </c>
      <c r="H12" s="40">
        <f>Assumptions!E12</f>
        <v>6000</v>
      </c>
      <c r="I12" s="40">
        <f>Assumptions!F12</f>
        <v>6000</v>
      </c>
      <c r="J12" s="40">
        <f>Assumptions!G12</f>
        <v>6000</v>
      </c>
      <c r="K12" s="40">
        <f>Assumptions!H12</f>
        <v>6000</v>
      </c>
      <c r="L12" s="40">
        <f>Assumptions!I12</f>
        <v>6000</v>
      </c>
      <c r="M12" s="40">
        <f>Assumptions!J12</f>
        <v>6000</v>
      </c>
    </row>
    <row r="13" spans="1:13" x14ac:dyDescent="0.35">
      <c r="A13" s="37" t="s">
        <v>73</v>
      </c>
      <c r="B13" s="32">
        <f>SUMIFS('Clean Journal'!$F:$F,'Clean Journal'!$E:$E,"Utilities Expense",'Clean Journal'!$C:$C,"&gt;="&amp;B$3,'Clean Journal'!$C:$C,"&lt;"&amp;EDATE(B$3,1))</f>
        <v>1200</v>
      </c>
      <c r="C13" s="32">
        <f>SUMIFS('Clean Journal'!$F:$F,'Clean Journal'!$E:$E,"Utilities Expense",'Clean Journal'!$C:$C,"&gt;="&amp;C$3,'Clean Journal'!$C:$C,"&lt;"&amp;EDATE(C$3,1))</f>
        <v>1200</v>
      </c>
      <c r="D13" s="32">
        <f>SUMIFS('Clean Journal'!$F:$F,'Clean Journal'!$E:$E,"Utilities Expense",'Clean Journal'!$C:$C,"&gt;="&amp;D$3,'Clean Journal'!$C:$C,"&lt;"&amp;EDATE(D$3,1))</f>
        <v>1200</v>
      </c>
      <c r="E13" s="40">
        <f>Assumptions!B13</f>
        <v>1300</v>
      </c>
      <c r="F13" s="40">
        <f>Assumptions!C13</f>
        <v>1300</v>
      </c>
      <c r="G13" s="40">
        <f>Assumptions!D13</f>
        <v>1300</v>
      </c>
      <c r="H13" s="40">
        <f>Assumptions!E13</f>
        <v>1300</v>
      </c>
      <c r="I13" s="40">
        <f>Assumptions!F13</f>
        <v>1300</v>
      </c>
      <c r="J13" s="40">
        <f>Assumptions!G13</f>
        <v>1300</v>
      </c>
      <c r="K13" s="40">
        <f>Assumptions!H13</f>
        <v>1300</v>
      </c>
      <c r="L13" s="40">
        <f>Assumptions!I13</f>
        <v>1300</v>
      </c>
      <c r="M13" s="40">
        <f>Assumptions!J13</f>
        <v>1300</v>
      </c>
    </row>
    <row r="14" spans="1:13" x14ac:dyDescent="0.35">
      <c r="A14" s="37" t="s">
        <v>74</v>
      </c>
      <c r="B14" s="32">
        <f>SUMIFS('Clean Journal'!$F:$F,'Clean Journal'!$E:$E,"Depreciation Expense",'Clean Journal'!$C:$C,"&gt;="&amp;B$3,'Clean Journal'!$C:$C,"&lt;"&amp;EDATE(B$3,1))</f>
        <v>1333.33</v>
      </c>
      <c r="C14" s="32">
        <f>SUMIFS('Clean Journal'!$F:$F,'Clean Journal'!$E:$E,"Depreciation Expense",'Clean Journal'!$C:$C,"&gt;="&amp;C$3,'Clean Journal'!$C:$C,"&lt;"&amp;EDATE(C$3,1))</f>
        <v>1333.33</v>
      </c>
      <c r="D14" s="32">
        <f>SUMIFS('Clean Journal'!$F:$F,'Clean Journal'!$E:$E,"Depreciation Expense",'Clean Journal'!$C:$C,"&gt;="&amp;D$3,'Clean Journal'!$C:$C,"&lt;"&amp;EDATE(D$3,1))</f>
        <v>1333.33</v>
      </c>
      <c r="E14" s="32">
        <f>'PP&amp;E &amp; Debt'!E9</f>
        <v>1333.33</v>
      </c>
      <c r="F14" s="32">
        <f>'PP&amp;E &amp; Debt'!F9</f>
        <v>1333.33</v>
      </c>
      <c r="G14" s="32">
        <f>'PP&amp;E &amp; Debt'!G9</f>
        <v>1333.33</v>
      </c>
      <c r="H14" s="32">
        <f>'PP&amp;E &amp; Debt'!H9</f>
        <v>1833.33</v>
      </c>
      <c r="I14" s="32">
        <f>'PP&amp;E &amp; Debt'!I9</f>
        <v>1333.33</v>
      </c>
      <c r="J14" s="32">
        <f>'PP&amp;E &amp; Debt'!J9</f>
        <v>1333.33</v>
      </c>
      <c r="K14" s="32">
        <f>'PP&amp;E &amp; Debt'!K9</f>
        <v>1333.33</v>
      </c>
      <c r="L14" s="32">
        <f>'PP&amp;E &amp; Debt'!L9</f>
        <v>1333.33</v>
      </c>
      <c r="M14" s="32">
        <f>'PP&amp;E &amp; Debt'!M9</f>
        <v>1333.33</v>
      </c>
    </row>
    <row r="15" spans="1:13" x14ac:dyDescent="0.35">
      <c r="A15" s="38" t="s">
        <v>75</v>
      </c>
      <c r="B15" s="32">
        <f t="shared" ref="B15:M15" si="2">SUM(B10:B14)</f>
        <v>30533.33</v>
      </c>
      <c r="C15" s="32">
        <f t="shared" si="2"/>
        <v>31033.33</v>
      </c>
      <c r="D15" s="32">
        <f t="shared" si="2"/>
        <v>32033.33</v>
      </c>
      <c r="E15" s="32">
        <f t="shared" si="2"/>
        <v>32133.33</v>
      </c>
      <c r="F15" s="32">
        <f t="shared" si="2"/>
        <v>32133.33</v>
      </c>
      <c r="G15" s="32">
        <f t="shared" si="2"/>
        <v>32133.33</v>
      </c>
      <c r="H15" s="32">
        <f t="shared" si="2"/>
        <v>34408.33</v>
      </c>
      <c r="I15" s="32">
        <f t="shared" si="2"/>
        <v>33908.33</v>
      </c>
      <c r="J15" s="32">
        <f t="shared" si="2"/>
        <v>33908.33</v>
      </c>
      <c r="K15" s="32">
        <f t="shared" si="2"/>
        <v>33908.33</v>
      </c>
      <c r="L15" s="32">
        <f t="shared" si="2"/>
        <v>33908.33</v>
      </c>
      <c r="M15" s="32">
        <f t="shared" si="2"/>
        <v>33908.33</v>
      </c>
    </row>
    <row r="16" spans="1:13" x14ac:dyDescent="0.35">
      <c r="A16" s="37" t="s">
        <v>76</v>
      </c>
      <c r="B16" s="32">
        <f t="shared" ref="B16:M16" si="3">B7-SUM(B10:B13)</f>
        <v>2120</v>
      </c>
      <c r="C16" s="32">
        <f t="shared" si="3"/>
        <v>4520</v>
      </c>
      <c r="D16" s="32">
        <f t="shared" si="3"/>
        <v>7580</v>
      </c>
      <c r="E16" s="32">
        <f t="shared" si="3"/>
        <v>10542.400000000001</v>
      </c>
      <c r="F16" s="32">
        <f t="shared" si="3"/>
        <v>13849.792000000001</v>
      </c>
      <c r="G16" s="32">
        <f t="shared" si="3"/>
        <v>17421.775360000007</v>
      </c>
      <c r="H16" s="32">
        <f t="shared" si="3"/>
        <v>18057.864128000008</v>
      </c>
      <c r="I16" s="32">
        <f t="shared" si="3"/>
        <v>20589.507334400005</v>
      </c>
      <c r="J16" s="32">
        <f t="shared" si="3"/>
        <v>23247.73270112001</v>
      </c>
      <c r="K16" s="32">
        <f t="shared" si="3"/>
        <v>24922.414682153612</v>
      </c>
      <c r="L16" s="32">
        <f t="shared" si="3"/>
        <v>26647.337122618228</v>
      </c>
      <c r="M16" s="32">
        <f t="shared" si="3"/>
        <v>28424.007236296777</v>
      </c>
    </row>
    <row r="17" spans="1:13" x14ac:dyDescent="0.35">
      <c r="A17" s="38" t="s">
        <v>77</v>
      </c>
      <c r="B17" s="39">
        <f t="shared" ref="B17:M17" si="4">IFERROR(B16/B5,0)</f>
        <v>3.9259259259259258E-2</v>
      </c>
      <c r="C17" s="39">
        <f t="shared" si="4"/>
        <v>7.6610169491525423E-2</v>
      </c>
      <c r="D17" s="39">
        <f t="shared" si="4"/>
        <v>0.11484848484848485</v>
      </c>
      <c r="E17" s="39">
        <f t="shared" si="4"/>
        <v>0.14790123456790125</v>
      </c>
      <c r="F17" s="39">
        <f t="shared" si="4"/>
        <v>0.17990855052583446</v>
      </c>
      <c r="G17" s="39">
        <f t="shared" si="4"/>
        <v>0.20954495419058752</v>
      </c>
      <c r="H17" s="39">
        <f t="shared" si="4"/>
        <v>0.20685302667774857</v>
      </c>
      <c r="I17" s="39">
        <f t="shared" si="4"/>
        <v>0.22462193016928433</v>
      </c>
      <c r="J17" s="39">
        <f t="shared" si="4"/>
        <v>0.24154469539931847</v>
      </c>
      <c r="K17" s="39">
        <f t="shared" si="4"/>
        <v>0.25140261689254223</v>
      </c>
      <c r="L17" s="39">
        <f t="shared" si="4"/>
        <v>0.26097341445877886</v>
      </c>
      <c r="M17" s="39">
        <f t="shared" si="4"/>
        <v>0.2702654509308533</v>
      </c>
    </row>
    <row r="18" spans="1:13" x14ac:dyDescent="0.35">
      <c r="A18" s="37" t="s">
        <v>78</v>
      </c>
      <c r="B18" s="32">
        <f t="shared" ref="B18:M18" si="5">B7-B15</f>
        <v>786.66999999999825</v>
      </c>
      <c r="C18" s="32">
        <f t="shared" si="5"/>
        <v>3186.6699999999983</v>
      </c>
      <c r="D18" s="32">
        <f t="shared" si="5"/>
        <v>6246.6699999999983</v>
      </c>
      <c r="E18" s="32">
        <f t="shared" si="5"/>
        <v>9209.07</v>
      </c>
      <c r="F18" s="32">
        <f t="shared" si="5"/>
        <v>12516.462</v>
      </c>
      <c r="G18" s="32">
        <f t="shared" si="5"/>
        <v>16088.445360000005</v>
      </c>
      <c r="H18" s="32">
        <f t="shared" si="5"/>
        <v>16224.534128000007</v>
      </c>
      <c r="I18" s="32">
        <f t="shared" si="5"/>
        <v>19256.177334400003</v>
      </c>
      <c r="J18" s="32">
        <f t="shared" si="5"/>
        <v>21914.402701120009</v>
      </c>
      <c r="K18" s="32">
        <f t="shared" si="5"/>
        <v>23589.084682153611</v>
      </c>
      <c r="L18" s="32">
        <f t="shared" si="5"/>
        <v>25314.007122618226</v>
      </c>
      <c r="M18" s="32">
        <f t="shared" si="5"/>
        <v>27090.677236296775</v>
      </c>
    </row>
    <row r="19" spans="1:13" x14ac:dyDescent="0.35">
      <c r="A19" s="37" t="s">
        <v>79</v>
      </c>
      <c r="B19" s="32">
        <f>SUMIFS('Clean Journal'!$F:$F,'Clean Journal'!$E:$E,"Interest Expense",'Clean Journal'!$C:$C,"&gt;="&amp;B$3,'Clean Journal'!$C:$C,"&lt;"&amp;EDATE(B$3,1))</f>
        <v>350</v>
      </c>
      <c r="C19" s="32">
        <f>SUMIFS('Clean Journal'!$F:$F,'Clean Journal'!$E:$E,"Interest Expense",'Clean Journal'!$C:$C,"&gt;="&amp;C$3,'Clean Journal'!$C:$C,"&lt;"&amp;EDATE(C$3,1))</f>
        <v>325</v>
      </c>
      <c r="D19" s="32">
        <f>SUMIFS('Clean Journal'!$F:$F,'Clean Journal'!$E:$E,"Interest Expense",'Clean Journal'!$C:$C,"&gt;="&amp;D$3,'Clean Journal'!$C:$C,"&lt;"&amp;EDATE(D$3,1))</f>
        <v>300</v>
      </c>
      <c r="E19" s="32">
        <f>'PP&amp;E &amp; Debt'!E19</f>
        <v>275</v>
      </c>
      <c r="F19" s="32">
        <f>'PP&amp;E &amp; Debt'!F19</f>
        <v>250</v>
      </c>
      <c r="G19" s="32">
        <f>'PP&amp;E &amp; Debt'!G19</f>
        <v>225</v>
      </c>
      <c r="H19" s="32">
        <f>'PP&amp;E &amp; Debt'!H19</f>
        <v>200</v>
      </c>
      <c r="I19" s="32">
        <f>'PP&amp;E &amp; Debt'!I19</f>
        <v>175</v>
      </c>
      <c r="J19" s="32">
        <f>'PP&amp;E &amp; Debt'!J19</f>
        <v>150</v>
      </c>
      <c r="K19" s="32">
        <f>'PP&amp;E &amp; Debt'!K19</f>
        <v>125</v>
      </c>
      <c r="L19" s="32">
        <f>'PP&amp;E &amp; Debt'!L19</f>
        <v>100</v>
      </c>
      <c r="M19" s="32">
        <f>'PP&amp;E &amp; Debt'!M19</f>
        <v>75</v>
      </c>
    </row>
    <row r="20" spans="1:13" x14ac:dyDescent="0.35">
      <c r="A20" s="37" t="s">
        <v>80</v>
      </c>
      <c r="B20" s="32">
        <f t="shared" ref="B20:M20" si="6">B18-B19</f>
        <v>436.66999999999825</v>
      </c>
      <c r="C20" s="32">
        <f t="shared" si="6"/>
        <v>2861.6699999999983</v>
      </c>
      <c r="D20" s="32">
        <f t="shared" si="6"/>
        <v>5946.6699999999983</v>
      </c>
      <c r="E20" s="32">
        <f t="shared" si="6"/>
        <v>8934.07</v>
      </c>
      <c r="F20" s="32">
        <f t="shared" si="6"/>
        <v>12266.462</v>
      </c>
      <c r="G20" s="32">
        <f t="shared" si="6"/>
        <v>15863.445360000005</v>
      </c>
      <c r="H20" s="32">
        <f t="shared" si="6"/>
        <v>16024.534128000007</v>
      </c>
      <c r="I20" s="32">
        <f t="shared" si="6"/>
        <v>19081.177334400003</v>
      </c>
      <c r="J20" s="32">
        <f t="shared" si="6"/>
        <v>21764.402701120009</v>
      </c>
      <c r="K20" s="32">
        <f t="shared" si="6"/>
        <v>23464.084682153611</v>
      </c>
      <c r="L20" s="32">
        <f t="shared" si="6"/>
        <v>25214.007122618226</v>
      </c>
      <c r="M20" s="32">
        <f t="shared" si="6"/>
        <v>27015.677236296775</v>
      </c>
    </row>
    <row r="21" spans="1:13" x14ac:dyDescent="0.35">
      <c r="A21" s="37" t="s">
        <v>81</v>
      </c>
      <c r="B21" s="32">
        <f>SUMIFS('Clean Journal'!$F:$F,'Clean Journal'!$E:$E,"Income Tax Expense",'Clean Journal'!$C:$C,"&gt;="&amp;B$3,'Clean Journal'!$C:$C,"&lt;"&amp;EDATE(B$3,1))</f>
        <v>117.9</v>
      </c>
      <c r="C21" s="32">
        <f>SUMIFS('Clean Journal'!$F:$F,'Clean Journal'!$E:$E,"Income Tax Expense",'Clean Journal'!$C:$C,"&gt;="&amp;C$3,'Clean Journal'!$C:$C,"&lt;"&amp;EDATE(C$3,1))</f>
        <v>772.65</v>
      </c>
      <c r="D21" s="32">
        <f>SUMIFS('Clean Journal'!$F:$F,'Clean Journal'!$E:$E,"Income Tax Expense",'Clean Journal'!$C:$C,"&gt;="&amp;D$3,'Clean Journal'!$C:$C,"&lt;"&amp;EDATE(D$3,1))</f>
        <v>1605.6</v>
      </c>
      <c r="E21" s="32">
        <f>MAX(0,E20*Assumptions!B19)</f>
        <v>2412.1988999999999</v>
      </c>
      <c r="F21" s="32">
        <f>MAX(0,F20*Assumptions!C19)</f>
        <v>3311.9447399999999</v>
      </c>
      <c r="G21" s="32">
        <f>MAX(0,G20*Assumptions!D19)</f>
        <v>4283.1302472000016</v>
      </c>
      <c r="H21" s="32">
        <f>MAX(0,H20*Assumptions!E19)</f>
        <v>4326.6242145600017</v>
      </c>
      <c r="I21" s="32">
        <f>MAX(0,I20*Assumptions!F19)</f>
        <v>5151.9178802880015</v>
      </c>
      <c r="J21" s="32">
        <f>MAX(0,J20*Assumptions!G19)</f>
        <v>5876.3887293024027</v>
      </c>
      <c r="K21" s="32">
        <f>MAX(0,K20*Assumptions!H19)</f>
        <v>6335.3028641814753</v>
      </c>
      <c r="L21" s="32">
        <f>MAX(0,L20*Assumptions!I19)</f>
        <v>6807.7819231069216</v>
      </c>
      <c r="M21" s="32">
        <f>MAX(0,M20*Assumptions!J19)</f>
        <v>7294.2328538001293</v>
      </c>
    </row>
    <row r="22" spans="1:13" x14ac:dyDescent="0.35">
      <c r="A22" s="37" t="s">
        <v>82</v>
      </c>
      <c r="B22" s="32">
        <f t="shared" ref="B22:M22" si="7">B20-B21</f>
        <v>318.76999999999828</v>
      </c>
      <c r="C22" s="32">
        <f t="shared" si="7"/>
        <v>2089.0199999999982</v>
      </c>
      <c r="D22" s="32">
        <f t="shared" si="7"/>
        <v>4341.0699999999979</v>
      </c>
      <c r="E22" s="32">
        <f t="shared" si="7"/>
        <v>6521.8711000000003</v>
      </c>
      <c r="F22" s="32">
        <f t="shared" si="7"/>
        <v>8954.5172600000005</v>
      </c>
      <c r="G22" s="32">
        <f t="shared" si="7"/>
        <v>11580.315112800003</v>
      </c>
      <c r="H22" s="32">
        <f t="shared" si="7"/>
        <v>11697.909913440006</v>
      </c>
      <c r="I22" s="32">
        <f t="shared" si="7"/>
        <v>13929.259454112002</v>
      </c>
      <c r="J22" s="32">
        <f t="shared" si="7"/>
        <v>15888.013971817607</v>
      </c>
      <c r="K22" s="32">
        <f t="shared" si="7"/>
        <v>17128.781817972136</v>
      </c>
      <c r="L22" s="32">
        <f t="shared" si="7"/>
        <v>18406.225199511304</v>
      </c>
      <c r="M22" s="32">
        <f t="shared" si="7"/>
        <v>19721.444382496644</v>
      </c>
    </row>
  </sheetData>
  <mergeCells count="2">
    <mergeCell ref="A1:M1"/>
    <mergeCell ref="A2:M2"/>
  </mergeCell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  <pageSetUpPr fitToPage="1"/>
  </sheetPr>
  <dimension ref="A1:M23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3" sqref="D13"/>
    </sheetView>
  </sheetViews>
  <sheetFormatPr defaultColWidth="8.6328125" defaultRowHeight="14.5" x14ac:dyDescent="0.35"/>
  <cols>
    <col min="1" max="1" width="40" style="32" customWidth="1"/>
    <col min="2" max="13" width="13" style="32" customWidth="1"/>
    <col min="14" max="16384" width="8.6328125" style="32"/>
  </cols>
  <sheetData>
    <row r="1" spans="1:13" ht="28.5" customHeight="1" x14ac:dyDescent="0.5">
      <c r="A1" s="34" t="s">
        <v>83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8.5" customHeight="1" x14ac:dyDescent="0.3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5">
      <c r="B3" s="36">
        <v>46023</v>
      </c>
      <c r="C3" s="36">
        <v>46054</v>
      </c>
      <c r="D3" s="36">
        <v>46082</v>
      </c>
      <c r="E3" s="36">
        <v>46113</v>
      </c>
      <c r="F3" s="36">
        <v>46143</v>
      </c>
      <c r="G3" s="36">
        <v>46174</v>
      </c>
      <c r="H3" s="36">
        <v>46204</v>
      </c>
      <c r="I3" s="36">
        <v>46235</v>
      </c>
      <c r="J3" s="36">
        <v>46266</v>
      </c>
      <c r="K3" s="36">
        <v>46296</v>
      </c>
      <c r="L3" s="36">
        <v>46327</v>
      </c>
      <c r="M3" s="36">
        <v>46357</v>
      </c>
    </row>
    <row r="4" spans="1:13" x14ac:dyDescent="0.35">
      <c r="A4" s="37" t="s">
        <v>84</v>
      </c>
    </row>
    <row r="5" spans="1:13" x14ac:dyDescent="0.35">
      <c r="A5" s="38" t="s">
        <v>85</v>
      </c>
      <c r="B5" s="32">
        <f>'Cash Flow'!B23</f>
        <v>52332.1</v>
      </c>
      <c r="C5" s="32">
        <f>'Cash Flow'!C23</f>
        <v>52534.45</v>
      </c>
      <c r="D5" s="32">
        <f>'Cash Flow'!D23</f>
        <v>51928.849999999991</v>
      </c>
      <c r="E5" s="32">
        <f>'Cash Flow'!E23</f>
        <v>55209.651099999988</v>
      </c>
      <c r="F5" s="32">
        <f>'Cash Flow'!F23</f>
        <v>64932.634359999989</v>
      </c>
      <c r="G5" s="32">
        <f>'Cash Flow'!G23</f>
        <v>72089.53835279998</v>
      </c>
      <c r="H5" s="32">
        <f>'Cash Flow'!H23</f>
        <v>63084.978010239982</v>
      </c>
      <c r="I5" s="32">
        <f>'Cash Flow'!I23</f>
        <v>73684.977195551983</v>
      </c>
      <c r="J5" s="32">
        <f>'Cash Flow'!J23</f>
        <v>86110.601385129587</v>
      </c>
      <c r="K5" s="32">
        <f>'Cash Flow'!K23</f>
        <v>100811.40974029052</v>
      </c>
      <c r="L5" s="32">
        <f>'Cash Flow'!L23</f>
        <v>116736.82237310628</v>
      </c>
      <c r="M5" s="32">
        <f>'Cash Flow'!M23</f>
        <v>133923.02991190652</v>
      </c>
    </row>
    <row r="6" spans="1:13" x14ac:dyDescent="0.35">
      <c r="A6" s="38" t="s">
        <v>86</v>
      </c>
      <c r="B6" s="32">
        <f>SUMIFS(OpeningTB!$C:$C,OpeningTB!$B:$B,"Accounts Receivable")+SUMIFS('Clean Journal'!$F:$F,'Clean Journal'!$E:$E,"Accounts Receivable",'Clean Journal'!$C:$C,"&lt;"&amp;EDATE(B$3,1))-SUMIFS('Clean Journal'!$G:$G,'Clean Journal'!$E:$E,"Accounts Receivable",'Clean Journal'!$C:$C,"&lt;"&amp;EDATE(B$3,1))</f>
        <v>21000</v>
      </c>
      <c r="C6" s="32">
        <f>SUMIFS(OpeningTB!$C:$C,OpeningTB!$B:$B,"Accounts Receivable")+SUMIFS('Clean Journal'!$F:$F,'Clean Journal'!$E:$E,"Accounts Receivable",'Clean Journal'!$C:$C,"&lt;"&amp;EDATE(C$3,1))-SUMIFS('Clean Journal'!$G:$G,'Clean Journal'!$E:$E,"Accounts Receivable",'Clean Journal'!$C:$C,"&lt;"&amp;EDATE(C$3,1))</f>
        <v>22000</v>
      </c>
      <c r="D6" s="32">
        <f>SUMIFS(OpeningTB!$C:$C,OpeningTB!$B:$B,"Accounts Receivable")+SUMIFS('Clean Journal'!$F:$F,'Clean Journal'!$E:$E,"Accounts Receivable",'Clean Journal'!$C:$C,"&lt;"&amp;EDATE(D$3,1))-SUMIFS('Clean Journal'!$G:$G,'Clean Journal'!$E:$E,"Accounts Receivable",'Clean Journal'!$C:$C,"&lt;"&amp;EDATE(D$3,1))</f>
        <v>26000</v>
      </c>
      <c r="E6" s="32">
        <f>'Working Capital'!E12</f>
        <v>28512</v>
      </c>
      <c r="F6" s="32">
        <f>'Working Capital'!F12</f>
        <v>30792.960000000006</v>
      </c>
      <c r="G6" s="32">
        <f>'Working Capital'!G12</f>
        <v>33256.39680000001</v>
      </c>
      <c r="H6" s="32">
        <f>'Working Capital'!H12</f>
        <v>34919.216640000006</v>
      </c>
      <c r="I6" s="32">
        <f>'Working Capital'!I12</f>
        <v>36665.177472000003</v>
      </c>
      <c r="J6" s="32">
        <f>'Working Capital'!J12</f>
        <v>38498.436345600006</v>
      </c>
      <c r="K6" s="32">
        <f>'Working Capital'!K12</f>
        <v>39653.389435968013</v>
      </c>
      <c r="L6" s="32">
        <f>'Working Capital'!L12</f>
        <v>40842.991119047052</v>
      </c>
      <c r="M6" s="32">
        <f>'Working Capital'!M12</f>
        <v>42068.280852618467</v>
      </c>
    </row>
    <row r="7" spans="1:13" x14ac:dyDescent="0.35">
      <c r="A7" s="37" t="s">
        <v>87</v>
      </c>
      <c r="B7" s="32">
        <f>SUMIFS(OpeningTB!$C:$C,OpeningTB!$B:$B,"Inventory")+SUMIFS('Clean Journal'!$F:$F,'Clean Journal'!$E:$E,"Inventory",'Clean Journal'!$C:$C,"&lt;"&amp;EDATE(B$3,1))-SUMIFS('Clean Journal'!$G:$G,'Clean Journal'!$E:$E,"Inventory",'Clean Journal'!$C:$C,"&lt;"&amp;EDATE(B$3,1))</f>
        <v>44320</v>
      </c>
      <c r="C7" s="32">
        <f>SUMIFS(OpeningTB!$C:$C,OpeningTB!$B:$B,"Inventory")+SUMIFS('Clean Journal'!$F:$F,'Clean Journal'!$E:$E,"Inventory",'Clean Journal'!$C:$C,"&lt;"&amp;EDATE(C$3,1))-SUMIFS('Clean Journal'!$G:$G,'Clean Journal'!$E:$E,"Inventory",'Clean Journal'!$C:$C,"&lt;"&amp;EDATE(C$3,1))</f>
        <v>47540</v>
      </c>
      <c r="D7" s="32">
        <f>SUMIFS(OpeningTB!$C:$C,OpeningTB!$B:$B,"Inventory")+SUMIFS('Clean Journal'!$F:$F,'Clean Journal'!$E:$E,"Inventory",'Clean Journal'!$C:$C,"&lt;"&amp;EDATE(D$3,1))-SUMIFS('Clean Journal'!$G:$G,'Clean Journal'!$E:$E,"Inventory",'Clean Journal'!$C:$C,"&lt;"&amp;EDATE(D$3,1))</f>
        <v>49820</v>
      </c>
      <c r="E7" s="32">
        <f>'Working Capital'!E16</f>
        <v>48498.912000000004</v>
      </c>
      <c r="F7" s="32">
        <f>'Working Capital'!F16</f>
        <v>52378.824960000013</v>
      </c>
      <c r="G7" s="32">
        <f>'Working Capital'!G16</f>
        <v>54997.766208000001</v>
      </c>
      <c r="H7" s="32">
        <f>'Working Capital'!H16</f>
        <v>57747.654518400013</v>
      </c>
      <c r="I7" s="32">
        <f>'Working Capital'!I16</f>
        <v>60635.037244320003</v>
      </c>
      <c r="J7" s="32">
        <f>'Working Capital'!J16</f>
        <v>62454.088361649607</v>
      </c>
      <c r="K7" s="32">
        <f>'Working Capital'!K16</f>
        <v>64327.711012499101</v>
      </c>
      <c r="L7" s="32">
        <f>'Working Capital'!L16</f>
        <v>66257.542342874076</v>
      </c>
      <c r="M7" s="32">
        <f>'Working Capital'!M16</f>
        <v>66257.542342874076</v>
      </c>
    </row>
    <row r="8" spans="1:13" x14ac:dyDescent="0.35">
      <c r="A8" s="38" t="s">
        <v>88</v>
      </c>
      <c r="B8" s="32">
        <f>SUMIFS(OpeningTB!$C:$C,OpeningTB!$B:$B,"Equipment")+SUMIFS('Clean Journal'!$F:$F,'Clean Journal'!$E:$E,"Equipment",'Clean Journal'!$C:$C,"&lt;"&amp;EDATE(B$3,1))-SUMIFS('Clean Journal'!$G:$G,'Clean Journal'!$E:$E,"Equipment",'Clean Journal'!$C:$C,"&lt;"&amp;EDATE(B$3,1))</f>
        <v>48000</v>
      </c>
      <c r="C8" s="32">
        <f>SUMIFS(OpeningTB!$C:$C,OpeningTB!$B:$B,"Equipment")+SUMIFS('Clean Journal'!$F:$F,'Clean Journal'!$E:$E,"Equipment",'Clean Journal'!$C:$C,"&lt;"&amp;EDATE(C$3,1))-SUMIFS('Clean Journal'!$G:$G,'Clean Journal'!$E:$E,"Equipment",'Clean Journal'!$C:$C,"&lt;"&amp;EDATE(C$3,1))</f>
        <v>48000</v>
      </c>
      <c r="D8" s="32">
        <f>SUMIFS(OpeningTB!$C:$C,OpeningTB!$B:$B,"Equipment")+SUMIFS('Clean Journal'!$F:$F,'Clean Journal'!$E:$E,"Equipment",'Clean Journal'!$C:$C,"&lt;"&amp;EDATE(D$3,1))-SUMIFS('Clean Journal'!$G:$G,'Clean Journal'!$E:$E,"Equipment",'Clean Journal'!$C:$C,"&lt;"&amp;EDATE(D$3,1))</f>
        <v>48000</v>
      </c>
      <c r="E8" s="32">
        <f>'PP&amp;E &amp; Debt'!E7</f>
        <v>48000</v>
      </c>
      <c r="F8" s="32">
        <f>'PP&amp;E &amp; Debt'!F7</f>
        <v>48000</v>
      </c>
      <c r="G8" s="32">
        <f>'PP&amp;E &amp; Debt'!G7</f>
        <v>48000</v>
      </c>
      <c r="H8" s="32">
        <f>'PP&amp;E &amp; Debt'!H7</f>
        <v>66000</v>
      </c>
      <c r="I8" s="32">
        <f>'PP&amp;E &amp; Debt'!I7</f>
        <v>66000</v>
      </c>
      <c r="J8" s="32">
        <f>'PP&amp;E &amp; Debt'!J7</f>
        <v>66000</v>
      </c>
      <c r="K8" s="32">
        <f>'PP&amp;E &amp; Debt'!K7</f>
        <v>66000</v>
      </c>
      <c r="L8" s="32">
        <f>'PP&amp;E &amp; Debt'!L7</f>
        <v>66000</v>
      </c>
      <c r="M8" s="32">
        <f>'PP&amp;E &amp; Debt'!M7</f>
        <v>66000</v>
      </c>
    </row>
    <row r="9" spans="1:13" x14ac:dyDescent="0.35">
      <c r="A9" s="38" t="s">
        <v>89</v>
      </c>
      <c r="B9" s="32">
        <f>-SUMIFS(OpeningTB!$D:$D,OpeningTB!$B:$B,"Accumulated Depreciation")-SUMIFS('Clean Journal'!$G:$G,'Clean Journal'!$E:$E,"Accumulated Depreciation",'Clean Journal'!$C:$C,"&lt;"&amp;EDATE(B$3,1))+SUMIFS('Clean Journal'!$F:$F,'Clean Journal'!$E:$E,"Accumulated Depreciation",'Clean Journal'!$C:$C,"&lt;"&amp;EDATE(B$3,1))</f>
        <v>-10333.33</v>
      </c>
      <c r="C9" s="32">
        <f>-SUMIFS(OpeningTB!$D:$D,OpeningTB!$B:$B,"Accumulated Depreciation")-SUMIFS('Clean Journal'!$G:$G,'Clean Journal'!$E:$E,"Accumulated Depreciation",'Clean Journal'!$C:$C,"&lt;"&amp;EDATE(C$3,1))+SUMIFS('Clean Journal'!$F:$F,'Clean Journal'!$E:$E,"Accumulated Depreciation",'Clean Journal'!$C:$C,"&lt;"&amp;EDATE(C$3,1))</f>
        <v>-11666.66</v>
      </c>
      <c r="D9" s="32">
        <f>-SUMIFS(OpeningTB!$D:$D,OpeningTB!$B:$B,"Accumulated Depreciation")-SUMIFS('Clean Journal'!$G:$G,'Clean Journal'!$E:$E,"Accumulated Depreciation",'Clean Journal'!$C:$C,"&lt;"&amp;EDATE(D$3,1))+SUMIFS('Clean Journal'!$F:$F,'Clean Journal'!$E:$E,"Accumulated Depreciation",'Clean Journal'!$C:$C,"&lt;"&amp;EDATE(D$3,1))</f>
        <v>-12999.99</v>
      </c>
      <c r="E9" s="32">
        <f>-'PP&amp;E &amp; Debt'!E10</f>
        <v>-14333.32</v>
      </c>
      <c r="F9" s="32">
        <f>-'PP&amp;E &amp; Debt'!F10</f>
        <v>-15666.65</v>
      </c>
      <c r="G9" s="32">
        <f>-'PP&amp;E &amp; Debt'!G10</f>
        <v>-16999.98</v>
      </c>
      <c r="H9" s="32">
        <f>-'PP&amp;E &amp; Debt'!H10</f>
        <v>-18833.309999999998</v>
      </c>
      <c r="I9" s="32">
        <f>-'PP&amp;E &amp; Debt'!I10</f>
        <v>-20166.64</v>
      </c>
      <c r="J9" s="32">
        <f>-'PP&amp;E &amp; Debt'!J10</f>
        <v>-21499.97</v>
      </c>
      <c r="K9" s="32">
        <f>-'PP&amp;E &amp; Debt'!K10</f>
        <v>-22833.300000000003</v>
      </c>
      <c r="L9" s="32">
        <f>-'PP&amp;E &amp; Debt'!L10</f>
        <v>-24166.630000000005</v>
      </c>
      <c r="M9" s="32">
        <f>-'PP&amp;E &amp; Debt'!M10</f>
        <v>-25499.960000000006</v>
      </c>
    </row>
    <row r="10" spans="1:13" x14ac:dyDescent="0.35">
      <c r="A10" s="37" t="s">
        <v>90</v>
      </c>
      <c r="B10" s="32">
        <f t="shared" ref="B10:M10" si="0">B8+B9</f>
        <v>37666.67</v>
      </c>
      <c r="C10" s="32">
        <f t="shared" si="0"/>
        <v>36333.339999999997</v>
      </c>
      <c r="D10" s="32">
        <f t="shared" si="0"/>
        <v>35000.01</v>
      </c>
      <c r="E10" s="32">
        <f t="shared" si="0"/>
        <v>33666.68</v>
      </c>
      <c r="F10" s="32">
        <f t="shared" si="0"/>
        <v>32333.35</v>
      </c>
      <c r="G10" s="32">
        <f t="shared" si="0"/>
        <v>31000.02</v>
      </c>
      <c r="H10" s="32">
        <f t="shared" si="0"/>
        <v>47166.69</v>
      </c>
      <c r="I10" s="32">
        <f t="shared" si="0"/>
        <v>45833.36</v>
      </c>
      <c r="J10" s="32">
        <f t="shared" si="0"/>
        <v>44500.03</v>
      </c>
      <c r="K10" s="32">
        <f t="shared" si="0"/>
        <v>43166.7</v>
      </c>
      <c r="L10" s="32">
        <f t="shared" si="0"/>
        <v>41833.369999999995</v>
      </c>
      <c r="M10" s="32">
        <f t="shared" si="0"/>
        <v>40500.039999999994</v>
      </c>
    </row>
    <row r="11" spans="1:13" x14ac:dyDescent="0.35">
      <c r="A11" s="37" t="s">
        <v>91</v>
      </c>
      <c r="B11" s="32">
        <f t="shared" ref="B11:M11" si="1">SUM(B5:B7)+B10</f>
        <v>155318.77000000002</v>
      </c>
      <c r="C11" s="32">
        <f t="shared" si="1"/>
        <v>158407.78999999998</v>
      </c>
      <c r="D11" s="32">
        <f t="shared" si="1"/>
        <v>162748.85999999999</v>
      </c>
      <c r="E11" s="32">
        <f t="shared" si="1"/>
        <v>165887.24309999999</v>
      </c>
      <c r="F11" s="32">
        <f t="shared" si="1"/>
        <v>180437.76931999999</v>
      </c>
      <c r="G11" s="32">
        <f t="shared" si="1"/>
        <v>191343.7213608</v>
      </c>
      <c r="H11" s="32">
        <f t="shared" si="1"/>
        <v>202918.53916863998</v>
      </c>
      <c r="I11" s="32">
        <f t="shared" si="1"/>
        <v>216818.551911872</v>
      </c>
      <c r="J11" s="32">
        <f t="shared" si="1"/>
        <v>231563.15609237918</v>
      </c>
      <c r="K11" s="32">
        <f t="shared" si="1"/>
        <v>247959.21018875763</v>
      </c>
      <c r="L11" s="32">
        <f t="shared" si="1"/>
        <v>265670.72583502741</v>
      </c>
      <c r="M11" s="32">
        <f t="shared" si="1"/>
        <v>282748.89310739905</v>
      </c>
    </row>
    <row r="13" spans="1:13" x14ac:dyDescent="0.35">
      <c r="A13" s="37" t="s">
        <v>92</v>
      </c>
    </row>
    <row r="14" spans="1:13" x14ac:dyDescent="0.35">
      <c r="A14" s="37" t="s">
        <v>93</v>
      </c>
      <c r="B14" s="32">
        <f>SUMIFS(OpeningTB!$D:$D,OpeningTB!$B:$B,"Accounts Payable")+SUMIFS('Clean Journal'!$G:$G,'Clean Journal'!$E:$E,"Accounts Payable",'Clean Journal'!$C:$C,"&lt;"&amp;EDATE(B$3,1))-SUMIFS('Clean Journal'!$F:$F,'Clean Journal'!$E:$E,"Accounts Payable",'Clean Journal'!$C:$C,"&lt;"&amp;EDATE(B$3,1))</f>
        <v>25000</v>
      </c>
      <c r="C14" s="32">
        <f>SUMIFS(OpeningTB!$D:$D,OpeningTB!$B:$B,"Accounts Payable")+SUMIFS('Clean Journal'!$G:$G,'Clean Journal'!$E:$E,"Accounts Payable",'Clean Journal'!$C:$C,"&lt;"&amp;EDATE(C$3,1))-SUMIFS('Clean Journal'!$F:$F,'Clean Journal'!$E:$E,"Accounts Payable",'Clean Journal'!$C:$C,"&lt;"&amp;EDATE(C$3,1))</f>
        <v>28000</v>
      </c>
      <c r="D14" s="32">
        <f>SUMIFS(OpeningTB!$D:$D,OpeningTB!$B:$B,"Accounts Payable")+SUMIFS('Clean Journal'!$G:$G,'Clean Journal'!$E:$E,"Accounts Payable",'Clean Journal'!$C:$C,"&lt;"&amp;EDATE(D$3,1))-SUMIFS('Clean Journal'!$F:$F,'Clean Journal'!$E:$E,"Accounts Payable",'Clean Journal'!$C:$C,"&lt;"&amp;EDATE(D$3,1))</f>
        <v>30000</v>
      </c>
      <c r="E14" s="32">
        <f>'Working Capital'!E20</f>
        <v>28616.512000000002</v>
      </c>
      <c r="F14" s="32">
        <f>'Working Capital'!F20</f>
        <v>36212.520960000016</v>
      </c>
      <c r="G14" s="32">
        <f>'Working Capital'!G20</f>
        <v>37538.157888000002</v>
      </c>
      <c r="H14" s="32">
        <f>'Working Capital'!H20</f>
        <v>39415.065782400008</v>
      </c>
      <c r="I14" s="32">
        <f>'Working Capital'!I20</f>
        <v>41385.819071519989</v>
      </c>
      <c r="J14" s="32">
        <f>'Working Capital'!J20</f>
        <v>42242.409280209598</v>
      </c>
      <c r="K14" s="32">
        <f>'Working Capital'!K20</f>
        <v>43509.681558615899</v>
      </c>
      <c r="L14" s="32">
        <f>'Working Capital'!L20</f>
        <v>44814.972005374366</v>
      </c>
      <c r="M14" s="32">
        <f>'Working Capital'!M20</f>
        <v>44171.694895249384</v>
      </c>
    </row>
    <row r="15" spans="1:13" x14ac:dyDescent="0.35">
      <c r="A15" s="38" t="s">
        <v>94</v>
      </c>
      <c r="B15" s="32">
        <f>SUMIFS(OpeningTB!$D:$D,OpeningTB!$B:$B,"Business Loan")+SUMIFS('Clean Journal'!$G:$G,'Clean Journal'!$E:$E,"Business Loan",'Clean Journal'!$C:$C,"&lt;"&amp;EDATE(B$3,1))-SUMIFS('Clean Journal'!$F:$F,'Clean Journal'!$E:$E,"Business Loan",'Clean Journal'!$C:$C,"&lt;"&amp;EDATE(B$3,1))</f>
        <v>26000</v>
      </c>
      <c r="C15" s="32">
        <f>SUMIFS(OpeningTB!$D:$D,OpeningTB!$B:$B,"Business Loan")+SUMIFS('Clean Journal'!$G:$G,'Clean Journal'!$E:$E,"Business Loan",'Clean Journal'!$C:$C,"&lt;"&amp;EDATE(C$3,1))-SUMIFS('Clean Journal'!$F:$F,'Clean Journal'!$E:$E,"Business Loan",'Clean Journal'!$C:$C,"&lt;"&amp;EDATE(C$3,1))</f>
        <v>24000</v>
      </c>
      <c r="D15" s="32">
        <f>SUMIFS(OpeningTB!$D:$D,OpeningTB!$B:$B,"Business Loan")+SUMIFS('Clean Journal'!$G:$G,'Clean Journal'!$E:$E,"Business Loan",'Clean Journal'!$C:$C,"&lt;"&amp;EDATE(D$3,1))-SUMIFS('Clean Journal'!$F:$F,'Clean Journal'!$E:$E,"Business Loan",'Clean Journal'!$C:$C,"&lt;"&amp;EDATE(D$3,1))</f>
        <v>22000</v>
      </c>
      <c r="E15" s="32">
        <f>'PP&amp;E &amp; Debt'!E17</f>
        <v>20000</v>
      </c>
      <c r="F15" s="32">
        <f>'PP&amp;E &amp; Debt'!F17</f>
        <v>18000</v>
      </c>
      <c r="G15" s="32">
        <f>'PP&amp;E &amp; Debt'!G17</f>
        <v>16000</v>
      </c>
      <c r="H15" s="32">
        <f>'PP&amp;E &amp; Debt'!H17</f>
        <v>14000</v>
      </c>
      <c r="I15" s="32">
        <f>'PP&amp;E &amp; Debt'!I17</f>
        <v>12000</v>
      </c>
      <c r="J15" s="32">
        <f>'PP&amp;E &amp; Debt'!J17</f>
        <v>10000</v>
      </c>
      <c r="K15" s="32">
        <f>'PP&amp;E &amp; Debt'!K17</f>
        <v>8000</v>
      </c>
      <c r="L15" s="32">
        <f>'PP&amp;E &amp; Debt'!L17</f>
        <v>6000</v>
      </c>
      <c r="M15" s="32">
        <f>'PP&amp;E &amp; Debt'!M17</f>
        <v>4000</v>
      </c>
    </row>
    <row r="16" spans="1:13" x14ac:dyDescent="0.35">
      <c r="A16" s="37" t="s">
        <v>95</v>
      </c>
      <c r="B16" s="32">
        <f t="shared" ref="B16:M16" si="2">SUM(B14:B15)</f>
        <v>51000</v>
      </c>
      <c r="C16" s="32">
        <f t="shared" si="2"/>
        <v>52000</v>
      </c>
      <c r="D16" s="32">
        <f t="shared" si="2"/>
        <v>52000</v>
      </c>
      <c r="E16" s="32">
        <f t="shared" si="2"/>
        <v>48616.512000000002</v>
      </c>
      <c r="F16" s="32">
        <f t="shared" si="2"/>
        <v>54212.520960000016</v>
      </c>
      <c r="G16" s="32">
        <f t="shared" si="2"/>
        <v>53538.157888000002</v>
      </c>
      <c r="H16" s="32">
        <f t="shared" si="2"/>
        <v>53415.065782400008</v>
      </c>
      <c r="I16" s="32">
        <f t="shared" si="2"/>
        <v>53385.819071519989</v>
      </c>
      <c r="J16" s="32">
        <f t="shared" si="2"/>
        <v>52242.409280209598</v>
      </c>
      <c r="K16" s="32">
        <f t="shared" si="2"/>
        <v>51509.681558615899</v>
      </c>
      <c r="L16" s="32">
        <f t="shared" si="2"/>
        <v>50814.972005374366</v>
      </c>
      <c r="M16" s="32">
        <f t="shared" si="2"/>
        <v>48171.694895249384</v>
      </c>
    </row>
    <row r="18" spans="1:13" x14ac:dyDescent="0.35">
      <c r="A18" s="37" t="s">
        <v>96</v>
      </c>
    </row>
    <row r="19" spans="1:13" x14ac:dyDescent="0.35">
      <c r="A19" s="37" t="s">
        <v>97</v>
      </c>
      <c r="B19" s="32">
        <f>SUMIFS(OpeningTB!$D:$D,OpeningTB!$B:$B,"Owner Capital")+SUMIFS('Clean Journal'!$G:$G,'Clean Journal'!$E:$E,"Owner Capital",'Clean Journal'!$C:$C,"&lt;"&amp;EDATE(B$3,1))-SUMIFS('Clean Journal'!$F:$F,'Clean Journal'!$E:$E,"Owner Capital",'Clean Journal'!$C:$C,"&lt;"&amp;EDATE(B$3,1))</f>
        <v>70000</v>
      </c>
      <c r="C19" s="32">
        <f>SUMIFS(OpeningTB!$D:$D,OpeningTB!$B:$B,"Owner Capital")+SUMIFS('Clean Journal'!$G:$G,'Clean Journal'!$E:$E,"Owner Capital",'Clean Journal'!$C:$C,"&lt;"&amp;EDATE(C$3,1))-SUMIFS('Clean Journal'!$F:$F,'Clean Journal'!$E:$E,"Owner Capital",'Clean Journal'!$C:$C,"&lt;"&amp;EDATE(C$3,1))</f>
        <v>70000</v>
      </c>
      <c r="D19" s="32">
        <f>SUMIFS(OpeningTB!$D:$D,OpeningTB!$B:$B,"Owner Capital")+SUMIFS('Clean Journal'!$G:$G,'Clean Journal'!$E:$E,"Owner Capital",'Clean Journal'!$C:$C,"&lt;"&amp;EDATE(D$3,1))-SUMIFS('Clean Journal'!$F:$F,'Clean Journal'!$E:$E,"Owner Capital",'Clean Journal'!$C:$C,"&lt;"&amp;EDATE(D$3,1))</f>
        <v>70000</v>
      </c>
      <c r="E19" s="32">
        <f t="shared" ref="E19:M19" si="3">D19</f>
        <v>70000</v>
      </c>
      <c r="F19" s="32">
        <f t="shared" si="3"/>
        <v>70000</v>
      </c>
      <c r="G19" s="32">
        <f t="shared" si="3"/>
        <v>70000</v>
      </c>
      <c r="H19" s="32">
        <f t="shared" si="3"/>
        <v>70000</v>
      </c>
      <c r="I19" s="32">
        <f t="shared" si="3"/>
        <v>70000</v>
      </c>
      <c r="J19" s="32">
        <f t="shared" si="3"/>
        <v>70000</v>
      </c>
      <c r="K19" s="32">
        <f t="shared" si="3"/>
        <v>70000</v>
      </c>
      <c r="L19" s="32">
        <f t="shared" si="3"/>
        <v>70000</v>
      </c>
      <c r="M19" s="32">
        <f t="shared" si="3"/>
        <v>70000</v>
      </c>
    </row>
    <row r="20" spans="1:13" x14ac:dyDescent="0.35">
      <c r="A20" s="37" t="s">
        <v>98</v>
      </c>
      <c r="B20" s="32">
        <f>SUMIFS(OpeningTB!$D:$D,OpeningTB!$B:$B,"Retained Earnings")+SUM('Income Statement'!$B$22:B22)</f>
        <v>34318.769999999997</v>
      </c>
      <c r="C20" s="32">
        <f>SUMIFS(OpeningTB!$D:$D,OpeningTB!$B:$B,"Retained Earnings")+SUM('Income Statement'!$B$22:C22)</f>
        <v>36407.789999999994</v>
      </c>
      <c r="D20" s="32">
        <f>SUMIFS(OpeningTB!$D:$D,OpeningTB!$B:$B,"Retained Earnings")+SUM('Income Statement'!$B$22:D22)</f>
        <v>40748.859999999993</v>
      </c>
      <c r="E20" s="32">
        <f>D20+'Income Statement'!E22</f>
        <v>47270.73109999999</v>
      </c>
      <c r="F20" s="32">
        <f>E20+'Income Statement'!F22</f>
        <v>56225.24835999999</v>
      </c>
      <c r="G20" s="32">
        <f>F20+'Income Statement'!G22</f>
        <v>67805.563472799986</v>
      </c>
      <c r="H20" s="32">
        <f>G20+'Income Statement'!H22</f>
        <v>79503.473386239988</v>
      </c>
      <c r="I20" s="32">
        <f>H20+'Income Statement'!I22</f>
        <v>93432.732840351993</v>
      </c>
      <c r="J20" s="32">
        <f>I20+'Income Statement'!J22</f>
        <v>109320.7468121696</v>
      </c>
      <c r="K20" s="32">
        <f>J20+'Income Statement'!K22</f>
        <v>126449.52863014174</v>
      </c>
      <c r="L20" s="32">
        <f>K20+'Income Statement'!L22</f>
        <v>144855.75382965303</v>
      </c>
      <c r="M20" s="32">
        <f>L20+'Income Statement'!M22</f>
        <v>164577.19821214967</v>
      </c>
    </row>
    <row r="21" spans="1:13" x14ac:dyDescent="0.35">
      <c r="A21" s="37" t="s">
        <v>99</v>
      </c>
      <c r="B21" s="32">
        <f t="shared" ref="B21:M21" si="4">SUM(B19:B20)</f>
        <v>104318.76999999999</v>
      </c>
      <c r="C21" s="32">
        <f t="shared" si="4"/>
        <v>106407.79</v>
      </c>
      <c r="D21" s="32">
        <f t="shared" si="4"/>
        <v>110748.85999999999</v>
      </c>
      <c r="E21" s="32">
        <f t="shared" si="4"/>
        <v>117270.73109999999</v>
      </c>
      <c r="F21" s="32">
        <f t="shared" si="4"/>
        <v>126225.24836</v>
      </c>
      <c r="G21" s="32">
        <f t="shared" si="4"/>
        <v>137805.56347279999</v>
      </c>
      <c r="H21" s="32">
        <f t="shared" si="4"/>
        <v>149503.47338623999</v>
      </c>
      <c r="I21" s="32">
        <f t="shared" si="4"/>
        <v>163432.73284035199</v>
      </c>
      <c r="J21" s="32">
        <f t="shared" si="4"/>
        <v>179320.74681216961</v>
      </c>
      <c r="K21" s="32">
        <f t="shared" si="4"/>
        <v>196449.52863014175</v>
      </c>
      <c r="L21" s="32">
        <f t="shared" si="4"/>
        <v>214855.75382965303</v>
      </c>
      <c r="M21" s="32">
        <f t="shared" si="4"/>
        <v>234577.19821214967</v>
      </c>
    </row>
    <row r="22" spans="1:13" x14ac:dyDescent="0.35">
      <c r="A22" s="37" t="s">
        <v>100</v>
      </c>
      <c r="B22" s="32">
        <f t="shared" ref="B22:M22" si="5">B16+B21</f>
        <v>155318.76999999999</v>
      </c>
      <c r="C22" s="32">
        <f t="shared" si="5"/>
        <v>158407.78999999998</v>
      </c>
      <c r="D22" s="32">
        <f t="shared" si="5"/>
        <v>162748.85999999999</v>
      </c>
      <c r="E22" s="32">
        <f t="shared" si="5"/>
        <v>165887.24309999999</v>
      </c>
      <c r="F22" s="32">
        <f t="shared" si="5"/>
        <v>180437.76932000002</v>
      </c>
      <c r="G22" s="32">
        <f t="shared" si="5"/>
        <v>191343.72136079997</v>
      </c>
      <c r="H22" s="32">
        <f t="shared" si="5"/>
        <v>202918.53916863998</v>
      </c>
      <c r="I22" s="32">
        <f t="shared" si="5"/>
        <v>216818.551911872</v>
      </c>
      <c r="J22" s="32">
        <f t="shared" si="5"/>
        <v>231563.15609237921</v>
      </c>
      <c r="K22" s="32">
        <f t="shared" si="5"/>
        <v>247959.21018875766</v>
      </c>
      <c r="L22" s="32">
        <f t="shared" si="5"/>
        <v>265670.72583502741</v>
      </c>
      <c r="M22" s="32">
        <f t="shared" si="5"/>
        <v>282748.89310739905</v>
      </c>
    </row>
    <row r="23" spans="1:13" x14ac:dyDescent="0.35">
      <c r="A23" s="37" t="s">
        <v>101</v>
      </c>
      <c r="B23" s="32">
        <f t="shared" ref="B23:M23" si="6">B11-B22</f>
        <v>0</v>
      </c>
      <c r="C23" s="32">
        <f t="shared" si="6"/>
        <v>0</v>
      </c>
      <c r="D23" s="32">
        <f t="shared" si="6"/>
        <v>0</v>
      </c>
      <c r="E23" s="32">
        <f t="shared" si="6"/>
        <v>0</v>
      </c>
      <c r="F23" s="32">
        <f t="shared" si="6"/>
        <v>0</v>
      </c>
      <c r="G23" s="32">
        <f t="shared" si="6"/>
        <v>0</v>
      </c>
      <c r="H23" s="32">
        <f t="shared" si="6"/>
        <v>0</v>
      </c>
      <c r="I23" s="32">
        <f t="shared" si="6"/>
        <v>0</v>
      </c>
      <c r="J23" s="32">
        <f t="shared" si="6"/>
        <v>0</v>
      </c>
      <c r="K23" s="32">
        <f t="shared" si="6"/>
        <v>0</v>
      </c>
      <c r="L23" s="32">
        <f t="shared" si="6"/>
        <v>0</v>
      </c>
      <c r="M23" s="32">
        <f t="shared" si="6"/>
        <v>0</v>
      </c>
    </row>
  </sheetData>
  <mergeCells count="2">
    <mergeCell ref="A1:M1"/>
    <mergeCell ref="A2:M2"/>
  </mergeCells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  <pageSetUpPr fitToPage="1"/>
  </sheetPr>
  <dimension ref="A1:M25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4" sqref="C14"/>
    </sheetView>
  </sheetViews>
  <sheetFormatPr defaultColWidth="8.6328125" defaultRowHeight="14.5" x14ac:dyDescent="0.35"/>
  <cols>
    <col min="1" max="1" width="43" style="32" customWidth="1"/>
    <col min="2" max="13" width="13" style="32" customWidth="1"/>
    <col min="14" max="16384" width="8.6328125" style="32"/>
  </cols>
  <sheetData>
    <row r="1" spans="1:13" ht="28.5" customHeight="1" x14ac:dyDescent="0.5">
      <c r="A1" s="34" t="s">
        <v>102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8.5" customHeight="1" x14ac:dyDescent="0.3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5">
      <c r="B3" s="36">
        <v>46023</v>
      </c>
      <c r="C3" s="36">
        <v>46054</v>
      </c>
      <c r="D3" s="36">
        <v>46082</v>
      </c>
      <c r="E3" s="36">
        <v>46113</v>
      </c>
      <c r="F3" s="36">
        <v>46143</v>
      </c>
      <c r="G3" s="36">
        <v>46174</v>
      </c>
      <c r="H3" s="36">
        <v>46204</v>
      </c>
      <c r="I3" s="36">
        <v>46235</v>
      </c>
      <c r="J3" s="36">
        <v>46266</v>
      </c>
      <c r="K3" s="36">
        <v>46296</v>
      </c>
      <c r="L3" s="36">
        <v>46327</v>
      </c>
      <c r="M3" s="36">
        <v>46357</v>
      </c>
    </row>
    <row r="4" spans="1:13" x14ac:dyDescent="0.35">
      <c r="A4" s="37" t="s">
        <v>103</v>
      </c>
    </row>
    <row r="5" spans="1:13" x14ac:dyDescent="0.35">
      <c r="A5" s="38" t="s">
        <v>82</v>
      </c>
      <c r="B5" s="32">
        <f>'Income Statement'!B22</f>
        <v>318.76999999999828</v>
      </c>
      <c r="C5" s="32">
        <f>'Income Statement'!C22</f>
        <v>2089.0199999999982</v>
      </c>
      <c r="D5" s="32">
        <f>'Income Statement'!D22</f>
        <v>4341.0699999999979</v>
      </c>
      <c r="E5" s="32">
        <f>'Income Statement'!E22</f>
        <v>6521.8711000000003</v>
      </c>
      <c r="F5" s="32">
        <f>'Income Statement'!F22</f>
        <v>8954.5172600000005</v>
      </c>
      <c r="G5" s="32">
        <f>'Income Statement'!G22</f>
        <v>11580.315112800003</v>
      </c>
      <c r="H5" s="32">
        <f>'Income Statement'!H22</f>
        <v>11697.909913440006</v>
      </c>
      <c r="I5" s="32">
        <f>'Income Statement'!I22</f>
        <v>13929.259454112002</v>
      </c>
      <c r="J5" s="32">
        <f>'Income Statement'!J22</f>
        <v>15888.013971817607</v>
      </c>
      <c r="K5" s="32">
        <f>'Income Statement'!K22</f>
        <v>17128.781817972136</v>
      </c>
      <c r="L5" s="32">
        <f>'Income Statement'!L22</f>
        <v>18406.225199511304</v>
      </c>
      <c r="M5" s="32">
        <f>'Income Statement'!M22</f>
        <v>19721.444382496644</v>
      </c>
    </row>
    <row r="6" spans="1:13" x14ac:dyDescent="0.35">
      <c r="A6" s="38" t="s">
        <v>104</v>
      </c>
      <c r="B6" s="32">
        <f>'Income Statement'!B14</f>
        <v>1333.33</v>
      </c>
      <c r="C6" s="32">
        <f>'Income Statement'!C14</f>
        <v>1333.33</v>
      </c>
      <c r="D6" s="32">
        <f>'Income Statement'!D14</f>
        <v>1333.33</v>
      </c>
      <c r="E6" s="32">
        <f>'Income Statement'!E14</f>
        <v>1333.33</v>
      </c>
      <c r="F6" s="32">
        <f>'Income Statement'!F14</f>
        <v>1333.33</v>
      </c>
      <c r="G6" s="32">
        <f>'Income Statement'!G14</f>
        <v>1333.33</v>
      </c>
      <c r="H6" s="32">
        <f>'Income Statement'!H14</f>
        <v>1833.33</v>
      </c>
      <c r="I6" s="32">
        <f>'Income Statement'!I14</f>
        <v>1333.33</v>
      </c>
      <c r="J6" s="32">
        <f>'Income Statement'!J14</f>
        <v>1333.33</v>
      </c>
      <c r="K6" s="32">
        <f>'Income Statement'!K14</f>
        <v>1333.33</v>
      </c>
      <c r="L6" s="32">
        <f>'Income Statement'!L14</f>
        <v>1333.33</v>
      </c>
      <c r="M6" s="32">
        <f>'Income Statement'!M14</f>
        <v>1333.33</v>
      </c>
    </row>
    <row r="7" spans="1:13" x14ac:dyDescent="0.35">
      <c r="A7" s="37" t="s">
        <v>105</v>
      </c>
      <c r="B7" s="32">
        <f>SUMIFS(OpeningTB!$C:$C,OpeningTB!$B:$B,"Accounts Receivable")-'Balance Sheet'!B6</f>
        <v>-9000</v>
      </c>
      <c r="C7" s="32">
        <f>'Balance Sheet'!B6-'Balance Sheet'!C6</f>
        <v>-1000</v>
      </c>
      <c r="D7" s="32">
        <f>'Balance Sheet'!C6-'Balance Sheet'!D6</f>
        <v>-4000</v>
      </c>
      <c r="E7" s="32">
        <f>'Balance Sheet'!D6-'Balance Sheet'!E6</f>
        <v>-2512</v>
      </c>
      <c r="F7" s="32">
        <f>'Balance Sheet'!E6-'Balance Sheet'!F6</f>
        <v>-2280.9600000000064</v>
      </c>
      <c r="G7" s="32">
        <f>'Balance Sheet'!F6-'Balance Sheet'!G6</f>
        <v>-2463.4368000000031</v>
      </c>
      <c r="H7" s="32">
        <f>'Balance Sheet'!G6-'Balance Sheet'!H6</f>
        <v>-1662.8198399999965</v>
      </c>
      <c r="I7" s="32">
        <f>'Balance Sheet'!H6-'Balance Sheet'!I6</f>
        <v>-1745.960831999997</v>
      </c>
      <c r="J7" s="32">
        <f>'Balance Sheet'!I6-'Balance Sheet'!J6</f>
        <v>-1833.2588736000034</v>
      </c>
      <c r="K7" s="32">
        <f>'Balance Sheet'!J6-'Balance Sheet'!K6</f>
        <v>-1154.9530903680061</v>
      </c>
      <c r="L7" s="32">
        <f>'Balance Sheet'!K6-'Balance Sheet'!L6</f>
        <v>-1189.6016830790395</v>
      </c>
      <c r="M7" s="32">
        <f>'Balance Sheet'!L6-'Balance Sheet'!M6</f>
        <v>-1225.2897335714151</v>
      </c>
    </row>
    <row r="8" spans="1:13" x14ac:dyDescent="0.35">
      <c r="A8" s="38" t="s">
        <v>106</v>
      </c>
      <c r="B8" s="32">
        <f>SUMIFS(OpeningTB!$C:$C,OpeningTB!$B:$B,"Inventory")-'Balance Sheet'!B7</f>
        <v>-2320</v>
      </c>
      <c r="C8" s="32">
        <f>'Balance Sheet'!B7-'Balance Sheet'!C7</f>
        <v>-3220</v>
      </c>
      <c r="D8" s="32">
        <f>'Balance Sheet'!C7-'Balance Sheet'!D7</f>
        <v>-2280</v>
      </c>
      <c r="E8" s="32">
        <f>'Balance Sheet'!D7-'Balance Sheet'!E7</f>
        <v>1321.0879999999961</v>
      </c>
      <c r="F8" s="32">
        <f>'Balance Sheet'!E7-'Balance Sheet'!F7</f>
        <v>-3879.9129600000088</v>
      </c>
      <c r="G8" s="32">
        <f>'Balance Sheet'!F7-'Balance Sheet'!G7</f>
        <v>-2618.9412479999883</v>
      </c>
      <c r="H8" s="32">
        <f>'Balance Sheet'!G7-'Balance Sheet'!H7</f>
        <v>-2749.8883104000124</v>
      </c>
      <c r="I8" s="32">
        <f>'Balance Sheet'!H7-'Balance Sheet'!I7</f>
        <v>-2887.3827259199898</v>
      </c>
      <c r="J8" s="32">
        <f>'Balance Sheet'!I7-'Balance Sheet'!J7</f>
        <v>-1819.0511173296036</v>
      </c>
      <c r="K8" s="32">
        <f>'Balance Sheet'!J7-'Balance Sheet'!K7</f>
        <v>-1873.6226508494947</v>
      </c>
      <c r="L8" s="32">
        <f>'Balance Sheet'!K7-'Balance Sheet'!L7</f>
        <v>-1929.8313303749746</v>
      </c>
      <c r="M8" s="32">
        <f>'Balance Sheet'!L7-'Balance Sheet'!M7</f>
        <v>0</v>
      </c>
    </row>
    <row r="9" spans="1:13" x14ac:dyDescent="0.35">
      <c r="A9" s="38" t="s">
        <v>107</v>
      </c>
      <c r="B9" s="32">
        <f>'Balance Sheet'!B14-SUMIFS(OpeningTB!$D:$D,OpeningTB!$B:$B,"Accounts Payable")</f>
        <v>8000</v>
      </c>
      <c r="C9" s="32">
        <f>'Balance Sheet'!C14-'Balance Sheet'!B14</f>
        <v>3000</v>
      </c>
      <c r="D9" s="32">
        <f>'Balance Sheet'!D14-'Balance Sheet'!C14</f>
        <v>2000</v>
      </c>
      <c r="E9" s="32">
        <f>'Balance Sheet'!E14-'Balance Sheet'!D14</f>
        <v>-1383.4879999999976</v>
      </c>
      <c r="F9" s="32">
        <f>'Balance Sheet'!F14-'Balance Sheet'!E14</f>
        <v>7596.0089600000138</v>
      </c>
      <c r="G9" s="32">
        <f>'Balance Sheet'!G14-'Balance Sheet'!F14</f>
        <v>1325.6369279999853</v>
      </c>
      <c r="H9" s="32">
        <f>'Balance Sheet'!H14-'Balance Sheet'!G14</f>
        <v>1876.9078944000066</v>
      </c>
      <c r="I9" s="32">
        <f>'Balance Sheet'!I14-'Balance Sheet'!H14</f>
        <v>1970.7532891199808</v>
      </c>
      <c r="J9" s="32">
        <f>'Balance Sheet'!J14-'Balance Sheet'!I14</f>
        <v>856.59020868960943</v>
      </c>
      <c r="K9" s="32">
        <f>'Balance Sheet'!K14-'Balance Sheet'!J14</f>
        <v>1267.2722784063008</v>
      </c>
      <c r="L9" s="32">
        <f>'Balance Sheet'!L14-'Balance Sheet'!K14</f>
        <v>1305.2904467584667</v>
      </c>
      <c r="M9" s="32">
        <f>'Balance Sheet'!M14-'Balance Sheet'!L14</f>
        <v>-643.27711012498185</v>
      </c>
    </row>
    <row r="10" spans="1:13" x14ac:dyDescent="0.35">
      <c r="A10" s="37" t="s">
        <v>108</v>
      </c>
      <c r="B10" s="32">
        <f t="shared" ref="B10:M10" si="0">SUM(B5:B9)</f>
        <v>-1667.9000000000015</v>
      </c>
      <c r="C10" s="32">
        <f t="shared" si="0"/>
        <v>2202.3499999999981</v>
      </c>
      <c r="D10" s="32">
        <f t="shared" si="0"/>
        <v>1394.3999999999978</v>
      </c>
      <c r="E10" s="32">
        <f t="shared" si="0"/>
        <v>5280.8010999999988</v>
      </c>
      <c r="F10" s="32">
        <f t="shared" si="0"/>
        <v>11722.983259999999</v>
      </c>
      <c r="G10" s="32">
        <f t="shared" si="0"/>
        <v>9156.9039927999966</v>
      </c>
      <c r="H10" s="32">
        <f t="shared" si="0"/>
        <v>10995.439657440003</v>
      </c>
      <c r="I10" s="32">
        <f t="shared" si="0"/>
        <v>12599.999185311995</v>
      </c>
      <c r="J10" s="32">
        <f t="shared" si="0"/>
        <v>14425.624189577611</v>
      </c>
      <c r="K10" s="32">
        <f t="shared" si="0"/>
        <v>16700.808355160938</v>
      </c>
      <c r="L10" s="32">
        <f t="shared" si="0"/>
        <v>17925.412632815758</v>
      </c>
      <c r="M10" s="32">
        <f t="shared" si="0"/>
        <v>19186.207538800249</v>
      </c>
    </row>
    <row r="12" spans="1:13" x14ac:dyDescent="0.35">
      <c r="A12" s="38" t="s">
        <v>109</v>
      </c>
    </row>
    <row r="13" spans="1:13" x14ac:dyDescent="0.35">
      <c r="A13" s="37" t="s">
        <v>110</v>
      </c>
      <c r="B13" s="32">
        <f>-SUMIFS('Clean Journal'!$F:$F,'Clean Journal'!$E:$E,"Equipment",'Clean Journal'!$C:$C,"&gt;="&amp;B$3,'Clean Journal'!$C:$C,"&lt;"&amp;EDATE(B$3,1))</f>
        <v>-12000</v>
      </c>
      <c r="C13" s="32">
        <f>-SUMIFS('Clean Journal'!$F:$F,'Clean Journal'!$E:$E,"Equipment",'Clean Journal'!$C:$C,"&gt;="&amp;C$3,'Clean Journal'!$C:$C,"&lt;"&amp;EDATE(C$3,1))</f>
        <v>0</v>
      </c>
      <c r="D13" s="32">
        <f>-SUMIFS('Clean Journal'!$F:$F,'Clean Journal'!$E:$E,"Equipment",'Clean Journal'!$C:$C,"&gt;="&amp;D$3,'Clean Journal'!$C:$C,"&lt;"&amp;EDATE(D$3,1))</f>
        <v>0</v>
      </c>
      <c r="E13" s="32">
        <f>-'PP&amp;E &amp; Debt'!E6</f>
        <v>0</v>
      </c>
      <c r="F13" s="32">
        <f>-'PP&amp;E &amp; Debt'!F6</f>
        <v>0</v>
      </c>
      <c r="G13" s="32">
        <f>-'PP&amp;E &amp; Debt'!G6</f>
        <v>0</v>
      </c>
      <c r="H13" s="32">
        <f>-'PP&amp;E &amp; Debt'!H6</f>
        <v>-18000</v>
      </c>
      <c r="I13" s="32">
        <f>-'PP&amp;E &amp; Debt'!I6</f>
        <v>0</v>
      </c>
      <c r="J13" s="32">
        <f>-'PP&amp;E &amp; Debt'!J6</f>
        <v>0</v>
      </c>
      <c r="K13" s="32">
        <f>-'PP&amp;E &amp; Debt'!K6</f>
        <v>0</v>
      </c>
      <c r="L13" s="32">
        <f>-'PP&amp;E &amp; Debt'!L6</f>
        <v>0</v>
      </c>
      <c r="M13" s="32">
        <f>-'PP&amp;E &amp; Debt'!M6</f>
        <v>0</v>
      </c>
    </row>
    <row r="14" spans="1:13" x14ac:dyDescent="0.35">
      <c r="A14" s="37" t="s">
        <v>111</v>
      </c>
      <c r="B14" s="32">
        <f t="shared" ref="B14:M14" si="1">B13</f>
        <v>-12000</v>
      </c>
      <c r="C14" s="32">
        <f t="shared" si="1"/>
        <v>0</v>
      </c>
      <c r="D14" s="32">
        <f t="shared" si="1"/>
        <v>0</v>
      </c>
      <c r="E14" s="32">
        <f t="shared" si="1"/>
        <v>0</v>
      </c>
      <c r="F14" s="32">
        <f t="shared" si="1"/>
        <v>0</v>
      </c>
      <c r="G14" s="32">
        <f t="shared" si="1"/>
        <v>0</v>
      </c>
      <c r="H14" s="32">
        <f t="shared" si="1"/>
        <v>-18000</v>
      </c>
      <c r="I14" s="32">
        <f t="shared" si="1"/>
        <v>0</v>
      </c>
      <c r="J14" s="32">
        <f t="shared" si="1"/>
        <v>0</v>
      </c>
      <c r="K14" s="32">
        <f t="shared" si="1"/>
        <v>0</v>
      </c>
      <c r="L14" s="32">
        <f t="shared" si="1"/>
        <v>0</v>
      </c>
      <c r="M14" s="32">
        <f t="shared" si="1"/>
        <v>0</v>
      </c>
    </row>
    <row r="16" spans="1:13" x14ac:dyDescent="0.35">
      <c r="A16" s="37" t="s">
        <v>112</v>
      </c>
    </row>
    <row r="17" spans="1:13" x14ac:dyDescent="0.35">
      <c r="A17" s="38" t="s">
        <v>113</v>
      </c>
      <c r="B17" s="32">
        <f>'Balance Sheet'!B15-SUMIFS(OpeningTB!$D:$D,OpeningTB!$B:$B,"Business Loan")</f>
        <v>-2000</v>
      </c>
      <c r="C17" s="32">
        <f>'Balance Sheet'!C15-'Balance Sheet'!B15</f>
        <v>-2000</v>
      </c>
      <c r="D17" s="32">
        <f>'Balance Sheet'!D15-'Balance Sheet'!C15</f>
        <v>-2000</v>
      </c>
      <c r="E17" s="32">
        <f>'PP&amp;E &amp; Debt'!E15-'PP&amp;E &amp; Debt'!E16</f>
        <v>-2000</v>
      </c>
      <c r="F17" s="32">
        <f>'PP&amp;E &amp; Debt'!F15-'PP&amp;E &amp; Debt'!F16</f>
        <v>-2000</v>
      </c>
      <c r="G17" s="32">
        <f>'PP&amp;E &amp; Debt'!G15-'PP&amp;E &amp; Debt'!G16</f>
        <v>-2000</v>
      </c>
      <c r="H17" s="32">
        <f>'PP&amp;E &amp; Debt'!H15-'PP&amp;E &amp; Debt'!H16</f>
        <v>-2000</v>
      </c>
      <c r="I17" s="32">
        <f>'PP&amp;E &amp; Debt'!I15-'PP&amp;E &amp; Debt'!I16</f>
        <v>-2000</v>
      </c>
      <c r="J17" s="32">
        <f>'PP&amp;E &amp; Debt'!J15-'PP&amp;E &amp; Debt'!J16</f>
        <v>-2000</v>
      </c>
      <c r="K17" s="32">
        <f>'PP&amp;E &amp; Debt'!K15-'PP&amp;E &amp; Debt'!K16</f>
        <v>-2000</v>
      </c>
      <c r="L17" s="32">
        <f>'PP&amp;E &amp; Debt'!L15-'PP&amp;E &amp; Debt'!L16</f>
        <v>-2000</v>
      </c>
      <c r="M17" s="32">
        <f>'PP&amp;E &amp; Debt'!M15-'PP&amp;E &amp; Debt'!M16</f>
        <v>-2000</v>
      </c>
    </row>
    <row r="18" spans="1:13" x14ac:dyDescent="0.35">
      <c r="A18" s="37" t="s">
        <v>114</v>
      </c>
      <c r="B18" s="32">
        <f>'Balance Sheet'!B19-SUMIFS(OpeningTB!$D:$D,OpeningTB!$B:$B,"Owner Capital")</f>
        <v>0</v>
      </c>
      <c r="C18" s="32">
        <f>'Balance Sheet'!C19-'Balance Sheet'!B19</f>
        <v>0</v>
      </c>
      <c r="D18" s="32">
        <f>'Balance Sheet'!D19-'Balance Sheet'!C19</f>
        <v>0</v>
      </c>
      <c r="E18" s="32">
        <f>0</f>
        <v>0</v>
      </c>
      <c r="F18" s="32">
        <f>0</f>
        <v>0</v>
      </c>
      <c r="G18" s="32">
        <f>0</f>
        <v>0</v>
      </c>
      <c r="H18" s="32">
        <f>0</f>
        <v>0</v>
      </c>
      <c r="I18" s="32">
        <f>0</f>
        <v>0</v>
      </c>
      <c r="J18" s="32">
        <f>0</f>
        <v>0</v>
      </c>
      <c r="K18" s="32">
        <f>0</f>
        <v>0</v>
      </c>
      <c r="L18" s="32">
        <f>0</f>
        <v>0</v>
      </c>
      <c r="M18" s="32">
        <f>0</f>
        <v>0</v>
      </c>
    </row>
    <row r="19" spans="1:13" x14ac:dyDescent="0.35">
      <c r="A19" s="37" t="s">
        <v>115</v>
      </c>
      <c r="B19" s="32">
        <f t="shared" ref="B19:M19" si="2">SUM(B17:B18)</f>
        <v>-2000</v>
      </c>
      <c r="C19" s="32">
        <f t="shared" si="2"/>
        <v>-2000</v>
      </c>
      <c r="D19" s="32">
        <f t="shared" si="2"/>
        <v>-2000</v>
      </c>
      <c r="E19" s="32">
        <f t="shared" si="2"/>
        <v>-2000</v>
      </c>
      <c r="F19" s="32">
        <f t="shared" si="2"/>
        <v>-2000</v>
      </c>
      <c r="G19" s="32">
        <f t="shared" si="2"/>
        <v>-2000</v>
      </c>
      <c r="H19" s="32">
        <f t="shared" si="2"/>
        <v>-2000</v>
      </c>
      <c r="I19" s="32">
        <f t="shared" si="2"/>
        <v>-2000</v>
      </c>
      <c r="J19" s="32">
        <f t="shared" si="2"/>
        <v>-2000</v>
      </c>
      <c r="K19" s="32">
        <f t="shared" si="2"/>
        <v>-2000</v>
      </c>
      <c r="L19" s="32">
        <f t="shared" si="2"/>
        <v>-2000</v>
      </c>
      <c r="M19" s="32">
        <f t="shared" si="2"/>
        <v>-2000</v>
      </c>
    </row>
    <row r="21" spans="1:13" x14ac:dyDescent="0.35">
      <c r="A21" s="37" t="s">
        <v>116</v>
      </c>
      <c r="B21" s="32">
        <f t="shared" ref="B21:M21" si="3">B10+B14+B19</f>
        <v>-15667.900000000001</v>
      </c>
      <c r="C21" s="32">
        <f t="shared" si="3"/>
        <v>202.34999999999809</v>
      </c>
      <c r="D21" s="32">
        <f t="shared" si="3"/>
        <v>-605.60000000000218</v>
      </c>
      <c r="E21" s="32">
        <f t="shared" si="3"/>
        <v>3280.8010999999988</v>
      </c>
      <c r="F21" s="32">
        <f t="shared" si="3"/>
        <v>9722.9832599999991</v>
      </c>
      <c r="G21" s="32">
        <f t="shared" si="3"/>
        <v>7156.9039927999966</v>
      </c>
      <c r="H21" s="32">
        <f t="shared" si="3"/>
        <v>-9004.5603425599966</v>
      </c>
      <c r="I21" s="32">
        <f t="shared" si="3"/>
        <v>10599.999185311995</v>
      </c>
      <c r="J21" s="32">
        <f t="shared" si="3"/>
        <v>12425.624189577611</v>
      </c>
      <c r="K21" s="32">
        <f t="shared" si="3"/>
        <v>14700.808355160938</v>
      </c>
      <c r="L21" s="32">
        <f t="shared" si="3"/>
        <v>15925.412632815758</v>
      </c>
      <c r="M21" s="32">
        <f t="shared" si="3"/>
        <v>17186.207538800249</v>
      </c>
    </row>
    <row r="22" spans="1:13" x14ac:dyDescent="0.35">
      <c r="A22" s="37" t="s">
        <v>117</v>
      </c>
      <c r="B22" s="32">
        <f>SUMIFS(OpeningTB!$C:$C,OpeningTB!$B:$B,"Bank")</f>
        <v>68000</v>
      </c>
      <c r="C22" s="32">
        <f t="shared" ref="C22:M22" si="4">B23</f>
        <v>52332.1</v>
      </c>
      <c r="D22" s="32">
        <f t="shared" si="4"/>
        <v>52534.45</v>
      </c>
      <c r="E22" s="32">
        <f t="shared" si="4"/>
        <v>51928.849999999991</v>
      </c>
      <c r="F22" s="32">
        <f t="shared" si="4"/>
        <v>55209.651099999988</v>
      </c>
      <c r="G22" s="32">
        <f t="shared" si="4"/>
        <v>64932.634359999989</v>
      </c>
      <c r="H22" s="32">
        <f t="shared" si="4"/>
        <v>72089.53835279998</v>
      </c>
      <c r="I22" s="32">
        <f t="shared" si="4"/>
        <v>63084.978010239982</v>
      </c>
      <c r="J22" s="32">
        <f t="shared" si="4"/>
        <v>73684.977195551983</v>
      </c>
      <c r="K22" s="32">
        <f t="shared" si="4"/>
        <v>86110.601385129587</v>
      </c>
      <c r="L22" s="32">
        <f t="shared" si="4"/>
        <v>100811.40974029052</v>
      </c>
      <c r="M22" s="32">
        <f t="shared" si="4"/>
        <v>116736.82237310628</v>
      </c>
    </row>
    <row r="23" spans="1:13" x14ac:dyDescent="0.35">
      <c r="A23" s="37" t="s">
        <v>118</v>
      </c>
      <c r="B23" s="32">
        <f t="shared" ref="B23:M23" si="5">B22+B21</f>
        <v>52332.1</v>
      </c>
      <c r="C23" s="32">
        <f t="shared" si="5"/>
        <v>52534.45</v>
      </c>
      <c r="D23" s="32">
        <f t="shared" si="5"/>
        <v>51928.849999999991</v>
      </c>
      <c r="E23" s="32">
        <f t="shared" si="5"/>
        <v>55209.651099999988</v>
      </c>
      <c r="F23" s="32">
        <f t="shared" si="5"/>
        <v>64932.634359999989</v>
      </c>
      <c r="G23" s="32">
        <f t="shared" si="5"/>
        <v>72089.53835279998</v>
      </c>
      <c r="H23" s="32">
        <f t="shared" si="5"/>
        <v>63084.978010239982</v>
      </c>
      <c r="I23" s="32">
        <f t="shared" si="5"/>
        <v>73684.977195551983</v>
      </c>
      <c r="J23" s="32">
        <f t="shared" si="5"/>
        <v>86110.601385129587</v>
      </c>
      <c r="K23" s="32">
        <f t="shared" si="5"/>
        <v>100811.40974029052</v>
      </c>
      <c r="L23" s="32">
        <f t="shared" si="5"/>
        <v>116736.82237310628</v>
      </c>
      <c r="M23" s="32">
        <f t="shared" si="5"/>
        <v>133923.02991190652</v>
      </c>
    </row>
    <row r="24" spans="1:13" x14ac:dyDescent="0.35">
      <c r="A24" s="38" t="s">
        <v>119</v>
      </c>
      <c r="B24" s="32">
        <f>'Balance Sheet'!B5</f>
        <v>52332.1</v>
      </c>
      <c r="C24" s="32">
        <f>'Balance Sheet'!C5</f>
        <v>52534.45</v>
      </c>
      <c r="D24" s="32">
        <f>'Balance Sheet'!D5</f>
        <v>51928.849999999991</v>
      </c>
      <c r="E24" s="32">
        <f>'Balance Sheet'!E5</f>
        <v>55209.651099999988</v>
      </c>
      <c r="F24" s="32">
        <f>'Balance Sheet'!F5</f>
        <v>64932.634359999989</v>
      </c>
      <c r="G24" s="32">
        <f>'Balance Sheet'!G5</f>
        <v>72089.53835279998</v>
      </c>
      <c r="H24" s="32">
        <f>'Balance Sheet'!H5</f>
        <v>63084.978010239982</v>
      </c>
      <c r="I24" s="32">
        <f>'Balance Sheet'!I5</f>
        <v>73684.977195551983</v>
      </c>
      <c r="J24" s="32">
        <f>'Balance Sheet'!J5</f>
        <v>86110.601385129587</v>
      </c>
      <c r="K24" s="32">
        <f>'Balance Sheet'!K5</f>
        <v>100811.40974029052</v>
      </c>
      <c r="L24" s="32">
        <f>'Balance Sheet'!L5</f>
        <v>116736.82237310628</v>
      </c>
      <c r="M24" s="32">
        <f>'Balance Sheet'!M5</f>
        <v>133923.02991190652</v>
      </c>
    </row>
    <row r="25" spans="1:13" x14ac:dyDescent="0.35">
      <c r="A25" s="37" t="s">
        <v>120</v>
      </c>
      <c r="B25" s="32">
        <f t="shared" ref="B25:M25" si="6">B23-B24</f>
        <v>0</v>
      </c>
      <c r="C25" s="32">
        <f t="shared" si="6"/>
        <v>0</v>
      </c>
      <c r="D25" s="32">
        <f t="shared" si="6"/>
        <v>0</v>
      </c>
      <c r="E25" s="32">
        <f t="shared" si="6"/>
        <v>0</v>
      </c>
      <c r="F25" s="32">
        <f t="shared" si="6"/>
        <v>0</v>
      </c>
      <c r="G25" s="32">
        <f t="shared" si="6"/>
        <v>0</v>
      </c>
      <c r="H25" s="32">
        <f t="shared" si="6"/>
        <v>0</v>
      </c>
      <c r="I25" s="32">
        <f t="shared" si="6"/>
        <v>0</v>
      </c>
      <c r="J25" s="32">
        <f t="shared" si="6"/>
        <v>0</v>
      </c>
      <c r="K25" s="32">
        <f t="shared" si="6"/>
        <v>0</v>
      </c>
      <c r="L25" s="32">
        <f t="shared" si="6"/>
        <v>0</v>
      </c>
      <c r="M25" s="32">
        <f t="shared" si="6"/>
        <v>0</v>
      </c>
    </row>
  </sheetData>
  <mergeCells count="2">
    <mergeCell ref="A1:M1"/>
    <mergeCell ref="A2:M2"/>
  </mergeCells>
  <pageMargins left="0.75" right="0.75" top="1" bottom="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  <pageSetUpPr fitToPage="1"/>
  </sheetPr>
  <dimension ref="A1:M21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1:XFD1048576"/>
    </sheetView>
  </sheetViews>
  <sheetFormatPr defaultColWidth="8.6328125" defaultRowHeight="14.5" x14ac:dyDescent="0.35"/>
  <cols>
    <col min="1" max="1" width="42" style="32" customWidth="1"/>
    <col min="2" max="13" width="13" style="32" customWidth="1"/>
    <col min="14" max="16384" width="8.6328125" style="32"/>
  </cols>
  <sheetData>
    <row r="1" spans="1:13" ht="28.5" customHeight="1" x14ac:dyDescent="0.5">
      <c r="A1" s="34" t="s">
        <v>121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8.5" customHeight="1" x14ac:dyDescent="0.3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5">
      <c r="B3" s="36">
        <v>46023</v>
      </c>
      <c r="C3" s="36">
        <v>46054</v>
      </c>
      <c r="D3" s="36">
        <v>46082</v>
      </c>
      <c r="E3" s="36">
        <v>46113</v>
      </c>
      <c r="F3" s="36">
        <v>46143</v>
      </c>
      <c r="G3" s="36">
        <v>46174</v>
      </c>
      <c r="H3" s="36">
        <v>46204</v>
      </c>
      <c r="I3" s="36">
        <v>46235</v>
      </c>
      <c r="J3" s="36">
        <v>46266</v>
      </c>
      <c r="K3" s="36">
        <v>46296</v>
      </c>
      <c r="L3" s="36">
        <v>46327</v>
      </c>
      <c r="M3" s="36">
        <v>46357</v>
      </c>
    </row>
    <row r="4" spans="1:13" x14ac:dyDescent="0.35">
      <c r="A4" s="41" t="s">
        <v>122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x14ac:dyDescent="0.35">
      <c r="A5" s="38" t="s">
        <v>66</v>
      </c>
      <c r="B5" s="32">
        <f>'Income Statement'!B5</f>
        <v>54000</v>
      </c>
      <c r="C5" s="32">
        <f>'Income Statement'!C5</f>
        <v>59000</v>
      </c>
      <c r="D5" s="32">
        <f>'Income Statement'!D5</f>
        <v>66000</v>
      </c>
      <c r="E5" s="32">
        <f>'Income Statement'!E5</f>
        <v>71280</v>
      </c>
      <c r="F5" s="32">
        <f>'Income Statement'!F5</f>
        <v>76982.400000000009</v>
      </c>
      <c r="G5" s="32">
        <f>'Income Statement'!G5</f>
        <v>83140.992000000013</v>
      </c>
      <c r="H5" s="32">
        <f>'Income Statement'!H5</f>
        <v>87298.041600000011</v>
      </c>
      <c r="I5" s="32">
        <f>'Income Statement'!I5</f>
        <v>91662.943680000011</v>
      </c>
      <c r="J5" s="32">
        <f>'Income Statement'!J5</f>
        <v>96246.090864000013</v>
      </c>
      <c r="K5" s="32">
        <f>'Income Statement'!K5</f>
        <v>99133.473589920017</v>
      </c>
      <c r="L5" s="32">
        <f>'Income Statement'!L5</f>
        <v>102107.47779761763</v>
      </c>
      <c r="M5" s="32">
        <f>'Income Statement'!M5</f>
        <v>105170.70213154616</v>
      </c>
    </row>
    <row r="6" spans="1:13" x14ac:dyDescent="0.35">
      <c r="A6" s="38" t="s">
        <v>40</v>
      </c>
      <c r="B6" s="39">
        <f>0</f>
        <v>0</v>
      </c>
      <c r="C6" s="39">
        <f>0</f>
        <v>0</v>
      </c>
      <c r="D6" s="39">
        <f>0</f>
        <v>0</v>
      </c>
      <c r="E6" s="39">
        <f>Assumptions!B5</f>
        <v>0.6</v>
      </c>
      <c r="F6" s="39">
        <f>Assumptions!C5</f>
        <v>0.6</v>
      </c>
      <c r="G6" s="39">
        <f>Assumptions!D5</f>
        <v>0.6</v>
      </c>
      <c r="H6" s="39">
        <f>Assumptions!E5</f>
        <v>0.6</v>
      </c>
      <c r="I6" s="39">
        <f>Assumptions!F5</f>
        <v>0.6</v>
      </c>
      <c r="J6" s="39">
        <f>Assumptions!G5</f>
        <v>0.6</v>
      </c>
      <c r="K6" s="39">
        <f>Assumptions!H5</f>
        <v>0.6</v>
      </c>
      <c r="L6" s="39">
        <f>Assumptions!I5</f>
        <v>0.6</v>
      </c>
      <c r="M6" s="39">
        <f>Assumptions!J5</f>
        <v>0.6</v>
      </c>
    </row>
    <row r="7" spans="1:13" x14ac:dyDescent="0.35">
      <c r="A7" s="37" t="s">
        <v>123</v>
      </c>
      <c r="B7" s="32">
        <f>'Cash Flow'!B5+'Cash Flow'!B7</f>
        <v>-8681.2300000000014</v>
      </c>
      <c r="C7" s="32">
        <f>'Cash Flow'!C5+'Cash Flow'!C7</f>
        <v>1089.0199999999982</v>
      </c>
      <c r="D7" s="32">
        <f>'Cash Flow'!D5+'Cash Flow'!D7</f>
        <v>341.06999999999789</v>
      </c>
      <c r="E7" s="32">
        <f t="shared" ref="E7:M7" si="0">E5*E6</f>
        <v>42768</v>
      </c>
      <c r="F7" s="32">
        <f t="shared" si="0"/>
        <v>46189.440000000002</v>
      </c>
      <c r="G7" s="32">
        <f t="shared" si="0"/>
        <v>49884.595200000003</v>
      </c>
      <c r="H7" s="32">
        <f t="shared" si="0"/>
        <v>52378.824960000005</v>
      </c>
      <c r="I7" s="32">
        <f t="shared" si="0"/>
        <v>54997.766208000008</v>
      </c>
      <c r="J7" s="32">
        <f t="shared" si="0"/>
        <v>57747.654518400006</v>
      </c>
      <c r="K7" s="32">
        <f t="shared" si="0"/>
        <v>59480.084153952004</v>
      </c>
      <c r="L7" s="32">
        <f t="shared" si="0"/>
        <v>61264.486678570574</v>
      </c>
      <c r="M7" s="32">
        <f t="shared" si="0"/>
        <v>63102.421278927693</v>
      </c>
    </row>
    <row r="8" spans="1:13" x14ac:dyDescent="0.35">
      <c r="A8" s="38" t="s">
        <v>41</v>
      </c>
      <c r="B8" s="39">
        <f>0</f>
        <v>0</v>
      </c>
      <c r="C8" s="39">
        <f>0</f>
        <v>0</v>
      </c>
      <c r="D8" s="39">
        <f>0</f>
        <v>0</v>
      </c>
      <c r="E8" s="39">
        <f>Assumptions!B6</f>
        <v>0.4</v>
      </c>
      <c r="F8" s="39">
        <f>Assumptions!C6</f>
        <v>0.4</v>
      </c>
      <c r="G8" s="39">
        <f>Assumptions!D6</f>
        <v>0.4</v>
      </c>
      <c r="H8" s="39">
        <f>Assumptions!E6</f>
        <v>0.4</v>
      </c>
      <c r="I8" s="39">
        <f>Assumptions!F6</f>
        <v>0.4</v>
      </c>
      <c r="J8" s="39">
        <f>Assumptions!G6</f>
        <v>0.4</v>
      </c>
      <c r="K8" s="39">
        <f>Assumptions!H6</f>
        <v>0.4</v>
      </c>
      <c r="L8" s="39">
        <f>Assumptions!I6</f>
        <v>0.4</v>
      </c>
      <c r="M8" s="39">
        <f>Assumptions!J6</f>
        <v>0.4</v>
      </c>
    </row>
    <row r="9" spans="1:13" x14ac:dyDescent="0.35">
      <c r="A9" s="38" t="s">
        <v>124</v>
      </c>
      <c r="B9" s="32">
        <f>'Balance Sheet'!B6</f>
        <v>21000</v>
      </c>
      <c r="C9" s="32">
        <f>'Balance Sheet'!C6</f>
        <v>22000</v>
      </c>
      <c r="D9" s="32">
        <f>'Balance Sheet'!D6</f>
        <v>26000</v>
      </c>
      <c r="E9" s="32">
        <f t="shared" ref="E9:M9" si="1">E5*E8</f>
        <v>28512</v>
      </c>
      <c r="F9" s="32">
        <f t="shared" si="1"/>
        <v>30792.960000000006</v>
      </c>
      <c r="G9" s="32">
        <f t="shared" si="1"/>
        <v>33256.39680000001</v>
      </c>
      <c r="H9" s="32">
        <f t="shared" si="1"/>
        <v>34919.216640000006</v>
      </c>
      <c r="I9" s="32">
        <f t="shared" si="1"/>
        <v>36665.177472000003</v>
      </c>
      <c r="J9" s="32">
        <f t="shared" si="1"/>
        <v>38498.436345600006</v>
      </c>
      <c r="K9" s="32">
        <f t="shared" si="1"/>
        <v>39653.389435968013</v>
      </c>
      <c r="L9" s="32">
        <f t="shared" si="1"/>
        <v>40842.991119047052</v>
      </c>
      <c r="M9" s="32">
        <f t="shared" si="1"/>
        <v>42068.280852618467</v>
      </c>
    </row>
    <row r="10" spans="1:13" x14ac:dyDescent="0.35">
      <c r="A10" s="37" t="s">
        <v>125</v>
      </c>
      <c r="B10" s="32">
        <f>0</f>
        <v>0</v>
      </c>
      <c r="C10" s="32">
        <f>0</f>
        <v>0</v>
      </c>
      <c r="D10" s="32">
        <f>0</f>
        <v>0</v>
      </c>
      <c r="E10" s="32">
        <f>'Balance Sheet'!D6</f>
        <v>26000</v>
      </c>
      <c r="F10" s="32">
        <f t="shared" ref="F10:M10" si="2">E12</f>
        <v>28512</v>
      </c>
      <c r="G10" s="32">
        <f t="shared" si="2"/>
        <v>30792.960000000006</v>
      </c>
      <c r="H10" s="32">
        <f t="shared" si="2"/>
        <v>33256.39680000001</v>
      </c>
      <c r="I10" s="32">
        <f t="shared" si="2"/>
        <v>34919.216640000006</v>
      </c>
      <c r="J10" s="32">
        <f t="shared" si="2"/>
        <v>36665.177472000003</v>
      </c>
      <c r="K10" s="32">
        <f t="shared" si="2"/>
        <v>38498.436345600006</v>
      </c>
      <c r="L10" s="32">
        <f t="shared" si="2"/>
        <v>39653.389435968013</v>
      </c>
      <c r="M10" s="32">
        <f t="shared" si="2"/>
        <v>40842.991119047052</v>
      </c>
    </row>
    <row r="11" spans="1:13" x14ac:dyDescent="0.35">
      <c r="A11" s="37" t="s">
        <v>126</v>
      </c>
      <c r="B11" s="32">
        <f>'Cash Flow'!B5+'Cash Flow'!B7</f>
        <v>-8681.2300000000014</v>
      </c>
      <c r="C11" s="32">
        <f>'Cash Flow'!C5+'Cash Flow'!C7</f>
        <v>1089.0199999999982</v>
      </c>
      <c r="D11" s="32">
        <f>'Cash Flow'!D5+'Cash Flow'!D7</f>
        <v>341.06999999999789</v>
      </c>
      <c r="E11" s="32">
        <f t="shared" ref="E11:M11" si="3">E7+E10</f>
        <v>68768</v>
      </c>
      <c r="F11" s="32">
        <f t="shared" si="3"/>
        <v>74701.440000000002</v>
      </c>
      <c r="G11" s="32">
        <f t="shared" si="3"/>
        <v>80677.555200000003</v>
      </c>
      <c r="H11" s="32">
        <f t="shared" si="3"/>
        <v>85635.221760000015</v>
      </c>
      <c r="I11" s="32">
        <f t="shared" si="3"/>
        <v>89916.982848000014</v>
      </c>
      <c r="J11" s="32">
        <f t="shared" si="3"/>
        <v>94412.831990400009</v>
      </c>
      <c r="K11" s="32">
        <f t="shared" si="3"/>
        <v>97978.520499552018</v>
      </c>
      <c r="L11" s="32">
        <f t="shared" si="3"/>
        <v>100917.87611453858</v>
      </c>
      <c r="M11" s="32">
        <f t="shared" si="3"/>
        <v>103945.41239797475</v>
      </c>
    </row>
    <row r="12" spans="1:13" x14ac:dyDescent="0.35">
      <c r="A12" s="38" t="s">
        <v>127</v>
      </c>
      <c r="B12" s="32">
        <f>'Balance Sheet'!B6</f>
        <v>21000</v>
      </c>
      <c r="C12" s="32">
        <f>'Balance Sheet'!C6</f>
        <v>22000</v>
      </c>
      <c r="D12" s="32">
        <f>'Balance Sheet'!D6</f>
        <v>26000</v>
      </c>
      <c r="E12" s="32">
        <f t="shared" ref="E12:M12" si="4">E9</f>
        <v>28512</v>
      </c>
      <c r="F12" s="32">
        <f t="shared" si="4"/>
        <v>30792.960000000006</v>
      </c>
      <c r="G12" s="32">
        <f t="shared" si="4"/>
        <v>33256.39680000001</v>
      </c>
      <c r="H12" s="32">
        <f t="shared" si="4"/>
        <v>34919.216640000006</v>
      </c>
      <c r="I12" s="32">
        <f t="shared" si="4"/>
        <v>36665.177472000003</v>
      </c>
      <c r="J12" s="32">
        <f t="shared" si="4"/>
        <v>38498.436345600006</v>
      </c>
      <c r="K12" s="32">
        <f t="shared" si="4"/>
        <v>39653.389435968013</v>
      </c>
      <c r="L12" s="32">
        <f t="shared" si="4"/>
        <v>40842.991119047052</v>
      </c>
      <c r="M12" s="32">
        <f t="shared" si="4"/>
        <v>42068.280852618467</v>
      </c>
    </row>
    <row r="13" spans="1:13" x14ac:dyDescent="0.35">
      <c r="A13" s="37" t="s">
        <v>128</v>
      </c>
    </row>
    <row r="14" spans="1:13" x14ac:dyDescent="0.35">
      <c r="A14" s="37" t="s">
        <v>67</v>
      </c>
      <c r="B14" s="32">
        <f>'Income Statement'!B6</f>
        <v>22680</v>
      </c>
      <c r="C14" s="32">
        <f>'Income Statement'!C6</f>
        <v>24780</v>
      </c>
      <c r="D14" s="32">
        <f>'Income Statement'!D6</f>
        <v>27720</v>
      </c>
      <c r="E14" s="32">
        <f>'Income Statement'!E6</f>
        <v>29937.599999999999</v>
      </c>
      <c r="F14" s="32">
        <f>'Income Statement'!F6</f>
        <v>32332.608000000004</v>
      </c>
      <c r="G14" s="32">
        <f>'Income Statement'!G6</f>
        <v>34919.216640000006</v>
      </c>
      <c r="H14" s="32">
        <f>'Income Statement'!H6</f>
        <v>36665.177472000003</v>
      </c>
      <c r="I14" s="32">
        <f>'Income Statement'!I6</f>
        <v>38498.436345600006</v>
      </c>
      <c r="J14" s="32">
        <f>'Income Statement'!J6</f>
        <v>40423.358162880002</v>
      </c>
      <c r="K14" s="32">
        <f>'Income Statement'!K6</f>
        <v>41636.058907766404</v>
      </c>
      <c r="L14" s="32">
        <f>'Income Statement'!L6</f>
        <v>42885.140674999398</v>
      </c>
      <c r="M14" s="32">
        <f>'Income Statement'!M6</f>
        <v>44171.694895249384</v>
      </c>
    </row>
    <row r="15" spans="1:13" x14ac:dyDescent="0.35">
      <c r="A15" s="38" t="s">
        <v>43</v>
      </c>
      <c r="B15" s="42">
        <f>0</f>
        <v>0</v>
      </c>
      <c r="C15" s="42">
        <f>0</f>
        <v>0</v>
      </c>
      <c r="D15" s="42">
        <f>0</f>
        <v>0</v>
      </c>
      <c r="E15" s="42">
        <f>Assumptions!B8</f>
        <v>1.5</v>
      </c>
      <c r="F15" s="42">
        <f>Assumptions!C8</f>
        <v>1.5</v>
      </c>
      <c r="G15" s="42">
        <f>Assumptions!D8</f>
        <v>1.5</v>
      </c>
      <c r="H15" s="42">
        <f>Assumptions!E8</f>
        <v>1.5</v>
      </c>
      <c r="I15" s="42">
        <f>Assumptions!F8</f>
        <v>1.5</v>
      </c>
      <c r="J15" s="42">
        <f>Assumptions!G8</f>
        <v>1.5</v>
      </c>
      <c r="K15" s="42">
        <f>Assumptions!H8</f>
        <v>1.5</v>
      </c>
      <c r="L15" s="42">
        <f>Assumptions!I8</f>
        <v>1.5</v>
      </c>
      <c r="M15" s="42">
        <f>Assumptions!J8</f>
        <v>1.5</v>
      </c>
    </row>
    <row r="16" spans="1:13" x14ac:dyDescent="0.35">
      <c r="A16" s="37" t="s">
        <v>129</v>
      </c>
      <c r="B16" s="32">
        <f>'Balance Sheet'!B7</f>
        <v>44320</v>
      </c>
      <c r="C16" s="32">
        <f>'Balance Sheet'!C7</f>
        <v>47540</v>
      </c>
      <c r="D16" s="32">
        <f>'Balance Sheet'!D7</f>
        <v>49820</v>
      </c>
      <c r="E16" s="32">
        <f>'Income Statement'!F6*E15</f>
        <v>48498.912000000004</v>
      </c>
      <c r="F16" s="32">
        <f>'Income Statement'!G6*F15</f>
        <v>52378.824960000013</v>
      </c>
      <c r="G16" s="32">
        <f>'Income Statement'!H6*G15</f>
        <v>54997.766208000001</v>
      </c>
      <c r="H16" s="32">
        <f>'Income Statement'!I6*H15</f>
        <v>57747.654518400013</v>
      </c>
      <c r="I16" s="32">
        <f>'Income Statement'!J6*I15</f>
        <v>60635.037244320003</v>
      </c>
      <c r="J16" s="32">
        <f>'Income Statement'!K6*J15</f>
        <v>62454.088361649607</v>
      </c>
      <c r="K16" s="32">
        <f>'Income Statement'!L6*K15</f>
        <v>64327.711012499101</v>
      </c>
      <c r="L16" s="32">
        <f>'Income Statement'!M6*L15</f>
        <v>66257.542342874076</v>
      </c>
      <c r="M16" s="32">
        <f>'Income Statement'!M6*M15</f>
        <v>66257.542342874076</v>
      </c>
    </row>
    <row r="17" spans="1:13" x14ac:dyDescent="0.35">
      <c r="A17" s="38" t="s">
        <v>130</v>
      </c>
      <c r="B17" s="32">
        <f>0</f>
        <v>0</v>
      </c>
      <c r="C17" s="32">
        <f>0</f>
        <v>0</v>
      </c>
      <c r="D17" s="32">
        <f>0</f>
        <v>0</v>
      </c>
      <c r="E17" s="32">
        <f>'Balance Sheet'!D7</f>
        <v>49820</v>
      </c>
      <c r="F17" s="32">
        <f t="shared" ref="F17:M17" si="5">E16</f>
        <v>48498.912000000004</v>
      </c>
      <c r="G17" s="32">
        <f t="shared" si="5"/>
        <v>52378.824960000013</v>
      </c>
      <c r="H17" s="32">
        <f t="shared" si="5"/>
        <v>54997.766208000001</v>
      </c>
      <c r="I17" s="32">
        <f t="shared" si="5"/>
        <v>57747.654518400013</v>
      </c>
      <c r="J17" s="32">
        <f t="shared" si="5"/>
        <v>60635.037244320003</v>
      </c>
      <c r="K17" s="32">
        <f t="shared" si="5"/>
        <v>62454.088361649607</v>
      </c>
      <c r="L17" s="32">
        <f t="shared" si="5"/>
        <v>64327.711012499101</v>
      </c>
      <c r="M17" s="32">
        <f t="shared" si="5"/>
        <v>66257.542342874076</v>
      </c>
    </row>
    <row r="18" spans="1:13" x14ac:dyDescent="0.35">
      <c r="A18" s="37" t="s">
        <v>131</v>
      </c>
      <c r="B18" s="32">
        <f>SUMIFS('Clean Journal'!$F:$F,'Clean Journal'!$E:$E,"Inventory",'Clean Journal'!$C:$C,"&gt;="&amp;B$3,'Clean Journal'!$C:$C,"&lt;"&amp;EDATE(B$3,1))</f>
        <v>25000</v>
      </c>
      <c r="C18" s="32">
        <f>SUMIFS('Clean Journal'!$F:$F,'Clean Journal'!$E:$E,"Inventory",'Clean Journal'!$C:$C,"&gt;="&amp;C$3,'Clean Journal'!$C:$C,"&lt;"&amp;EDATE(C$3,1))</f>
        <v>28000</v>
      </c>
      <c r="D18" s="32">
        <f>SUMIFS('Clean Journal'!$F:$F,'Clean Journal'!$E:$E,"Inventory",'Clean Journal'!$C:$C,"&gt;="&amp;D$3,'Clean Journal'!$C:$C,"&lt;"&amp;EDATE(D$3,1))</f>
        <v>30000</v>
      </c>
      <c r="E18" s="32">
        <f t="shared" ref="E18:M18" si="6">E14+E16-E17</f>
        <v>28616.512000000002</v>
      </c>
      <c r="F18" s="32">
        <f t="shared" si="6"/>
        <v>36212.520960000016</v>
      </c>
      <c r="G18" s="32">
        <f t="shared" si="6"/>
        <v>37538.157888000002</v>
      </c>
      <c r="H18" s="32">
        <f t="shared" si="6"/>
        <v>39415.065782400008</v>
      </c>
      <c r="I18" s="32">
        <f t="shared" si="6"/>
        <v>41385.819071519989</v>
      </c>
      <c r="J18" s="32">
        <f t="shared" si="6"/>
        <v>42242.409280209598</v>
      </c>
      <c r="K18" s="32">
        <f t="shared" si="6"/>
        <v>43509.681558615899</v>
      </c>
      <c r="L18" s="32">
        <f t="shared" si="6"/>
        <v>44814.972005374366</v>
      </c>
      <c r="M18" s="32">
        <f t="shared" si="6"/>
        <v>44171.694895249384</v>
      </c>
    </row>
    <row r="19" spans="1:13" x14ac:dyDescent="0.35">
      <c r="A19" s="37" t="s">
        <v>132</v>
      </c>
      <c r="B19" s="32">
        <f>0</f>
        <v>0</v>
      </c>
      <c r="C19" s="32">
        <f>0</f>
        <v>0</v>
      </c>
      <c r="D19" s="32">
        <f>0</f>
        <v>0</v>
      </c>
      <c r="E19" s="32">
        <f>'Balance Sheet'!D14</f>
        <v>30000</v>
      </c>
      <c r="F19" s="32">
        <f t="shared" ref="F19:M19" si="7">E20</f>
        <v>28616.512000000002</v>
      </c>
      <c r="G19" s="32">
        <f t="shared" si="7"/>
        <v>36212.520960000016</v>
      </c>
      <c r="H19" s="32">
        <f t="shared" si="7"/>
        <v>37538.157888000002</v>
      </c>
      <c r="I19" s="32">
        <f t="shared" si="7"/>
        <v>39415.065782400008</v>
      </c>
      <c r="J19" s="32">
        <f t="shared" si="7"/>
        <v>41385.819071519989</v>
      </c>
      <c r="K19" s="32">
        <f t="shared" si="7"/>
        <v>42242.409280209598</v>
      </c>
      <c r="L19" s="32">
        <f t="shared" si="7"/>
        <v>43509.681558615899</v>
      </c>
      <c r="M19" s="32">
        <f t="shared" si="7"/>
        <v>44814.972005374366</v>
      </c>
    </row>
    <row r="20" spans="1:13" x14ac:dyDescent="0.35">
      <c r="A20" s="37" t="s">
        <v>133</v>
      </c>
      <c r="B20" s="32">
        <f>'Balance Sheet'!B14</f>
        <v>25000</v>
      </c>
      <c r="C20" s="32">
        <f>'Balance Sheet'!C14</f>
        <v>28000</v>
      </c>
      <c r="D20" s="32">
        <f>'Balance Sheet'!D14</f>
        <v>30000</v>
      </c>
      <c r="E20" s="32">
        <f t="shared" ref="E20:M20" si="8">E18</f>
        <v>28616.512000000002</v>
      </c>
      <c r="F20" s="32">
        <f t="shared" si="8"/>
        <v>36212.520960000016</v>
      </c>
      <c r="G20" s="32">
        <f t="shared" si="8"/>
        <v>37538.157888000002</v>
      </c>
      <c r="H20" s="32">
        <f t="shared" si="8"/>
        <v>39415.065782400008</v>
      </c>
      <c r="I20" s="32">
        <f t="shared" si="8"/>
        <v>41385.819071519989</v>
      </c>
      <c r="J20" s="32">
        <f t="shared" si="8"/>
        <v>42242.409280209598</v>
      </c>
      <c r="K20" s="32">
        <f t="shared" si="8"/>
        <v>43509.681558615899</v>
      </c>
      <c r="L20" s="32">
        <f t="shared" si="8"/>
        <v>44814.972005374366</v>
      </c>
      <c r="M20" s="32">
        <f t="shared" si="8"/>
        <v>44171.694895249384</v>
      </c>
    </row>
    <row r="21" spans="1:13" x14ac:dyDescent="0.35">
      <c r="A21" s="37" t="s">
        <v>134</v>
      </c>
      <c r="B21" s="32">
        <f>0</f>
        <v>0</v>
      </c>
      <c r="C21" s="32">
        <f>0</f>
        <v>0</v>
      </c>
      <c r="D21" s="32">
        <f>0</f>
        <v>0</v>
      </c>
      <c r="E21" s="32">
        <f t="shared" ref="E21:M21" si="9">E19+E18-E20</f>
        <v>30000</v>
      </c>
      <c r="F21" s="32">
        <f t="shared" si="9"/>
        <v>28616.512000000002</v>
      </c>
      <c r="G21" s="32">
        <f t="shared" si="9"/>
        <v>36212.520960000009</v>
      </c>
      <c r="H21" s="32">
        <f t="shared" si="9"/>
        <v>37538.157888000002</v>
      </c>
      <c r="I21" s="32">
        <f t="shared" si="9"/>
        <v>39415.065782400008</v>
      </c>
      <c r="J21" s="32">
        <f t="shared" si="9"/>
        <v>41385.819071519989</v>
      </c>
      <c r="K21" s="32">
        <f t="shared" si="9"/>
        <v>42242.409280209606</v>
      </c>
      <c r="L21" s="32">
        <f t="shared" si="9"/>
        <v>43509.681558615892</v>
      </c>
      <c r="M21" s="32">
        <f t="shared" si="9"/>
        <v>44814.972005374366</v>
      </c>
    </row>
  </sheetData>
  <mergeCells count="2">
    <mergeCell ref="A1:M1"/>
    <mergeCell ref="A2:M2"/>
  </mergeCells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8"/>
    <pageSetUpPr fitToPage="1"/>
  </sheetPr>
  <dimension ref="A1:M19"/>
  <sheetViews>
    <sheetView showGridLines="0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5" sqref="C15"/>
    </sheetView>
  </sheetViews>
  <sheetFormatPr defaultColWidth="8.6328125" defaultRowHeight="14.5" x14ac:dyDescent="0.35"/>
  <cols>
    <col min="1" max="1" width="42" style="32" customWidth="1"/>
    <col min="2" max="13" width="13" style="32" customWidth="1"/>
    <col min="14" max="16384" width="8.6328125" style="32"/>
  </cols>
  <sheetData>
    <row r="1" spans="1:13" ht="28.5" customHeight="1" x14ac:dyDescent="0.5">
      <c r="A1" s="34" t="s">
        <v>135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8.5" customHeight="1" x14ac:dyDescent="0.3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35">
      <c r="B3" s="36">
        <v>46023</v>
      </c>
      <c r="C3" s="36">
        <v>46054</v>
      </c>
      <c r="D3" s="36">
        <v>46082</v>
      </c>
      <c r="E3" s="36">
        <v>46113</v>
      </c>
      <c r="F3" s="36">
        <v>46143</v>
      </c>
      <c r="G3" s="36">
        <v>46174</v>
      </c>
      <c r="H3" s="36">
        <v>46204</v>
      </c>
      <c r="I3" s="36">
        <v>46235</v>
      </c>
      <c r="J3" s="36">
        <v>46266</v>
      </c>
      <c r="K3" s="36">
        <v>46296</v>
      </c>
      <c r="L3" s="36">
        <v>46327</v>
      </c>
      <c r="M3" s="36">
        <v>46357</v>
      </c>
    </row>
    <row r="4" spans="1:13" x14ac:dyDescent="0.35">
      <c r="A4" s="41" t="s">
        <v>136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x14ac:dyDescent="0.35">
      <c r="A5" s="38" t="s">
        <v>137</v>
      </c>
      <c r="B5" s="32">
        <f>SUMIFS(OpeningTB!$C:$C,OpeningTB!$B:$B,"Equipment")</f>
        <v>36000</v>
      </c>
      <c r="C5" s="32">
        <f t="shared" ref="C5:M5" si="0">B7</f>
        <v>48000</v>
      </c>
      <c r="D5" s="32">
        <f t="shared" si="0"/>
        <v>48000</v>
      </c>
      <c r="E5" s="32">
        <f t="shared" si="0"/>
        <v>48000</v>
      </c>
      <c r="F5" s="32">
        <f t="shared" si="0"/>
        <v>48000</v>
      </c>
      <c r="G5" s="32">
        <f t="shared" si="0"/>
        <v>48000</v>
      </c>
      <c r="H5" s="32">
        <f t="shared" si="0"/>
        <v>48000</v>
      </c>
      <c r="I5" s="32">
        <f t="shared" si="0"/>
        <v>66000</v>
      </c>
      <c r="J5" s="32">
        <f t="shared" si="0"/>
        <v>66000</v>
      </c>
      <c r="K5" s="32">
        <f t="shared" si="0"/>
        <v>66000</v>
      </c>
      <c r="L5" s="32">
        <f t="shared" si="0"/>
        <v>66000</v>
      </c>
      <c r="M5" s="32">
        <f t="shared" si="0"/>
        <v>66000</v>
      </c>
    </row>
    <row r="6" spans="1:13" x14ac:dyDescent="0.35">
      <c r="A6" s="38" t="s">
        <v>110</v>
      </c>
      <c r="B6" s="32">
        <f>SUMIFS('Clean Journal'!$F:$F,'Clean Journal'!$E:$E,"Equipment",'Clean Journal'!$C:$C,"&gt;="&amp;B$3,'Clean Journal'!$C:$C,"&lt;"&amp;EDATE(B$3,1))</f>
        <v>12000</v>
      </c>
      <c r="C6" s="32">
        <f>SUMIFS('Clean Journal'!$F:$F,'Clean Journal'!$E:$E,"Equipment",'Clean Journal'!$C:$C,"&gt;="&amp;C$3,'Clean Journal'!$C:$C,"&lt;"&amp;EDATE(C$3,1))</f>
        <v>0</v>
      </c>
      <c r="D6" s="32">
        <f>SUMIFS('Clean Journal'!$F:$F,'Clean Journal'!$E:$E,"Equipment",'Clean Journal'!$C:$C,"&gt;="&amp;D$3,'Clean Journal'!$C:$C,"&lt;"&amp;EDATE(D$3,1))</f>
        <v>0</v>
      </c>
      <c r="E6" s="40">
        <f>Assumptions!B14</f>
        <v>0</v>
      </c>
      <c r="F6" s="40">
        <f>Assumptions!C14</f>
        <v>0</v>
      </c>
      <c r="G6" s="40">
        <f>Assumptions!D14</f>
        <v>0</v>
      </c>
      <c r="H6" s="40">
        <f>Assumptions!E14</f>
        <v>18000</v>
      </c>
      <c r="I6" s="40">
        <f>Assumptions!F14</f>
        <v>0</v>
      </c>
      <c r="J6" s="40">
        <f>Assumptions!G14</f>
        <v>0</v>
      </c>
      <c r="K6" s="40">
        <f>Assumptions!H14</f>
        <v>0</v>
      </c>
      <c r="L6" s="40">
        <f>Assumptions!I14</f>
        <v>0</v>
      </c>
      <c r="M6" s="40">
        <f>Assumptions!J14</f>
        <v>0</v>
      </c>
    </row>
    <row r="7" spans="1:13" x14ac:dyDescent="0.35">
      <c r="A7" s="37" t="s">
        <v>138</v>
      </c>
      <c r="B7" s="32">
        <f>B5+B6-SUMIFS('Clean Journal'!$G:$G,'Clean Journal'!$E:$E,"Equipment",'Clean Journal'!$C:$C,"&gt;="&amp;B$3,'Clean Journal'!$C:$C,"&lt;"&amp;EDATE(B$3,1))</f>
        <v>48000</v>
      </c>
      <c r="C7" s="32">
        <f>C5+C6-SUMIFS('Clean Journal'!$G:$G,'Clean Journal'!$E:$E,"Equipment",'Clean Journal'!$C:$C,"&gt;="&amp;C$3,'Clean Journal'!$C:$C,"&lt;"&amp;EDATE(C$3,1))</f>
        <v>48000</v>
      </c>
      <c r="D7" s="32">
        <f>D5+D6-SUMIFS('Clean Journal'!$G:$G,'Clean Journal'!$E:$E,"Equipment",'Clean Journal'!$C:$C,"&gt;="&amp;D$3,'Clean Journal'!$C:$C,"&lt;"&amp;EDATE(D$3,1))</f>
        <v>48000</v>
      </c>
      <c r="E7" s="32">
        <f t="shared" ref="E7:M7" si="1">E5+E6</f>
        <v>48000</v>
      </c>
      <c r="F7" s="32">
        <f t="shared" si="1"/>
        <v>48000</v>
      </c>
      <c r="G7" s="32">
        <f t="shared" si="1"/>
        <v>48000</v>
      </c>
      <c r="H7" s="32">
        <f t="shared" si="1"/>
        <v>66000</v>
      </c>
      <c r="I7" s="32">
        <f t="shared" si="1"/>
        <v>66000</v>
      </c>
      <c r="J7" s="32">
        <f t="shared" si="1"/>
        <v>66000</v>
      </c>
      <c r="K7" s="32">
        <f t="shared" si="1"/>
        <v>66000</v>
      </c>
      <c r="L7" s="32">
        <f t="shared" si="1"/>
        <v>66000</v>
      </c>
      <c r="M7" s="32">
        <f t="shared" si="1"/>
        <v>66000</v>
      </c>
    </row>
    <row r="8" spans="1:13" x14ac:dyDescent="0.35">
      <c r="A8" s="38" t="s">
        <v>139</v>
      </c>
      <c r="B8" s="32">
        <f>SUMIFS(OpeningTB!$D:$D,OpeningTB!$B:$B,"Accumulated Depreciation")</f>
        <v>9000</v>
      </c>
      <c r="C8" s="32">
        <f t="shared" ref="C8:M8" si="2">B10</f>
        <v>10333.33</v>
      </c>
      <c r="D8" s="32">
        <f t="shared" si="2"/>
        <v>11666.66</v>
      </c>
      <c r="E8" s="32">
        <f t="shared" si="2"/>
        <v>12999.99</v>
      </c>
      <c r="F8" s="32">
        <f t="shared" si="2"/>
        <v>14333.32</v>
      </c>
      <c r="G8" s="32">
        <f t="shared" si="2"/>
        <v>15666.65</v>
      </c>
      <c r="H8" s="32">
        <f t="shared" si="2"/>
        <v>16999.98</v>
      </c>
      <c r="I8" s="32">
        <f t="shared" si="2"/>
        <v>18833.309999999998</v>
      </c>
      <c r="J8" s="32">
        <f t="shared" si="2"/>
        <v>20166.64</v>
      </c>
      <c r="K8" s="32">
        <f t="shared" si="2"/>
        <v>21499.97</v>
      </c>
      <c r="L8" s="32">
        <f t="shared" si="2"/>
        <v>22833.300000000003</v>
      </c>
      <c r="M8" s="32">
        <f t="shared" si="2"/>
        <v>24166.630000000005</v>
      </c>
    </row>
    <row r="9" spans="1:13" x14ac:dyDescent="0.35">
      <c r="A9" s="38" t="s">
        <v>74</v>
      </c>
      <c r="B9" s="32">
        <f>SUMIFS('Clean Journal'!$F:$F,'Clean Journal'!$E:$E,"Depreciation Expense",'Clean Journal'!$C:$C,"&gt;="&amp;B$3,'Clean Journal'!$C:$C,"&lt;"&amp;EDATE(B$3,1))</f>
        <v>1333.33</v>
      </c>
      <c r="C9" s="32">
        <f>SUMIFS('Clean Journal'!$F:$F,'Clean Journal'!$E:$E,"Depreciation Expense",'Clean Journal'!$C:$C,"&gt;="&amp;C$3,'Clean Journal'!$C:$C,"&lt;"&amp;EDATE(C$3,1))</f>
        <v>1333.33</v>
      </c>
      <c r="D9" s="32">
        <f>SUMIFS('Clean Journal'!$F:$F,'Clean Journal'!$E:$E,"Depreciation Expense",'Clean Journal'!$C:$C,"&gt;="&amp;D$3,'Clean Journal'!$C:$C,"&lt;"&amp;EDATE(D$3,1))</f>
        <v>1333.33</v>
      </c>
      <c r="E9" s="32">
        <f>Assumptions!B16+IF(E6&gt;0,E6/Assumptions!B15,0)</f>
        <v>1333.33</v>
      </c>
      <c r="F9" s="32">
        <f>Assumptions!C16+IF(F6&gt;0,F6/Assumptions!C15,0)</f>
        <v>1333.33</v>
      </c>
      <c r="G9" s="32">
        <f>Assumptions!D16+IF(G6&gt;0,G6/Assumptions!D15,0)</f>
        <v>1333.33</v>
      </c>
      <c r="H9" s="32">
        <f>Assumptions!E16+IF(H6&gt;0,H6/Assumptions!E15,0)</f>
        <v>1833.33</v>
      </c>
      <c r="I9" s="32">
        <f>Assumptions!F16+IF(I6&gt;0,I6/Assumptions!F15,0)</f>
        <v>1333.33</v>
      </c>
      <c r="J9" s="32">
        <f>Assumptions!G16+IF(J6&gt;0,J6/Assumptions!G15,0)</f>
        <v>1333.33</v>
      </c>
      <c r="K9" s="32">
        <f>Assumptions!H16+IF(K6&gt;0,K6/Assumptions!H15,0)</f>
        <v>1333.33</v>
      </c>
      <c r="L9" s="32">
        <f>Assumptions!I16+IF(L6&gt;0,L6/Assumptions!I15,0)</f>
        <v>1333.33</v>
      </c>
      <c r="M9" s="32">
        <f>Assumptions!J16+IF(M6&gt;0,M6/Assumptions!J15,0)</f>
        <v>1333.33</v>
      </c>
    </row>
    <row r="10" spans="1:13" x14ac:dyDescent="0.35">
      <c r="A10" s="37" t="s">
        <v>140</v>
      </c>
      <c r="B10" s="32">
        <f t="shared" ref="B10:M10" si="3">B8+B9</f>
        <v>10333.33</v>
      </c>
      <c r="C10" s="32">
        <f t="shared" si="3"/>
        <v>11666.66</v>
      </c>
      <c r="D10" s="32">
        <f t="shared" si="3"/>
        <v>12999.99</v>
      </c>
      <c r="E10" s="32">
        <f t="shared" si="3"/>
        <v>14333.32</v>
      </c>
      <c r="F10" s="32">
        <f t="shared" si="3"/>
        <v>15666.65</v>
      </c>
      <c r="G10" s="32">
        <f t="shared" si="3"/>
        <v>16999.98</v>
      </c>
      <c r="H10" s="32">
        <f t="shared" si="3"/>
        <v>18833.309999999998</v>
      </c>
      <c r="I10" s="32">
        <f t="shared" si="3"/>
        <v>20166.64</v>
      </c>
      <c r="J10" s="32">
        <f t="shared" si="3"/>
        <v>21499.97</v>
      </c>
      <c r="K10" s="32">
        <f t="shared" si="3"/>
        <v>22833.300000000003</v>
      </c>
      <c r="L10" s="32">
        <f t="shared" si="3"/>
        <v>24166.630000000005</v>
      </c>
      <c r="M10" s="32">
        <f t="shared" si="3"/>
        <v>25499.960000000006</v>
      </c>
    </row>
    <row r="11" spans="1:13" x14ac:dyDescent="0.35">
      <c r="A11" s="37" t="s">
        <v>141</v>
      </c>
      <c r="B11" s="32">
        <f t="shared" ref="B11:M11" si="4">B7-B10</f>
        <v>37666.67</v>
      </c>
      <c r="C11" s="32">
        <f t="shared" si="4"/>
        <v>36333.339999999997</v>
      </c>
      <c r="D11" s="32">
        <f t="shared" si="4"/>
        <v>35000.01</v>
      </c>
      <c r="E11" s="32">
        <f t="shared" si="4"/>
        <v>33666.68</v>
      </c>
      <c r="F11" s="32">
        <f t="shared" si="4"/>
        <v>32333.35</v>
      </c>
      <c r="G11" s="32">
        <f t="shared" si="4"/>
        <v>31000.02</v>
      </c>
      <c r="H11" s="32">
        <f t="shared" si="4"/>
        <v>47166.69</v>
      </c>
      <c r="I11" s="32">
        <f t="shared" si="4"/>
        <v>45833.36</v>
      </c>
      <c r="J11" s="32">
        <f t="shared" si="4"/>
        <v>44500.03</v>
      </c>
      <c r="K11" s="32">
        <f t="shared" si="4"/>
        <v>43166.7</v>
      </c>
      <c r="L11" s="32">
        <f t="shared" si="4"/>
        <v>41833.369999999995</v>
      </c>
      <c r="M11" s="32">
        <f t="shared" si="4"/>
        <v>40500.039999999994</v>
      </c>
    </row>
    <row r="13" spans="1:13" x14ac:dyDescent="0.35">
      <c r="A13" s="37" t="s">
        <v>142</v>
      </c>
    </row>
    <row r="14" spans="1:13" x14ac:dyDescent="0.35">
      <c r="A14" s="37" t="s">
        <v>143</v>
      </c>
      <c r="B14" s="32">
        <f>SUMIFS(OpeningTB!$D:$D,OpeningTB!$B:$B,"Business Loan")</f>
        <v>28000</v>
      </c>
      <c r="C14" s="32">
        <f t="shared" ref="C14:M14" si="5">B17</f>
        <v>26000</v>
      </c>
      <c r="D14" s="32">
        <f t="shared" si="5"/>
        <v>24000</v>
      </c>
      <c r="E14" s="32">
        <f t="shared" si="5"/>
        <v>22000</v>
      </c>
      <c r="F14" s="32">
        <f t="shared" si="5"/>
        <v>20000</v>
      </c>
      <c r="G14" s="32">
        <f t="shared" si="5"/>
        <v>18000</v>
      </c>
      <c r="H14" s="32">
        <f t="shared" si="5"/>
        <v>16000</v>
      </c>
      <c r="I14" s="32">
        <f t="shared" si="5"/>
        <v>14000</v>
      </c>
      <c r="J14" s="32">
        <f t="shared" si="5"/>
        <v>12000</v>
      </c>
      <c r="K14" s="32">
        <f t="shared" si="5"/>
        <v>10000</v>
      </c>
      <c r="L14" s="32">
        <f t="shared" si="5"/>
        <v>8000</v>
      </c>
      <c r="M14" s="32">
        <f t="shared" si="5"/>
        <v>6000</v>
      </c>
    </row>
    <row r="15" spans="1:13" x14ac:dyDescent="0.35">
      <c r="A15" s="38" t="s">
        <v>144</v>
      </c>
      <c r="B15" s="32">
        <f>0</f>
        <v>0</v>
      </c>
      <c r="C15" s="32">
        <f>0</f>
        <v>0</v>
      </c>
      <c r="D15" s="32">
        <f>0</f>
        <v>0</v>
      </c>
      <c r="E15" s="32">
        <f>0</f>
        <v>0</v>
      </c>
      <c r="F15" s="32">
        <f>0</f>
        <v>0</v>
      </c>
      <c r="G15" s="32">
        <f>0</f>
        <v>0</v>
      </c>
      <c r="H15" s="32">
        <f>0</f>
        <v>0</v>
      </c>
      <c r="I15" s="32">
        <f>0</f>
        <v>0</v>
      </c>
      <c r="J15" s="32">
        <f>0</f>
        <v>0</v>
      </c>
      <c r="K15" s="32">
        <f>0</f>
        <v>0</v>
      </c>
      <c r="L15" s="32">
        <f>0</f>
        <v>0</v>
      </c>
      <c r="M15" s="32">
        <f>0</f>
        <v>0</v>
      </c>
    </row>
    <row r="16" spans="1:13" x14ac:dyDescent="0.35">
      <c r="A16" s="37" t="s">
        <v>145</v>
      </c>
      <c r="B16" s="32">
        <f>SUMIFS('Clean Journal'!$F:$F,'Clean Journal'!$E:$E,"Business Loan",'Clean Journal'!$C:$C,"&gt;="&amp;B$3,'Clean Journal'!$C:$C,"&lt;"&amp;EDATE(B$3,1))</f>
        <v>2000</v>
      </c>
      <c r="C16" s="32">
        <f>SUMIFS('Clean Journal'!$F:$F,'Clean Journal'!$E:$E,"Business Loan",'Clean Journal'!$C:$C,"&gt;="&amp;C$3,'Clean Journal'!$C:$C,"&lt;"&amp;EDATE(C$3,1))</f>
        <v>2000</v>
      </c>
      <c r="D16" s="32">
        <f>SUMIFS('Clean Journal'!$F:$F,'Clean Journal'!$E:$E,"Business Loan",'Clean Journal'!$C:$C,"&gt;="&amp;D$3,'Clean Journal'!$C:$C,"&lt;"&amp;EDATE(D$3,1))</f>
        <v>2000</v>
      </c>
      <c r="E16" s="32">
        <f>MIN(E14,Assumptions!B18)</f>
        <v>2000</v>
      </c>
      <c r="F16" s="32">
        <f>MIN(F14,Assumptions!C18)</f>
        <v>2000</v>
      </c>
      <c r="G16" s="32">
        <f>MIN(G14,Assumptions!D18)</f>
        <v>2000</v>
      </c>
      <c r="H16" s="32">
        <f>MIN(H14,Assumptions!E18)</f>
        <v>2000</v>
      </c>
      <c r="I16" s="32">
        <f>MIN(I14,Assumptions!F18)</f>
        <v>2000</v>
      </c>
      <c r="J16" s="32">
        <f>MIN(J14,Assumptions!G18)</f>
        <v>2000</v>
      </c>
      <c r="K16" s="32">
        <f>MIN(K14,Assumptions!H18)</f>
        <v>2000</v>
      </c>
      <c r="L16" s="32">
        <f>MIN(L14,Assumptions!I18)</f>
        <v>2000</v>
      </c>
      <c r="M16" s="32">
        <f>MIN(M14,Assumptions!J18)</f>
        <v>2000</v>
      </c>
    </row>
    <row r="17" spans="1:13" x14ac:dyDescent="0.35">
      <c r="A17" s="38" t="s">
        <v>146</v>
      </c>
      <c r="B17" s="32">
        <f>B14+B15-B16+SUMIFS('Clean Journal'!$G:$G,'Clean Journal'!$E:$E,"Business Loan",'Clean Journal'!$C:$C,"&gt;="&amp;B$3,'Clean Journal'!$C:$C,"&lt;"&amp;EDATE(B$3,1))</f>
        <v>26000</v>
      </c>
      <c r="C17" s="32">
        <f>C14+C15-C16+SUMIFS('Clean Journal'!$G:$G,'Clean Journal'!$E:$E,"Business Loan",'Clean Journal'!$C:$C,"&gt;="&amp;C$3,'Clean Journal'!$C:$C,"&lt;"&amp;EDATE(C$3,1))</f>
        <v>24000</v>
      </c>
      <c r="D17" s="32">
        <f>D14+D15-D16+SUMIFS('Clean Journal'!$G:$G,'Clean Journal'!$E:$E,"Business Loan",'Clean Journal'!$C:$C,"&gt;="&amp;D$3,'Clean Journal'!$C:$C,"&lt;"&amp;EDATE(D$3,1))</f>
        <v>22000</v>
      </c>
      <c r="E17" s="32">
        <f t="shared" ref="E17:M17" si="6">E14+E15-E16</f>
        <v>20000</v>
      </c>
      <c r="F17" s="32">
        <f t="shared" si="6"/>
        <v>18000</v>
      </c>
      <c r="G17" s="32">
        <f t="shared" si="6"/>
        <v>16000</v>
      </c>
      <c r="H17" s="32">
        <f t="shared" si="6"/>
        <v>14000</v>
      </c>
      <c r="I17" s="32">
        <f t="shared" si="6"/>
        <v>12000</v>
      </c>
      <c r="J17" s="32">
        <f t="shared" si="6"/>
        <v>10000</v>
      </c>
      <c r="K17" s="32">
        <f t="shared" si="6"/>
        <v>8000</v>
      </c>
      <c r="L17" s="32">
        <f t="shared" si="6"/>
        <v>6000</v>
      </c>
      <c r="M17" s="32">
        <f t="shared" si="6"/>
        <v>4000</v>
      </c>
    </row>
    <row r="18" spans="1:13" x14ac:dyDescent="0.35">
      <c r="A18" s="37" t="s">
        <v>52</v>
      </c>
      <c r="B18" s="32">
        <f>0</f>
        <v>0</v>
      </c>
      <c r="C18" s="32">
        <f>0</f>
        <v>0</v>
      </c>
      <c r="D18" s="32">
        <f>0</f>
        <v>0</v>
      </c>
      <c r="E18" s="39">
        <f>Assumptions!B17</f>
        <v>0.15</v>
      </c>
      <c r="F18" s="39">
        <f>Assumptions!C17</f>
        <v>0.15</v>
      </c>
      <c r="G18" s="39">
        <f>Assumptions!D17</f>
        <v>0.15</v>
      </c>
      <c r="H18" s="39">
        <f>Assumptions!E17</f>
        <v>0.15</v>
      </c>
      <c r="I18" s="39">
        <f>Assumptions!F17</f>
        <v>0.15</v>
      </c>
      <c r="J18" s="39">
        <f>Assumptions!G17</f>
        <v>0.15</v>
      </c>
      <c r="K18" s="39">
        <f>Assumptions!H17</f>
        <v>0.15</v>
      </c>
      <c r="L18" s="39">
        <f>Assumptions!I17</f>
        <v>0.15</v>
      </c>
      <c r="M18" s="39">
        <f>Assumptions!J17</f>
        <v>0.15</v>
      </c>
    </row>
    <row r="19" spans="1:13" x14ac:dyDescent="0.35">
      <c r="A19" s="37" t="s">
        <v>79</v>
      </c>
      <c r="B19" s="32">
        <f>SUMIFS('Clean Journal'!$F:$F,'Clean Journal'!$E:$E,"Interest Expense",'Clean Journal'!$C:$C,"&gt;="&amp;B$3,'Clean Journal'!$C:$C,"&lt;"&amp;EDATE(B$3,1))</f>
        <v>350</v>
      </c>
      <c r="C19" s="32">
        <f>SUMIFS('Clean Journal'!$F:$F,'Clean Journal'!$E:$E,"Interest Expense",'Clean Journal'!$C:$C,"&gt;="&amp;C$3,'Clean Journal'!$C:$C,"&lt;"&amp;EDATE(C$3,1))</f>
        <v>325</v>
      </c>
      <c r="D19" s="32">
        <f>SUMIFS('Clean Journal'!$F:$F,'Clean Journal'!$E:$E,"Interest Expense",'Clean Journal'!$C:$C,"&gt;="&amp;D$3,'Clean Journal'!$C:$C,"&lt;"&amp;EDATE(D$3,1))</f>
        <v>300</v>
      </c>
      <c r="E19" s="32">
        <f t="shared" ref="E19:M19" si="7">E14*E18/12</f>
        <v>275</v>
      </c>
      <c r="F19" s="32">
        <f t="shared" si="7"/>
        <v>250</v>
      </c>
      <c r="G19" s="32">
        <f t="shared" si="7"/>
        <v>225</v>
      </c>
      <c r="H19" s="32">
        <f t="shared" si="7"/>
        <v>200</v>
      </c>
      <c r="I19" s="32">
        <f t="shared" si="7"/>
        <v>175</v>
      </c>
      <c r="J19" s="32">
        <f t="shared" si="7"/>
        <v>150</v>
      </c>
      <c r="K19" s="32">
        <f t="shared" si="7"/>
        <v>125</v>
      </c>
      <c r="L19" s="32">
        <f t="shared" si="7"/>
        <v>100</v>
      </c>
      <c r="M19" s="32">
        <f t="shared" si="7"/>
        <v>75</v>
      </c>
    </row>
  </sheetData>
  <mergeCells count="2">
    <mergeCell ref="A1:M1"/>
    <mergeCell ref="A2:M2"/>
  </mergeCells>
  <pageMargins left="0.75" right="0.75" top="1" bottom="1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14"/>
  <sheetViews>
    <sheetView showGridLines="0" zoomScale="90" zoomScaleNormal="90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A2" sqref="A2:M2"/>
    </sheetView>
  </sheetViews>
  <sheetFormatPr defaultColWidth="8.6328125" defaultRowHeight="14.5" x14ac:dyDescent="0.35"/>
  <cols>
    <col min="1" max="1" width="42" customWidth="1"/>
    <col min="2" max="13" width="13" customWidth="1"/>
  </cols>
  <sheetData>
    <row r="1" spans="1:13" ht="28.5" customHeight="1" x14ac:dyDescent="0.5">
      <c r="A1" s="5" t="s">
        <v>147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8.5" customHeight="1" x14ac:dyDescent="0.35">
      <c r="A2" s="43" t="s">
        <v>518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35">
      <c r="B3" s="20">
        <v>46023</v>
      </c>
      <c r="C3" s="20">
        <v>46054</v>
      </c>
      <c r="D3" s="20">
        <v>46082</v>
      </c>
      <c r="E3" s="20">
        <v>46113</v>
      </c>
      <c r="F3" s="20">
        <v>46143</v>
      </c>
      <c r="G3" s="20">
        <v>46174</v>
      </c>
      <c r="H3" s="20">
        <v>46204</v>
      </c>
      <c r="I3" s="20">
        <v>46235</v>
      </c>
      <c r="J3" s="20">
        <v>46266</v>
      </c>
      <c r="K3" s="20">
        <v>46296</v>
      </c>
      <c r="L3" s="20">
        <v>46327</v>
      </c>
      <c r="M3" s="20">
        <v>46357</v>
      </c>
    </row>
    <row r="4" spans="1:13" x14ac:dyDescent="0.35">
      <c r="A4" s="9" t="s">
        <v>148</v>
      </c>
      <c r="B4">
        <f>SUM(OpeningTB!$C:$C)-SUM(OpeningTB!$D:$D)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  <c r="I4">
        <f>0</f>
        <v>0</v>
      </c>
      <c r="J4">
        <f>0</f>
        <v>0</v>
      </c>
      <c r="K4">
        <f>0</f>
        <v>0</v>
      </c>
      <c r="L4">
        <f>0</f>
        <v>0</v>
      </c>
      <c r="M4">
        <f>0</f>
        <v>0</v>
      </c>
    </row>
    <row r="5" spans="1:13" x14ac:dyDescent="0.35">
      <c r="A5" s="17" t="s">
        <v>149</v>
      </c>
      <c r="B5">
        <f>SUMIFS('Clean Journal'!$F:$F,'Clean Journal'!$C:$C,"&gt;="&amp;B$3,'Clean Journal'!$C:$C,"&lt;"&amp;EDATE(B$3,1))-SUMIFS('Clean Journal'!$G:$G,'Clean Journal'!$C:$C,"&gt;="&amp;B$3,'Clean Journal'!$C:$C,"&lt;"&amp;EDATE(B$3,1))</f>
        <v>0</v>
      </c>
      <c r="C5">
        <f>SUMIFS('Clean Journal'!$F:$F,'Clean Journal'!$C:$C,"&gt;="&amp;C$3,'Clean Journal'!$C:$C,"&lt;"&amp;EDATE(C$3,1))-SUMIFS('Clean Journal'!$G:$G,'Clean Journal'!$C:$C,"&gt;="&amp;C$3,'Clean Journal'!$C:$C,"&lt;"&amp;EDATE(C$3,1))</f>
        <v>0</v>
      </c>
      <c r="D5">
        <f>SUMIFS('Clean Journal'!$F:$F,'Clean Journal'!$C:$C,"&gt;="&amp;D$3,'Clean Journal'!$C:$C,"&lt;"&amp;EDATE(D$3,1))-SUMIFS('Clean Journal'!$G:$G,'Clean Journal'!$C:$C,"&gt;="&amp;D$3,'Clean Journal'!$C:$C,"&lt;"&amp;EDATE(D$3,1))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  <c r="I5">
        <f>0</f>
        <v>0</v>
      </c>
      <c r="J5">
        <f>0</f>
        <v>0</v>
      </c>
      <c r="K5">
        <f>0</f>
        <v>0</v>
      </c>
      <c r="L5">
        <f>0</f>
        <v>0</v>
      </c>
      <c r="M5">
        <f>0</f>
        <v>0</v>
      </c>
    </row>
    <row r="6" spans="1:13" x14ac:dyDescent="0.35">
      <c r="A6" s="17" t="s">
        <v>150</v>
      </c>
      <c r="B6">
        <f>'Balance Sheet'!B23</f>
        <v>0</v>
      </c>
      <c r="C6">
        <f>'Balance Sheet'!C23</f>
        <v>0</v>
      </c>
      <c r="D6">
        <f>'Balance Sheet'!D23</f>
        <v>0</v>
      </c>
      <c r="E6">
        <f>'Balance Sheet'!E23</f>
        <v>0</v>
      </c>
      <c r="F6">
        <f>'Balance Sheet'!F23</f>
        <v>0</v>
      </c>
      <c r="G6">
        <f>'Balance Sheet'!G23</f>
        <v>0</v>
      </c>
      <c r="H6">
        <f>'Balance Sheet'!H23</f>
        <v>0</v>
      </c>
      <c r="I6">
        <f>'Balance Sheet'!I23</f>
        <v>0</v>
      </c>
      <c r="J6">
        <f>'Balance Sheet'!J23</f>
        <v>0</v>
      </c>
      <c r="K6">
        <f>'Balance Sheet'!K23</f>
        <v>0</v>
      </c>
      <c r="L6">
        <f>'Balance Sheet'!L23</f>
        <v>0</v>
      </c>
      <c r="M6">
        <f>'Balance Sheet'!M23</f>
        <v>0</v>
      </c>
    </row>
    <row r="7" spans="1:13" x14ac:dyDescent="0.35">
      <c r="A7" s="9" t="s">
        <v>151</v>
      </c>
      <c r="B7">
        <f>'Cash Flow'!B25</f>
        <v>0</v>
      </c>
      <c r="C7">
        <f>'Cash Flow'!C25</f>
        <v>0</v>
      </c>
      <c r="D7">
        <f>'Cash Flow'!D25</f>
        <v>0</v>
      </c>
      <c r="E7">
        <f>'Cash Flow'!E25</f>
        <v>0</v>
      </c>
      <c r="F7">
        <f>'Cash Flow'!F25</f>
        <v>0</v>
      </c>
      <c r="G7">
        <f>'Cash Flow'!G25</f>
        <v>0</v>
      </c>
      <c r="H7">
        <f>'Cash Flow'!H25</f>
        <v>0</v>
      </c>
      <c r="I7">
        <f>'Cash Flow'!I25</f>
        <v>0</v>
      </c>
      <c r="J7">
        <f>'Cash Flow'!J25</f>
        <v>0</v>
      </c>
      <c r="K7">
        <f>'Cash Flow'!K25</f>
        <v>0</v>
      </c>
      <c r="L7">
        <f>'Cash Flow'!L25</f>
        <v>0</v>
      </c>
      <c r="M7">
        <f>'Cash Flow'!M25</f>
        <v>0</v>
      </c>
    </row>
    <row r="8" spans="1:13" x14ac:dyDescent="0.35">
      <c r="A8" s="17" t="s">
        <v>152</v>
      </c>
      <c r="B8">
        <f>0</f>
        <v>0</v>
      </c>
      <c r="C8">
        <f>0</f>
        <v>0</v>
      </c>
      <c r="D8">
        <f>0</f>
        <v>0</v>
      </c>
      <c r="E8">
        <f>Assumptions!B5+Assumptions!B6-1</f>
        <v>0</v>
      </c>
      <c r="F8">
        <f>Assumptions!C5+Assumptions!C6-1</f>
        <v>0</v>
      </c>
      <c r="G8">
        <f>Assumptions!D5+Assumptions!D6-1</f>
        <v>0</v>
      </c>
      <c r="H8">
        <f>Assumptions!E5+Assumptions!E6-1</f>
        <v>0</v>
      </c>
      <c r="I8">
        <f>Assumptions!F5+Assumptions!F6-1</f>
        <v>0</v>
      </c>
      <c r="J8">
        <f>Assumptions!G5+Assumptions!G6-1</f>
        <v>0</v>
      </c>
      <c r="K8">
        <f>Assumptions!H5+Assumptions!H6-1</f>
        <v>0</v>
      </c>
      <c r="L8">
        <f>Assumptions!I5+Assumptions!I6-1</f>
        <v>0</v>
      </c>
      <c r="M8">
        <f>Assumptions!J5+Assumptions!J6-1</f>
        <v>0</v>
      </c>
    </row>
    <row r="9" spans="1:13" x14ac:dyDescent="0.35">
      <c r="A9" s="17" t="s">
        <v>153</v>
      </c>
      <c r="B9">
        <f>0</f>
        <v>0</v>
      </c>
      <c r="C9">
        <f>0</f>
        <v>0</v>
      </c>
      <c r="D9">
        <f>0</f>
        <v>0</v>
      </c>
      <c r="E9">
        <f>'Working Capital'!E17+'Working Capital'!E18-'Working Capital'!E14-'Working Capital'!E16</f>
        <v>0</v>
      </c>
      <c r="F9">
        <f>'Working Capital'!F17+'Working Capital'!F18-'Working Capital'!F14-'Working Capital'!F16</f>
        <v>0</v>
      </c>
      <c r="G9">
        <f>'Working Capital'!G17+'Working Capital'!G18-'Working Capital'!G14-'Working Capital'!G16</f>
        <v>0</v>
      </c>
      <c r="H9">
        <f>'Working Capital'!H17+'Working Capital'!H18-'Working Capital'!H14-'Working Capital'!H16</f>
        <v>0</v>
      </c>
      <c r="I9">
        <f>'Working Capital'!I17+'Working Capital'!I18-'Working Capital'!I14-'Working Capital'!I16</f>
        <v>0</v>
      </c>
      <c r="J9">
        <f>'Working Capital'!J17+'Working Capital'!J18-'Working Capital'!J14-'Working Capital'!J16</f>
        <v>0</v>
      </c>
      <c r="K9">
        <f>'Working Capital'!K17+'Working Capital'!K18-'Working Capital'!K14-'Working Capital'!K16</f>
        <v>0</v>
      </c>
      <c r="L9">
        <f>'Working Capital'!L17+'Working Capital'!L18-'Working Capital'!L14-'Working Capital'!L16</f>
        <v>0</v>
      </c>
      <c r="M9">
        <f>'Working Capital'!M17+'Working Capital'!M18-'Working Capital'!M14-'Working Capital'!M16</f>
        <v>0</v>
      </c>
    </row>
    <row r="10" spans="1:13" x14ac:dyDescent="0.35">
      <c r="A10" s="9" t="s">
        <v>154</v>
      </c>
      <c r="B10">
        <f>0</f>
        <v>0</v>
      </c>
      <c r="C10">
        <f>0</f>
        <v>0</v>
      </c>
      <c r="D10">
        <f>0</f>
        <v>0</v>
      </c>
      <c r="E10">
        <f>'Working Capital'!E19+'Working Capital'!E18-'Working Capital'!E20-'Working Capital'!E21</f>
        <v>0</v>
      </c>
      <c r="F10">
        <f>'Working Capital'!F19+'Working Capital'!F18-'Working Capital'!F20-'Working Capital'!F21</f>
        <v>0</v>
      </c>
      <c r="G10">
        <f>'Working Capital'!G19+'Working Capital'!G18-'Working Capital'!G20-'Working Capital'!G21</f>
        <v>0</v>
      </c>
      <c r="H10">
        <f>'Working Capital'!H19+'Working Capital'!H18-'Working Capital'!H20-'Working Capital'!H21</f>
        <v>0</v>
      </c>
      <c r="I10">
        <f>'Working Capital'!I19+'Working Capital'!I18-'Working Capital'!I20-'Working Capital'!I21</f>
        <v>0</v>
      </c>
      <c r="J10">
        <f>'Working Capital'!J19+'Working Capital'!J18-'Working Capital'!J20-'Working Capital'!J21</f>
        <v>0</v>
      </c>
      <c r="K10">
        <f>'Working Capital'!K19+'Working Capital'!K18-'Working Capital'!K20-'Working Capital'!K21</f>
        <v>0</v>
      </c>
      <c r="L10">
        <f>'Working Capital'!L19+'Working Capital'!L18-'Working Capital'!L20-'Working Capital'!L21</f>
        <v>0</v>
      </c>
      <c r="M10">
        <f>'Working Capital'!M19+'Working Capital'!M18-'Working Capital'!M20-'Working Capital'!M21</f>
        <v>0</v>
      </c>
    </row>
    <row r="11" spans="1:13" x14ac:dyDescent="0.35">
      <c r="A11" s="9" t="s">
        <v>155</v>
      </c>
      <c r="B11">
        <f>0</f>
        <v>0</v>
      </c>
      <c r="C11">
        <f>0</f>
        <v>0</v>
      </c>
      <c r="D11">
        <f>0</f>
        <v>0</v>
      </c>
      <c r="E11">
        <f>'PP&amp;E &amp; Debt'!E14+'PP&amp;E &amp; Debt'!E15-'PP&amp;E &amp; Debt'!E16-'PP&amp;E &amp; Debt'!E17</f>
        <v>0</v>
      </c>
      <c r="F11">
        <f>'PP&amp;E &amp; Debt'!F14+'PP&amp;E &amp; Debt'!F15-'PP&amp;E &amp; Debt'!F16-'PP&amp;E &amp; Debt'!F17</f>
        <v>0</v>
      </c>
      <c r="G11">
        <f>'PP&amp;E &amp; Debt'!G14+'PP&amp;E &amp; Debt'!G15-'PP&amp;E &amp; Debt'!G16-'PP&amp;E &amp; Debt'!G17</f>
        <v>0</v>
      </c>
      <c r="H11">
        <f>'PP&amp;E &amp; Debt'!H14+'PP&amp;E &amp; Debt'!H15-'PP&amp;E &amp; Debt'!H16-'PP&amp;E &amp; Debt'!H17</f>
        <v>0</v>
      </c>
      <c r="I11">
        <f>'PP&amp;E &amp; Debt'!I14+'PP&amp;E &amp; Debt'!I15-'PP&amp;E &amp; Debt'!I16-'PP&amp;E &amp; Debt'!I17</f>
        <v>0</v>
      </c>
      <c r="J11">
        <f>'PP&amp;E &amp; Debt'!J14+'PP&amp;E &amp; Debt'!J15-'PP&amp;E &amp; Debt'!J16-'PP&amp;E &amp; Debt'!J17</f>
        <v>0</v>
      </c>
      <c r="K11">
        <f>'PP&amp;E &amp; Debt'!K14+'PP&amp;E &amp; Debt'!K15-'PP&amp;E &amp; Debt'!K16-'PP&amp;E &amp; Debt'!K17</f>
        <v>0</v>
      </c>
      <c r="L11">
        <f>'PP&amp;E &amp; Debt'!L14+'PP&amp;E &amp; Debt'!L15-'PP&amp;E &amp; Debt'!L16-'PP&amp;E &amp; Debt'!L17</f>
        <v>0</v>
      </c>
      <c r="M11">
        <f>'PP&amp;E &amp; Debt'!M14+'PP&amp;E &amp; Debt'!M15-'PP&amp;E &amp; Debt'!M16-'PP&amp;E &amp; Debt'!M17</f>
        <v>0</v>
      </c>
    </row>
    <row r="12" spans="1:13" x14ac:dyDescent="0.35">
      <c r="A12" s="17" t="s">
        <v>156</v>
      </c>
      <c r="B12">
        <f>0</f>
        <v>0</v>
      </c>
      <c r="C12">
        <f>0</f>
        <v>0</v>
      </c>
      <c r="D12">
        <f>0</f>
        <v>0</v>
      </c>
      <c r="E12">
        <f>'PP&amp;E &amp; Debt'!E5+'PP&amp;E &amp; Debt'!E6-'PP&amp;E &amp; Debt'!E7</f>
        <v>0</v>
      </c>
      <c r="F12">
        <f>'PP&amp;E &amp; Debt'!F5+'PP&amp;E &amp; Debt'!F6-'PP&amp;E &amp; Debt'!F7</f>
        <v>0</v>
      </c>
      <c r="G12">
        <f>'PP&amp;E &amp; Debt'!G5+'PP&amp;E &amp; Debt'!G6-'PP&amp;E &amp; Debt'!G7</f>
        <v>0</v>
      </c>
      <c r="H12">
        <f>'PP&amp;E &amp; Debt'!H5+'PP&amp;E &amp; Debt'!H6-'PP&amp;E &amp; Debt'!H7</f>
        <v>0</v>
      </c>
      <c r="I12">
        <f>'PP&amp;E &amp; Debt'!I5+'PP&amp;E &amp; Debt'!I6-'PP&amp;E &amp; Debt'!I7</f>
        <v>0</v>
      </c>
      <c r="J12">
        <f>'PP&amp;E &amp; Debt'!J5+'PP&amp;E &amp; Debt'!J6-'PP&amp;E &amp; Debt'!J7</f>
        <v>0</v>
      </c>
      <c r="K12">
        <f>'PP&amp;E &amp; Debt'!K5+'PP&amp;E &amp; Debt'!K6-'PP&amp;E &amp; Debt'!K7</f>
        <v>0</v>
      </c>
      <c r="L12">
        <f>'PP&amp;E &amp; Debt'!L5+'PP&amp;E &amp; Debt'!L6-'PP&amp;E &amp; Debt'!L7</f>
        <v>0</v>
      </c>
      <c r="M12">
        <f>'PP&amp;E &amp; Debt'!M5+'PP&amp;E &amp; Debt'!M6-'PP&amp;E &amp; Debt'!M7</f>
        <v>0</v>
      </c>
    </row>
    <row r="14" spans="1:13" x14ac:dyDescent="0.35">
      <c r="A14" s="9" t="s">
        <v>157</v>
      </c>
      <c r="B14" t="str">
        <f t="shared" ref="B14:M14" si="0">IF(MAX(ABS(B4),ABS(B5),ABS(B6),ABS(B7),ABS(B8),ABS(B9),ABS(B10),ABS(B11),ABS(B12))&lt;0.01,"PASS","REVIEW")</f>
        <v>PASS</v>
      </c>
      <c r="C14" t="str">
        <f t="shared" si="0"/>
        <v>PASS</v>
      </c>
      <c r="D14" t="str">
        <f t="shared" si="0"/>
        <v>PASS</v>
      </c>
      <c r="E14" t="str">
        <f t="shared" si="0"/>
        <v>PASS</v>
      </c>
      <c r="F14" t="str">
        <f t="shared" si="0"/>
        <v>PASS</v>
      </c>
      <c r="G14" t="str">
        <f t="shared" si="0"/>
        <v>PASS</v>
      </c>
      <c r="H14" t="str">
        <f t="shared" si="0"/>
        <v>PASS</v>
      </c>
      <c r="I14" t="str">
        <f t="shared" si="0"/>
        <v>PASS</v>
      </c>
      <c r="J14" t="str">
        <f t="shared" si="0"/>
        <v>PASS</v>
      </c>
      <c r="K14" t="str">
        <f t="shared" si="0"/>
        <v>PASS</v>
      </c>
      <c r="L14" t="str">
        <f t="shared" si="0"/>
        <v>PASS</v>
      </c>
      <c r="M14" t="str">
        <f t="shared" si="0"/>
        <v>PASS</v>
      </c>
    </row>
  </sheetData>
  <mergeCells count="2">
    <mergeCell ref="A1:M1"/>
    <mergeCell ref="A2:M2"/>
  </mergeCells>
  <conditionalFormatting sqref="B4:M12">
    <cfRule type="cellIs" dxfId="1" priority="2" operator="greaterThan">
      <formula>0.01</formula>
    </cfRule>
    <cfRule type="cellIs" dxfId="0" priority="3" operator="lessThan">
      <formula>-0.01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6"/>
  <sheetViews>
    <sheetView showGridLines="0" tabSelected="1" zoomScaleNormal="100" workbookViewId="0">
      <pane ySplit="1" topLeftCell="A26" activePane="bottomLeft" state="frozen"/>
      <selection pane="bottomLeft" activeCell="B4" sqref="B4"/>
    </sheetView>
  </sheetViews>
  <sheetFormatPr defaultColWidth="8.6328125" defaultRowHeight="14.5" x14ac:dyDescent="0.35"/>
  <cols>
    <col min="2" max="2" width="26" customWidth="1"/>
    <col min="3" max="3" width="95" customWidth="1"/>
    <col min="4" max="5" width="3" customWidth="1"/>
  </cols>
  <sheetData>
    <row r="1" spans="1:5" x14ac:dyDescent="0.35">
      <c r="A1" s="21"/>
      <c r="B1" s="21"/>
      <c r="C1" s="21"/>
      <c r="D1" s="21"/>
      <c r="E1" s="21"/>
    </row>
    <row r="2" spans="1:5" ht="19.5" customHeight="1" x14ac:dyDescent="0.4">
      <c r="A2" s="22"/>
      <c r="B2" s="23" t="s">
        <v>158</v>
      </c>
      <c r="C2" s="22"/>
      <c r="D2" s="22"/>
      <c r="E2" s="22"/>
    </row>
    <row r="3" spans="1:5" ht="15" customHeight="1" x14ac:dyDescent="0.35">
      <c r="A3" s="22"/>
      <c r="B3" s="44" t="s">
        <v>519</v>
      </c>
      <c r="C3" s="22"/>
      <c r="D3" s="22"/>
      <c r="E3" s="22"/>
    </row>
    <row r="4" spans="1:5" x14ac:dyDescent="0.35">
      <c r="A4" s="22"/>
      <c r="B4" s="22"/>
      <c r="C4" s="22"/>
      <c r="D4" s="22"/>
      <c r="E4" s="22"/>
    </row>
    <row r="5" spans="1:5" ht="33.75" customHeight="1" x14ac:dyDescent="0.35">
      <c r="A5" s="22"/>
      <c r="B5" s="24" t="s">
        <v>159</v>
      </c>
      <c r="C5" s="25" t="s">
        <v>160</v>
      </c>
      <c r="D5" s="22"/>
      <c r="E5" s="22"/>
    </row>
    <row r="6" spans="1:5" ht="33.75" customHeight="1" x14ac:dyDescent="0.35">
      <c r="A6" s="22"/>
      <c r="B6" s="24" t="s">
        <v>161</v>
      </c>
      <c r="C6" s="25" t="s">
        <v>162</v>
      </c>
      <c r="D6" s="22"/>
      <c r="E6" s="22"/>
    </row>
    <row r="7" spans="1:5" ht="33.75" customHeight="1" x14ac:dyDescent="0.35">
      <c r="A7" s="22"/>
      <c r="B7" s="24" t="s">
        <v>7</v>
      </c>
      <c r="C7" s="25" t="s">
        <v>163</v>
      </c>
      <c r="D7" s="22"/>
      <c r="E7" s="22"/>
    </row>
    <row r="8" spans="1:5" ht="33.75" customHeight="1" x14ac:dyDescent="0.35">
      <c r="A8" s="22"/>
      <c r="B8" s="24" t="s">
        <v>164</v>
      </c>
      <c r="C8" s="25" t="s">
        <v>165</v>
      </c>
      <c r="D8" s="22"/>
      <c r="E8" s="22"/>
    </row>
    <row r="9" spans="1:5" ht="33.75" customHeight="1" x14ac:dyDescent="0.35">
      <c r="A9" s="22"/>
      <c r="B9" s="24" t="s">
        <v>166</v>
      </c>
      <c r="C9" s="25" t="s">
        <v>167</v>
      </c>
      <c r="D9" s="22"/>
      <c r="E9" s="22"/>
    </row>
    <row r="10" spans="1:5" x14ac:dyDescent="0.35">
      <c r="A10" s="22"/>
      <c r="B10" s="26"/>
      <c r="C10" s="26"/>
      <c r="D10" s="22"/>
      <c r="E10" s="22"/>
    </row>
    <row r="11" spans="1:5" ht="15" customHeight="1" x14ac:dyDescent="0.35">
      <c r="A11" s="22"/>
      <c r="B11" s="27" t="s">
        <v>168</v>
      </c>
      <c r="C11" s="26"/>
      <c r="D11" s="22"/>
      <c r="E11" s="22"/>
    </row>
    <row r="12" spans="1:5" ht="31.5" customHeight="1" x14ac:dyDescent="0.35">
      <c r="A12" s="22"/>
      <c r="B12" s="24" t="s">
        <v>169</v>
      </c>
      <c r="C12" s="25" t="s">
        <v>170</v>
      </c>
      <c r="D12" s="22"/>
      <c r="E12" s="22"/>
    </row>
    <row r="13" spans="1:5" ht="31.5" customHeight="1" x14ac:dyDescent="0.35">
      <c r="A13" s="22"/>
      <c r="B13" s="24" t="s">
        <v>171</v>
      </c>
      <c r="C13" s="25" t="s">
        <v>172</v>
      </c>
      <c r="D13" s="22"/>
      <c r="E13" s="22"/>
    </row>
    <row r="14" spans="1:5" ht="31.5" customHeight="1" x14ac:dyDescent="0.35">
      <c r="A14" s="22"/>
      <c r="B14" s="24" t="s">
        <v>173</v>
      </c>
      <c r="C14" s="25" t="s">
        <v>174</v>
      </c>
      <c r="D14" s="22"/>
      <c r="E14" s="22"/>
    </row>
    <row r="15" spans="1:5" ht="31.5" customHeight="1" x14ac:dyDescent="0.35">
      <c r="A15" s="22"/>
      <c r="B15" s="24" t="s">
        <v>175</v>
      </c>
      <c r="C15" s="25" t="s">
        <v>176</v>
      </c>
      <c r="D15" s="22"/>
      <c r="E15" s="22"/>
    </row>
    <row r="16" spans="1:5" ht="31.5" customHeight="1" x14ac:dyDescent="0.35">
      <c r="A16" s="22"/>
      <c r="B16" s="24" t="s">
        <v>177</v>
      </c>
      <c r="C16" s="25" t="s">
        <v>178</v>
      </c>
      <c r="D16" s="22"/>
      <c r="E16" s="22"/>
    </row>
    <row r="17" spans="1:5" ht="31.5" customHeight="1" x14ac:dyDescent="0.35">
      <c r="A17" s="22"/>
      <c r="B17" s="24" t="s">
        <v>179</v>
      </c>
      <c r="C17" s="25" t="s">
        <v>180</v>
      </c>
      <c r="D17" s="22"/>
      <c r="E17" s="22"/>
    </row>
    <row r="18" spans="1:5" x14ac:dyDescent="0.35">
      <c r="A18" s="22"/>
      <c r="B18" s="26"/>
      <c r="C18" s="26"/>
      <c r="D18" s="22"/>
      <c r="E18" s="22"/>
    </row>
    <row r="19" spans="1:5" ht="15" customHeight="1" x14ac:dyDescent="0.35">
      <c r="A19" s="22"/>
      <c r="B19" s="27" t="s">
        <v>181</v>
      </c>
      <c r="C19" s="26"/>
      <c r="D19" s="22"/>
      <c r="E19" s="22"/>
    </row>
    <row r="20" spans="1:5" ht="30" customHeight="1" x14ac:dyDescent="0.35">
      <c r="A20" s="22"/>
      <c r="B20" s="24" t="s">
        <v>182</v>
      </c>
      <c r="C20" s="25" t="s">
        <v>183</v>
      </c>
      <c r="D20" s="22"/>
      <c r="E20" s="22"/>
    </row>
    <row r="21" spans="1:5" ht="30" customHeight="1" x14ac:dyDescent="0.35">
      <c r="A21" s="22"/>
      <c r="B21" s="24" t="s">
        <v>87</v>
      </c>
      <c r="C21" s="25" t="s">
        <v>184</v>
      </c>
      <c r="D21" s="22"/>
      <c r="E21" s="22"/>
    </row>
    <row r="22" spans="1:5" ht="30" customHeight="1" x14ac:dyDescent="0.35">
      <c r="A22" s="22"/>
      <c r="B22" s="24" t="s">
        <v>185</v>
      </c>
      <c r="C22" s="25" t="s">
        <v>186</v>
      </c>
      <c r="D22" s="22"/>
      <c r="E22" s="22"/>
    </row>
    <row r="23" spans="1:5" ht="30" customHeight="1" x14ac:dyDescent="0.35">
      <c r="A23" s="22"/>
      <c r="B23" s="24" t="s">
        <v>187</v>
      </c>
      <c r="C23" s="25" t="s">
        <v>188</v>
      </c>
      <c r="D23" s="22"/>
      <c r="E23" s="22"/>
    </row>
    <row r="24" spans="1:5" ht="30" customHeight="1" x14ac:dyDescent="0.35">
      <c r="A24" s="22"/>
      <c r="B24" s="24" t="s">
        <v>189</v>
      </c>
      <c r="C24" s="25" t="s">
        <v>190</v>
      </c>
      <c r="D24" s="22"/>
      <c r="E24" s="22"/>
    </row>
    <row r="25" spans="1:5" x14ac:dyDescent="0.35">
      <c r="A25" s="22"/>
      <c r="B25" s="22"/>
      <c r="C25" s="22"/>
      <c r="D25" s="22"/>
      <c r="E25" s="22"/>
    </row>
    <row r="26" spans="1:5" x14ac:dyDescent="0.35">
      <c r="A26" s="22"/>
      <c r="B26" s="22"/>
      <c r="C26" s="22"/>
      <c r="D26" s="22"/>
      <c r="E26" s="22"/>
    </row>
  </sheetData>
  <autoFilter ref="A1:E26" xr:uid="{00000000-0009-0000-0000-000009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Read Me</vt:lpstr>
      <vt:lpstr>Raw Journal</vt:lpstr>
      <vt:lpstr>OpeningTB</vt:lpstr>
      <vt:lpstr>Clean Journal</vt:lpstr>
      <vt:lpstr>Assumptions</vt:lpstr>
      <vt:lpstr>Income Statement</vt:lpstr>
      <vt:lpstr>Balance Sheet</vt:lpstr>
      <vt:lpstr>Cash Flow</vt:lpstr>
      <vt:lpstr>Working Capital</vt:lpstr>
      <vt:lpstr>PP&amp;E &amp; Debt</vt:lpstr>
      <vt:lpstr>Checks</vt:lpstr>
      <vt:lpstr>Project 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Ntando Mtimkulu</cp:lastModifiedBy>
  <cp:revision>0</cp:revision>
  <dcterms:created xsi:type="dcterms:W3CDTF">2026-10-29T08:43:07Z</dcterms:created>
  <dcterms:modified xsi:type="dcterms:W3CDTF">2026-10-29T09:11:29Z</dcterms:modified>
  <dc:language>en-US</dc:language>
</cp:coreProperties>
</file>