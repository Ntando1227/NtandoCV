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e338bc5d544c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118fe4f30a7f44fd"/>
    <x:sheet xmlns:r="http://schemas.openxmlformats.org/officeDocument/2006/relationships" name="Process Register" sheetId="2" r:id="R942756aa0adc4639"/>
    <x:sheet xmlns:r="http://schemas.openxmlformats.org/officeDocument/2006/relationships" name="Action Tracker" sheetId="3" r:id="R8d5a7886e22f4825"/>
    <x:sheet xmlns:r="http://schemas.openxmlformats.org/officeDocument/2006/relationships" name="Risks &amp; Issues" sheetId="4" r:id="R7525646b4d46455f"/>
    <x:sheet xmlns:r="http://schemas.openxmlformats.org/officeDocument/2006/relationships" name="Read Me" sheetId="5" r:id="R7c534a2f440141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dd-mmm-yyyy"/>
    <x:numFmt numFmtId="201" formatCode="0%"/>
    <x:numFmt numFmtId="202" formatCode="0.0"/>
    <x:numFmt numFmtId="203" formatCode="0"/>
    <x:numFmt numFmtId="204" formatCode="#,##0"/>
    <x:numFmt numFmtId="205" formatCode="0.0%"/>
  </x:numFmts>
  <x:fonts count="9">
    <x:font>
      <x:sz val="11"/>
      <x:name val="Carlito"/>
    </x:font>
    <x:font>
      <x:b/>
      <x:sz val="14"/>
      <x:color rgb="FF1D3430"/>
      <x:name val="Arial"/>
    </x:font>
    <x:font>
      <x:i/>
      <x:sz val="9"/>
      <x:color rgb="FF5E6B64"/>
      <x:name val="Arial"/>
    </x:font>
    <x:font>
      <x:b/>
      <x:sz val="10"/>
      <x:color rgb="FFFFFFFF"/>
      <x:name val="Arial"/>
    </x:font>
    <x:font>
      <x:sz val="10"/>
      <x:color rgb="FF202724"/>
      <x:name val="Arial"/>
    </x:font>
    <x:font>
      <x:sz val="10"/>
      <x:color rgb="FF0070C0"/>
      <x:name val="Arial"/>
    </x:font>
    <x:font>
      <x:b/>
      <x:sz val="10"/>
      <x:color rgb="FF1D3430"/>
      <x:name val="Arial"/>
    </x:font>
    <x:font>
      <x:b/>
      <x:sz val="12"/>
      <x:color rgb="FF1D3430"/>
      <x:name val="Arial"/>
    </x:font>
    <x:font>
      <x:sz val="9"/>
      <x:color rgb="FF5E6B64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D3430"/>
      </x:patternFill>
    </x:fill>
    <x:fill>
      <x:patternFill patternType="solid">
        <x:fgColor rgb="FFE8EEE9"/>
      </x:patternFill>
    </x:fill>
    <x:fill>
      <x:patternFill patternType="solid">
        <x:fgColor rgb="FFF6F7F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6" fillId="3" borderId="0" xfId="0" applyNumberFormat="1" applyFont="1" applyFill="1" applyBorder="1"/>
    <x:xf numFmtId="0" fontId="7" fillId="0" borderId="0" xfId="0" applyNumberFormat="1" applyFont="1" applyFill="1" applyBorder="1"/>
    <x:xf numFmtId="204" fontId="7" fillId="0" borderId="0" xfId="0" applyNumberFormat="1" applyFont="1" applyFill="1" applyBorder="1"/>
    <x:xf numFmtId="205" fontId="7" fillId="0" borderId="0" xfId="0" applyNumberFormat="1" applyFont="1" applyFill="1" applyBorder="1"/>
    <x:xf numFmtId="0" fontId="0" fillId="4" borderId="0" xfId="0" applyNumberFormat="1" applyFont="1" applyFill="1" applyBorder="1"/>
    <x:xf numFmtId="0" fontId="8" fillId="4" borderId="0" xfId="0" applyNumberFormat="1" applyFont="1" applyFill="1" applyBorder="1"/>
    <x:xf numFmtId="0" fontId="8" fillId="4" borderId="0" xfId="0" applyNumberFormat="1" applyFont="1" applyFill="1" applyBorder="1" applyAlignment="1">
      <x:alignment wrapText="1"/>
    </x:xf>
  </x:cellXfs>
  <x:cellStyles count="1">
    <x:cellStyle name="Normal" xfId="0"/>
  </x:cellStyles>
  <x:dxfs count="6">
    <x:dxf>
      <x:font>
        <x:b/>
        <x:color rgb="FFB42318"/>
      </x:font>
      <x:fill>
        <x:patternFill patternType="solid">
          <x:bgColor rgb="FFFCE7E5"/>
        </x:patternFill>
      </x:fill>
    </x:dxf>
    <x:dxf>
      <x:font>
        <x:b/>
        <x:color rgb="FFB42318"/>
      </x:font>
      <x:fill>
        <x:patternFill patternType="solid">
          <x:bgColor rgb="FFFCE7E5"/>
        </x:patternFill>
      </x:fill>
    </x:dxf>
    <x:dxf>
      <x:font>
        <x:b/>
        <x:color rgb="FFB42318"/>
      </x:font>
      <x:fill>
        <x:patternFill patternType="solid">
          <x:bgColor rgb="FFFCE7E5"/>
        </x:patternFill>
      </x:fill>
    </x:dxf>
    <x:dxf>
      <x:font>
        <x:b/>
        <x:color rgb="FF8A4B08"/>
      </x:font>
      <x:fill>
        <x:patternFill patternType="solid">
          <x:bgColor rgb="FFFCE8D5"/>
        </x:patternFill>
      </x:fill>
    </x:dxf>
    <x:dxf>
      <x:font>
        <x:b/>
        <x:color rgb="FFB42318"/>
      </x:font>
      <x:fill>
        <x:patternFill patternType="solid">
          <x:bgColor rgb="FFFCE7E5"/>
        </x:patternFill>
      </x:fill>
    </x:dxf>
    <x:dxf>
      <x:font>
        <x:b/>
        <x:color rgb="FFB42318"/>
      </x:font>
      <x:fill>
        <x:patternFill patternType="solid">
          <x:bgColor rgb="FFFCE7E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63d1e8d7344c8c" /><Relationship Type="http://schemas.openxmlformats.org/officeDocument/2006/relationships/theme" Target="/xl/theme/theme1.xml" Id="R59545092b87f44a2" /><Relationship Type="http://schemas.openxmlformats.org/officeDocument/2006/relationships/sharedStrings" Target="/xl/sharedStrings.xml" Id="R4eed84f2d71b4279" /><Relationship Type="http://schemas.openxmlformats.org/officeDocument/2006/relationships/worksheet" Target="/xl/worksheets/sheet1.xml" Id="R118fe4f30a7f44fd" /><Relationship Type="http://schemas.openxmlformats.org/officeDocument/2006/relationships/worksheet" Target="/xl/worksheets/sheet2.xml" Id="R942756aa0adc4639" /><Relationship Type="http://schemas.openxmlformats.org/officeDocument/2006/relationships/worksheet" Target="/xl/worksheets/sheet3.xml" Id="R8d5a7886e22f4825" /><Relationship Type="http://schemas.openxmlformats.org/officeDocument/2006/relationships/worksheet" Target="/xl/worksheets/sheet4.xml" Id="R7525646b4d46455f" /><Relationship Type="http://schemas.openxmlformats.org/officeDocument/2006/relationships/worksheet" Target="/xl/worksheets/sheet5.xml" Id="R7c534a2f44014127" /></Relationships>
</file>

<file path=xl/tables/table1.xml><?xml version="1.0" encoding="utf-8"?>
<x:table xmlns:x="http://schemas.openxmlformats.org/spreadsheetml/2006/main" id="1" name="ProcessRegister" displayName="ProcessRegister" ref="A5:L19" headerRowCount="1" totalsRowCount="0" totalsRowShown="0">
  <x:tableColumns count="12">
    <x:tableColumn id="1" name="Process ID"/>
    <x:tableColumn id="2" name="Phase"/>
    <x:tableColumn id="3" name="Process / control"/>
    <x:tableColumn id="4" name="Trigger"/>
    <x:tableColumn id="5" name="Owner role"/>
    <x:tableColumn id="6" name="Required inputs"/>
    <x:tableColumn id="7" name="Decision gate / rule"/>
    <x:tableColumn id="8" name="Evidence / output"/>
    <x:tableColumn id="9" name="SLA days"/>
    <x:tableColumn id="10" name="System or escalation rule"/>
    <x:tableColumn id="11" name="Completion measure"/>
    <x:tableColumn id="12" name="Gate 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ctionTracker" displayName="ActionTracker" ref="A5:P65" headerRowCount="1" totalsRowCount="0" totalsRowShown="0">
  <x:tableColumns count="16">
    <x:tableColumn id="1" name="Action ID"/>
    <x:tableColumn id="2" name="Phase"/>
    <x:tableColumn id="3" name="Process ID"/>
    <x:tableColumn id="4" name="Workstream"/>
    <x:tableColumn id="5" name="Deliverable / action"/>
    <x:tableColumn id="6" name="Owner role"/>
    <x:tableColumn id="7" name="Start date"/>
    <x:tableColumn id="8" name="Due date"/>
    <x:tableColumn id="9" name="Predecessor ID"/>
    <x:tableColumn id="10" name="Priority"/>
    <x:tableColumn id="11" name="Status"/>
    <x:tableColumn id="12" name="% complete"/>
    <x:tableColumn id="13" name="Effort points"/>
    <x:tableColumn id="14" name="Dependency state"/>
    <x:tableColumn id="15" name="Action health"/>
    <x:tableColumn id="16" name="Weighted progres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iskLog" displayName="RiskLog" ref="A5:M25" headerRowCount="1" totalsRowCount="0" totalsRowShown="0">
  <x:tableColumns count="13">
    <x:tableColumn id="1" name="Record ID"/>
    <x:tableColumn id="2" name="Type"/>
    <x:tableColumn id="3" name="Category"/>
    <x:tableColumn id="4" name="Description"/>
    <x:tableColumn id="5" name="Probability (1–5)"/>
    <x:tableColumn id="6" name="Impact (1–5)"/>
    <x:tableColumn id="7" name="Exposure score"/>
    <x:tableColumn id="8" name="Rating"/>
    <x:tableColumn id="9" name="Owner role"/>
    <x:tableColumn id="10" name="Response / next action"/>
    <x:tableColumn id="11" name="Review date"/>
    <x:tableColumn id="12" name="Status"/>
    <x:tableColumn id="13" name="Review fla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63fe9e3fca94e0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65d2cc201d54d3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f1b289cb7ff4d01" /></Relationships>
</file>

<file path=xl/worksheets/sheet1.xml><?xml version="1.0" encoding="utf-8"?>
<x:worksheet xmlns:x="http://schemas.openxmlformats.org/spreadsheetml/2006/main">
  <x:sheetPr>
    <x:tabColor rgb="FF1D3430"/>
  </x:sheetPr>
  <x:sheetViews>
    <x:sheetView workbookViewId="0">
      <x:pane ySplit="3" topLeftCell="A4" activePane="bottomLeft" state="frozen"/>
    </x:sheetView>
  </x:sheetViews>
  <x:sheetFormatPr defaultRowHeight="15"/>
  <x:cols>
    <x:col min="1" max="1" width="34" hidden="0" customWidth="1"/>
    <x:col min="2" max="2" width="20" hidden="0" customWidth="1"/>
    <x:col min="3" max="3" width="19" hidden="0" customWidth="1"/>
    <x:col min="4" max="4" width="30" hidden="0" customWidth="1"/>
    <x:col min="5" max="5" width="25" hidden="0" customWidth="1"/>
    <x:col min="6" max="6" width="4" hidden="0" customWidth="1"/>
  </x:cols>
  <x:sheetData>
    <x:row r="1">
      <x:c r="A1" s="1" t="str">
        <x:v>Project Process Management</x:v>
      </x:c>
    </x:row>
    <x:row r="2">
      <x:c r="A2" s="2" t="str">
        <x:v>Illustrative delivery controls | Replace sample records, owners and dates before operational use</x:v>
      </x:c>
    </x:row>
    <x:row r="4" ht="30" customHeight="1">
      <x:c r="A4" s="19" t="str">
        <x:v>Total actions</x:v>
      </x:c>
      <x:c r="B4" s="21" t="n">
        <x:f>COUNTA('Action Tracker'!$A$6:$A$65)</x:f>
        <x:v>46</x:v>
      </x:c>
      <x:c r="D4" s="7" t="str">
        <x:v>Control result</x:v>
      </x:c>
      <x:c r="E4" s="7" t="str">
        <x:v>Count</x:v>
      </x:c>
    </x:row>
    <x:row r="5">
      <x:c r="A5" s="19" t="str">
        <x:v>Complete</x:v>
      </x:c>
      <x:c r="B5" s="21" t="n">
        <x:f>COUNTIFS('Action Tracker'!$A$6:$A$65,"&lt;&gt;",'Action Tracker'!$K$6:$K$65,"Complete")</x:f>
        <x:v>5</x:v>
      </x:c>
      <x:c r="D5" t="str">
        <x:v>Open risks</x:v>
      </x:c>
      <x:c r="E5" t="n">
        <x:f>COUNTIFS('Risks &amp; Issues'!$A$6:$A$25,"&lt;&gt;",'Risks &amp; Issues'!$L$6:$L$25,"Open")+COUNTIFS('Risks &amp; Issues'!$A$6:$A$25,"&lt;&gt;",'Risks &amp; Issues'!$L$6:$L$25,"Monitoring")</x:f>
        <x:v>18</x:v>
      </x:c>
    </x:row>
    <x:row r="6">
      <x:c r="A6" s="19" t="str">
        <x:v>Overdue</x:v>
      </x:c>
      <x:c r="B6" s="21" t="n">
        <x:f>COUNTIF('Action Tracker'!$O$6:$O$65,"Overdue")</x:f>
        <x:v>0</x:v>
      </x:c>
      <x:c r="D6" t="str">
        <x:v>High / critical exposure</x:v>
      </x:c>
      <x:c r="E6" t="n">
        <x:f>COUNTIF('Risks &amp; Issues'!$H$6:$H$25,"High")+COUNTIF('Risks &amp; Issues'!$H$6:$H$25,"Critical")</x:f>
        <x:v>12</x:v>
      </x:c>
    </x:row>
    <x:row r="7">
      <x:c r="A7" s="19" t="str">
        <x:v>Blocked or waiting</x:v>
      </x:c>
      <x:c r="B7" s="21" t="n">
        <x:f>COUNTIF('Action Tracker'!$O$6:$O$65,"Blocked")+COUNTIF('Action Tracker'!$O$6:$O$65,"Waiting")</x:f>
        <x:v>30</x:v>
      </x:c>
      <x:c r="D7" t="str">
        <x:v>Open issues</x:v>
      </x:c>
      <x:c r="E7" t="n">
        <x:f>COUNTIFS('Risks &amp; Issues'!$B$6:$B$25,"Issue",'Risks &amp; Issues'!$L$6:$L$25,"&lt;&gt;Closed")</x:f>
        <x:v>5</x:v>
      </x:c>
    </x:row>
    <x:row r="8">
      <x:c r="A8" s="19" t="str">
        <x:v>Due in 7 days</x:v>
      </x:c>
      <x:c r="B8" s="21" t="n">
        <x:f>COUNTIF('Action Tracker'!$O$6:$O$65,"Due in 7 days")</x:f>
        <x:v>1</x:v>
      </x:c>
      <x:c r="D8" t="str">
        <x:v>Ready phase gates</x:v>
      </x:c>
      <x:c r="E8" t="n">
        <x:f>COUNTIF('Process Register'!$L$6:$L$19,"Ready")</x:f>
        <x:v>2</x:v>
      </x:c>
    </x:row>
    <x:row r="9">
      <x:c r="A9" s="19" t="str">
        <x:v>Weighted progress</x:v>
      </x:c>
      <x:c r="B9" s="22" t="n">
        <x:f>IFERROR(SUM('Action Tracker'!$P$6:$P$65)/SUM('Action Tracker'!$M$6:$M$65),0)</x:f>
        <x:v>0.16981132075471697</x:v>
      </x:c>
      <x:c r="D9" t="str">
        <x:v>In-progress gates</x:v>
      </x:c>
      <x:c r="E9" t="n">
        <x:f>COUNTIF('Process Register'!$L$6:$L$19,"In progress")</x:f>
        <x:v>11</x:v>
      </x:c>
    </x:row>
    <x:row r="10">
      <x:c r="A10" s="19" t="str">
        <x:v>Phase gates needing attention</x:v>
      </x:c>
      <x:c r="B10" s="21" t="n">
        <x:f>COUNTIF('Process Register'!$L$6:$L$19,"Needs attention")</x:f>
        <x:v>1</x:v>
      </x:c>
      <x:c r="D10" t="str">
        <x:v>Total phase gates</x:v>
      </x:c>
      <x:c r="E10" t="n">
        <x:f>COUNTA('Process Register'!$A$6:$A$19)</x:f>
        <x:v>14</x:v>
      </x:c>
    </x:row>
    <x:row r="13" ht="30" customHeight="1">
      <x:c r="A13" s="7" t="str">
        <x:v>Phase</x:v>
      </x:c>
      <x:c r="B13" s="7" t="str">
        <x:v>Actions</x:v>
      </x:c>
      <x:c r="C13" s="7" t="str">
        <x:v>Complete</x:v>
      </x:c>
      <x:c r="D13" s="7" t="str">
        <x:v>Needs attention</x:v>
      </x:c>
      <x:c r="E13" s="7" t="str">
        <x:v>Weighted completion</x:v>
      </x:c>
    </x:row>
    <x:row r="14">
      <x:c r="A14" t="str">
        <x:v>Initiation</x:v>
      </x:c>
      <x:c r="B14" t="n">
        <x:f>COUNTIFS('Action Tracker'!$B$6:$B$65,A14,'Action Tracker'!$A$6:$A$65,"&lt;&gt;")</x:f>
        <x:v>4</x:v>
      </x:c>
      <x:c r="C14" t="n">
        <x:f>COUNTIFS('Action Tracker'!$B$6:$B$65,A14,'Action Tracker'!$K$6:$K$65,"Complete")</x:f>
        <x:v>4</x:v>
      </x:c>
      <x:c r="D14" t="n">
        <x:f>COUNTIFS('Action Tracker'!$B$6:$B$65,A14,'Action Tracker'!$O$6:$O$65,"Overdue")+COUNTIFS('Action Tracker'!$B$6:$B$65,A14,'Action Tracker'!$O$6:$O$65,"Blocked")+COUNTIFS('Action Tracker'!$B$6:$B$65,A14,'Action Tracker'!$O$6:$O$65,"Waiting")</x:f>
        <x:v>0</x:v>
      </x:c>
      <x:c r="E14" s="10" t="n">
        <x:f>IFERROR(SUMIF('Action Tracker'!$B$6:$B$65,A14,'Action Tracker'!$P$6:$P$65)/SUMIF('Action Tracker'!$B$6:$B$65,A14,'Action Tracker'!$M$6:$M$65),0)</x:f>
        <x:v>1</x:v>
      </x:c>
    </x:row>
    <x:row r="15">
      <x:c r="A15" t="str">
        <x:v>Planning</x:v>
      </x:c>
      <x:c r="B15" t="n">
        <x:f>COUNTIFS('Action Tracker'!$B$6:$B$65,A15,'Action Tracker'!$A$6:$A$65,"&lt;&gt;")</x:f>
        <x:v>8</x:v>
      </x:c>
      <x:c r="C15" t="n">
        <x:f>COUNTIFS('Action Tracker'!$B$6:$B$65,A15,'Action Tracker'!$K$6:$K$65,"Complete")</x:f>
        <x:v>1</x:v>
      </x:c>
      <x:c r="D15" t="n">
        <x:f>COUNTIFS('Action Tracker'!$B$6:$B$65,A15,'Action Tracker'!$O$6:$O$65,"Overdue")+COUNTIFS('Action Tracker'!$B$6:$B$65,A15,'Action Tracker'!$O$6:$O$65,"Blocked")+COUNTIFS('Action Tracker'!$B$6:$B$65,A15,'Action Tracker'!$O$6:$O$65,"Waiting")</x:f>
        <x:v>5</x:v>
      </x:c>
      <x:c r="E15" s="10" t="n">
        <x:f>IFERROR(SUMIF('Action Tracker'!$B$6:$B$65,A15,'Action Tracker'!$P$6:$P$65)/SUMIF('Action Tracker'!$B$6:$B$65,A15,'Action Tracker'!$M$6:$M$65),0)</x:f>
        <x:v>0.36363636363636365</x:v>
      </x:c>
    </x:row>
    <x:row r="16">
      <x:c r="A16" t="str">
        <x:v>Readiness</x:v>
      </x:c>
      <x:c r="B16" t="n">
        <x:f>COUNTIFS('Action Tracker'!$B$6:$B$65,A16,'Action Tracker'!$A$6:$A$65,"&lt;&gt;")</x:f>
        <x:v>4</x:v>
      </x:c>
      <x:c r="C16" t="n">
        <x:f>COUNTIFS('Action Tracker'!$B$6:$B$65,A16,'Action Tracker'!$K$6:$K$65,"Complete")</x:f>
        <x:v>0</x:v>
      </x:c>
      <x:c r="D16" t="n">
        <x:f>COUNTIFS('Action Tracker'!$B$6:$B$65,A16,'Action Tracker'!$O$6:$O$65,"Overdue")+COUNTIFS('Action Tracker'!$B$6:$B$65,A16,'Action Tracker'!$O$6:$O$65,"Blocked")+COUNTIFS('Action Tracker'!$B$6:$B$65,A16,'Action Tracker'!$O$6:$O$65,"Waiting")</x:f>
        <x:v>3</x:v>
      </x:c>
      <x:c r="E16" s="10" t="n">
        <x:f>IFERROR(SUMIF('Action Tracker'!$B$6:$B$65,A16,'Action Tracker'!$P$6:$P$65)/SUMIF('Action Tracker'!$B$6:$B$65,A16,'Action Tracker'!$M$6:$M$65),0)</x:f>
        <x:v>0.16666666666666666</x:v>
      </x:c>
    </x:row>
    <x:row r="17">
      <x:c r="A17" t="str">
        <x:v>Delivery</x:v>
      </x:c>
      <x:c r="B17" t="n">
        <x:f>COUNTIFS('Action Tracker'!$B$6:$B$65,A17,'Action Tracker'!$A$6:$A$65,"&lt;&gt;")</x:f>
        <x:v>10</x:v>
      </x:c>
      <x:c r="C17" t="n">
        <x:f>COUNTIFS('Action Tracker'!$B$6:$B$65,A17,'Action Tracker'!$K$6:$K$65,"Complete")</x:f>
        <x:v>0</x:v>
      </x:c>
      <x:c r="D17" t="n">
        <x:f>COUNTIFS('Action Tracker'!$B$6:$B$65,A17,'Action Tracker'!$O$6:$O$65,"Overdue")+COUNTIFS('Action Tracker'!$B$6:$B$65,A17,'Action Tracker'!$O$6:$O$65,"Blocked")+COUNTIFS('Action Tracker'!$B$6:$B$65,A17,'Action Tracker'!$O$6:$O$65,"Waiting")</x:f>
        <x:v>7</x:v>
      </x:c>
      <x:c r="E17" s="10" t="n">
        <x:f>IFERROR(SUMIF('Action Tracker'!$B$6:$B$65,A17,'Action Tracker'!$P$6:$P$65)/SUMIF('Action Tracker'!$B$6:$B$65,A17,'Action Tracker'!$M$6:$M$65),0)</x:f>
        <x:v>0</x:v>
      </x:c>
    </x:row>
    <x:row r="18">
      <x:c r="A18" t="str">
        <x:v>Data control</x:v>
      </x:c>
      <x:c r="B18" t="n">
        <x:f>COUNTIFS('Action Tracker'!$B$6:$B$65,A18,'Action Tracker'!$A$6:$A$65,"&lt;&gt;")</x:f>
        <x:v>4</x:v>
      </x:c>
      <x:c r="C18" t="n">
        <x:f>COUNTIFS('Action Tracker'!$B$6:$B$65,A18,'Action Tracker'!$K$6:$K$65,"Complete")</x:f>
        <x:v>0</x:v>
      </x:c>
      <x:c r="D18" t="n">
        <x:f>COUNTIFS('Action Tracker'!$B$6:$B$65,A18,'Action Tracker'!$O$6:$O$65,"Overdue")+COUNTIFS('Action Tracker'!$B$6:$B$65,A18,'Action Tracker'!$O$6:$O$65,"Blocked")+COUNTIFS('Action Tracker'!$B$6:$B$65,A18,'Action Tracker'!$O$6:$O$65,"Waiting")</x:f>
        <x:v>3</x:v>
      </x:c>
      <x:c r="E18" s="10" t="n">
        <x:f>IFERROR(SUMIF('Action Tracker'!$B$6:$B$65,A18,'Action Tracker'!$P$6:$P$65)/SUMIF('Action Tracker'!$B$6:$B$65,A18,'Action Tracker'!$M$6:$M$65),0)</x:f>
        <x:v>0</x:v>
      </x:c>
    </x:row>
    <x:row r="19">
      <x:c r="A19" t="str">
        <x:v>Finance control</x:v>
      </x:c>
      <x:c r="B19" t="n">
        <x:f>COUNTIFS('Action Tracker'!$B$6:$B$65,A19,'Action Tracker'!$A$6:$A$65,"&lt;&gt;")</x:f>
        <x:v>4</x:v>
      </x:c>
      <x:c r="C19" t="n">
        <x:f>COUNTIFS('Action Tracker'!$B$6:$B$65,A19,'Action Tracker'!$K$6:$K$65,"Complete")</x:f>
        <x:v>0</x:v>
      </x:c>
      <x:c r="D19" t="n">
        <x:f>COUNTIFS('Action Tracker'!$B$6:$B$65,A19,'Action Tracker'!$O$6:$O$65,"Overdue")+COUNTIFS('Action Tracker'!$B$6:$B$65,A19,'Action Tracker'!$O$6:$O$65,"Blocked")+COUNTIFS('Action Tracker'!$B$6:$B$65,A19,'Action Tracker'!$O$6:$O$65,"Waiting")</x:f>
        <x:v>3</x:v>
      </x:c>
      <x:c r="E19" s="10" t="n">
        <x:f>IFERROR(SUMIF('Action Tracker'!$B$6:$B$65,A19,'Action Tracker'!$P$6:$P$65)/SUMIF('Action Tracker'!$B$6:$B$65,A19,'Action Tracker'!$M$6:$M$65),0)</x:f>
        <x:v>0</x:v>
      </x:c>
    </x:row>
    <x:row r="20">
      <x:c r="A20" t="str">
        <x:v>Monitoring</x:v>
      </x:c>
      <x:c r="B20" t="n">
        <x:f>COUNTIFS('Action Tracker'!$B$6:$B$65,A20,'Action Tracker'!$A$6:$A$65,"&lt;&gt;")</x:f>
        <x:v>4</x:v>
      </x:c>
      <x:c r="C20" t="n">
        <x:f>COUNTIFS('Action Tracker'!$B$6:$B$65,A20,'Action Tracker'!$K$6:$K$65,"Complete")</x:f>
        <x:v>0</x:v>
      </x:c>
      <x:c r="D20" t="n">
        <x:f>COUNTIFS('Action Tracker'!$B$6:$B$65,A20,'Action Tracker'!$O$6:$O$65,"Overdue")+COUNTIFS('Action Tracker'!$B$6:$B$65,A20,'Action Tracker'!$O$6:$O$65,"Blocked")+COUNTIFS('Action Tracker'!$B$6:$B$65,A20,'Action Tracker'!$O$6:$O$65,"Waiting")</x:f>
        <x:v>3</x:v>
      </x:c>
      <x:c r="E20" s="10" t="n">
        <x:f>IFERROR(SUMIF('Action Tracker'!$B$6:$B$65,A20,'Action Tracker'!$P$6:$P$65)/SUMIF('Action Tracker'!$B$6:$B$65,A20,'Action Tracker'!$M$6:$M$65),0)</x:f>
        <x:v>0</x:v>
      </x:c>
    </x:row>
    <x:row r="21">
      <x:c r="A21" t="str">
        <x:v>Reporting</x:v>
      </x:c>
      <x:c r="B21" t="n">
        <x:f>COUNTIFS('Action Tracker'!$B$6:$B$65,A21,'Action Tracker'!$A$6:$A$65,"&lt;&gt;")</x:f>
        <x:v>4</x:v>
      </x:c>
      <x:c r="C21" t="n">
        <x:f>COUNTIFS('Action Tracker'!$B$6:$B$65,A21,'Action Tracker'!$K$6:$K$65,"Complete")</x:f>
        <x:v>0</x:v>
      </x:c>
      <x:c r="D21" t="n">
        <x:f>COUNTIFS('Action Tracker'!$B$6:$B$65,A21,'Action Tracker'!$O$6:$O$65,"Overdue")+COUNTIFS('Action Tracker'!$B$6:$B$65,A21,'Action Tracker'!$O$6:$O$65,"Blocked")+COUNTIFS('Action Tracker'!$B$6:$B$65,A21,'Action Tracker'!$O$6:$O$65,"Waiting")</x:f>
        <x:v>3</x:v>
      </x:c>
      <x:c r="E21" s="10" t="n">
        <x:f>IFERROR(SUMIF('Action Tracker'!$B$6:$B$65,A21,'Action Tracker'!$P$6:$P$65)/SUMIF('Action Tracker'!$B$6:$B$65,A21,'Action Tracker'!$M$6:$M$65),0)</x:f>
        <x:v>0</x:v>
      </x:c>
    </x:row>
    <x:row r="22">
      <x:c r="A22" t="str">
        <x:v>Close-out</x:v>
      </x:c>
      <x:c r="B22" t="n">
        <x:f>COUNTIFS('Action Tracker'!$B$6:$B$65,A22,'Action Tracker'!$A$6:$A$65,"&lt;&gt;")</x:f>
        <x:v>4</x:v>
      </x:c>
      <x:c r="C22" t="n">
        <x:f>COUNTIFS('Action Tracker'!$B$6:$B$65,A22,'Action Tracker'!$K$6:$K$65,"Complete")</x:f>
        <x:v>0</x:v>
      </x:c>
      <x:c r="D22" t="n">
        <x:f>COUNTIFS('Action Tracker'!$B$6:$B$65,A22,'Action Tracker'!$O$6:$O$65,"Overdue")+COUNTIFS('Action Tracker'!$B$6:$B$65,A22,'Action Tracker'!$O$6:$O$65,"Blocked")+COUNTIFS('Action Tracker'!$B$6:$B$65,A22,'Action Tracker'!$O$6:$O$65,"Waiting")</x:f>
        <x:v>3</x:v>
      </x:c>
      <x:c r="E22" s="10" t="n">
        <x:f>IFERROR(SUMIF('Action Tracker'!$B$6:$B$65,A22,'Action Tracker'!$P$6:$P$65)/SUMIF('Action Tracker'!$B$6:$B$65,A22,'Action Tracker'!$M$6:$M$65),0)</x:f>
        <x:v>0</x:v>
      </x:c>
    </x:row>
    <x:row r="25" ht="36" customHeight="1">
      <x:c r="A25" s="25" t="str">
        <x:v>Control logic</x:v>
      </x:c>
      <x:c r="B25" s="25" t="str">
        <x:v>Predecessor incomplete → Waiting; blocked status → Blocked; past due date → Overdue; near due date → Due in 7 days. Phase gates inherit open action health.</x:v>
      </x:c>
      <x:c r="C25" s="25" t="str"/>
      <x:c r="D25" s="25" t="str"/>
      <x:c r="E25" s="25" t="str"/>
      <x:c r="F25" s="25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50786B"/>
  </x:sheetPr>
  <x:sheetViews>
    <x:sheetView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15" hidden="0" customWidth="1"/>
    <x:col min="3" max="3" width="36" hidden="0" customWidth="1"/>
    <x:col min="4" max="4" width="23" hidden="0" customWidth="1"/>
    <x:col min="5" max="5" width="21" hidden="0" customWidth="1"/>
    <x:col min="6" max="6" width="28" hidden="0" customWidth="1"/>
    <x:col min="7" max="7" width="42" hidden="0" customWidth="1"/>
    <x:col min="8" max="8" width="29" hidden="0" customWidth="1"/>
    <x:col min="9" max="9" width="12" hidden="0" customWidth="1"/>
    <x:col min="10" max="10" width="38" hidden="0" customWidth="1"/>
    <x:col min="11" max="11" width="32" hidden="0" customWidth="1"/>
    <x:col min="12" max="12" width="18" hidden="0" customWidth="1"/>
  </x:cols>
  <x:sheetData>
    <x:row r="1">
      <x:c r="A1" s="1" t="str">
        <x:v>Process Register and Phase Gates</x:v>
      </x:c>
    </x:row>
    <x:row r="2">
      <x:c r="A2" s="2" t="str">
        <x:v>Each process has a trigger, decision gate, evidence requirement, service target and linked action status</x:v>
      </x:c>
    </x:row>
    <x:row r="5" ht="30" customHeight="1">
      <x:c r="A5" s="7" t="str">
        <x:v>Process ID</x:v>
      </x:c>
      <x:c r="B5" s="7" t="str">
        <x:v>Phase</x:v>
      </x:c>
      <x:c r="C5" s="7" t="str">
        <x:v>Process / control</x:v>
      </x:c>
      <x:c r="D5" s="7" t="str">
        <x:v>Trigger</x:v>
      </x:c>
      <x:c r="E5" s="7" t="str">
        <x:v>Owner role</x:v>
      </x:c>
      <x:c r="F5" s="7" t="str">
        <x:v>Required inputs</x:v>
      </x:c>
      <x:c r="G5" s="7" t="str">
        <x:v>Decision gate / rule</x:v>
      </x:c>
      <x:c r="H5" s="7" t="str">
        <x:v>Evidence / output</x:v>
      </x:c>
      <x:c r="I5" s="7" t="str">
        <x:v>SLA days</x:v>
      </x:c>
      <x:c r="J5" s="7" t="str">
        <x:v>System or escalation rule</x:v>
      </x:c>
      <x:c r="K5" s="7" t="str">
        <x:v>Completion measure</x:v>
      </x:c>
      <x:c r="L5" s="7" t="str">
        <x:v>Gate status</x:v>
      </x:c>
    </x:row>
    <x:row r="6" ht="44" customHeight="1">
      <x:c r="A6" s="8" t="str">
        <x:v>PR-01</x:v>
      </x:c>
      <x:c r="B6" s="8" t="str">
        <x:v>Initiation</x:v>
      </x:c>
      <x:c r="C6" s="8" t="str">
        <x:v>Confirm mandate and intended outcomes</x:v>
      </x:c>
      <x:c r="D6" s="8" t="str">
        <x:v>Sponsor request received</x:v>
      </x:c>
      <x:c r="E6" s="8" t="str">
        <x:v>Project Manager</x:v>
      </x:c>
      <x:c r="F6" s="8" t="str">
        <x:v>Brief, scope, target measures</x:v>
      </x:c>
      <x:c r="G6" s="8" t="str">
        <x:v>Sponsor approves scope and success measures</x:v>
      </x:c>
      <x:c r="H6" s="8" t="str">
        <x:v>Approved charter and decision record</x:v>
      </x:c>
      <x:c r="I6" s="8" t="n">
        <x:v>3</x:v>
      </x:c>
      <x:c r="J6" s="8" t="str">
        <x:v>If scope changes, create a change record</x:v>
      </x:c>
      <x:c r="K6" s="8" t="str">
        <x:v>Scope approved before planning</x:v>
      </x:c>
      <x:c r="L6" s="8" t="str">
        <x:f>IF(COUNTIF('Action Tracker'!$C$6:$C$65,A6)=0,"No linked actions",IF(COUNTIFS('Action Tracker'!$C$6:$C$65,A6,'Action Tracker'!$K$6:$K$65,"&lt;&gt;Complete")=0,"Ready",IF(COUNTIFS('Action Tracker'!$C$6:$C$65,A6,'Action Tracker'!$O$6:$O$65,"Blocked")+COUNTIFS('Action Tracker'!$C$6:$C$65,A6,'Action Tracker'!$O$6:$O$65,"Overdue")&gt;0,"Needs attention","In progress")))</x:f>
        <x:v>Ready</x:v>
      </x:c>
    </x:row>
    <x:row r="7" ht="44" customHeight="1">
      <x:c r="A7" s="8" t="str">
        <x:v>PR-02</x:v>
      </x:c>
      <x:c r="B7" s="8" t="str">
        <x:v>Initiation</x:v>
      </x:c>
      <x:c r="C7" s="8" t="str">
        <x:v>Identify stakeholders and decision rights</x:v>
      </x:c>
      <x:c r="D7" s="8" t="str">
        <x:v>Scope confirmed</x:v>
      </x:c>
      <x:c r="E7" s="8" t="str">
        <x:v>Project Manager</x:v>
      </x:c>
      <x:c r="F7" s="8" t="str">
        <x:v>Stakeholder map, contact roles</x:v>
      </x:c>
      <x:c r="G7" s="8" t="str">
        <x:v>Each decision has one accountable role</x:v>
      </x:c>
      <x:c r="H7" s="8" t="str">
        <x:v>Approved RACI and contact register</x:v>
      </x:c>
      <x:c r="I7" s="8" t="n">
        <x:v>4</x:v>
      </x:c>
      <x:c r="J7" s="8" t="str">
        <x:v>Route unresolved ownership to sponsor</x:v>
      </x:c>
      <x:c r="K7" s="8" t="str">
        <x:v>All critical roles assigned</x:v>
      </x:c>
      <x:c r="L7" s="8" t="str">
        <x:f>IF(COUNTIF('Action Tracker'!$C$6:$C$65,A7)=0,"No linked actions",IF(COUNTIFS('Action Tracker'!$C$6:$C$65,A7,'Action Tracker'!$K$6:$K$65,"&lt;&gt;Complete")=0,"Ready",IF(COUNTIFS('Action Tracker'!$C$6:$C$65,A7,'Action Tracker'!$O$6:$O$65,"Blocked")+COUNTIFS('Action Tracker'!$C$6:$C$65,A7,'Action Tracker'!$O$6:$O$65,"Overdue")&gt;0,"Needs attention","In progress")))</x:f>
        <x:v>Ready</x:v>
      </x:c>
    </x:row>
    <x:row r="8" ht="44" customHeight="1">
      <x:c r="A8" s="8" t="str">
        <x:v>PR-03</x:v>
      </x:c>
      <x:c r="B8" s="8" t="str">
        <x:v>Planning</x:v>
      </x:c>
      <x:c r="C8" s="8" t="str">
        <x:v>Translate scope into work packages</x:v>
      </x:c>
      <x:c r="D8" s="8" t="str">
        <x:v>Charter approved</x:v>
      </x:c>
      <x:c r="E8" s="8" t="str">
        <x:v>Project Manager</x:v>
      </x:c>
      <x:c r="F8" s="8" t="str">
        <x:v>Deliverables, workstreams, constraints</x:v>
      </x:c>
      <x:c r="G8" s="8" t="str">
        <x:v>Every deliverable has owner, date and evidence</x:v>
      </x:c>
      <x:c r="H8" s="8" t="str">
        <x:v>Baselined workplan</x:v>
      </x:c>
      <x:c r="I8" s="8" t="n">
        <x:v>5</x:v>
      </x:c>
      <x:c r="J8" s="8" t="str">
        <x:v>Create an action ID for each deliverable</x:v>
      </x:c>
      <x:c r="K8" s="8" t="str">
        <x:v>Work packages have owners</x:v>
      </x:c>
      <x:c r="L8" s="8" t="str">
        <x:f>IF(COUNTIF('Action Tracker'!$C$6:$C$65,A8)=0,"No linked actions",IF(COUNTIFS('Action Tracker'!$C$6:$C$65,A8,'Action Tracker'!$K$6:$K$65,"&lt;&gt;Complete")=0,"Ready",IF(COUNTIFS('Action Tracker'!$C$6:$C$65,A8,'Action Tracker'!$O$6:$O$65,"Blocked")+COUNTIFS('Action Tracker'!$C$6:$C$65,A8,'Action Tracker'!$O$6:$O$65,"Overdue")&gt;0,"Needs attention","In progress")))</x:f>
        <x:v>In progress</x:v>
      </x:c>
    </x:row>
    <x:row r="9" ht="44" customHeight="1">
      <x:c r="A9" s="8" t="str">
        <x:v>PR-04</x:v>
      </x:c>
      <x:c r="B9" s="8" t="str">
        <x:v>Planning</x:v>
      </x:c>
      <x:c r="C9" s="8" t="str">
        <x:v>Sequence dependencies and phase gates</x:v>
      </x:c>
      <x:c r="D9" s="8" t="str">
        <x:v>Work packages drafted</x:v>
      </x:c>
      <x:c r="E9" s="8" t="str">
        <x:v>Project Manager</x:v>
      </x:c>
      <x:c r="F9" s="8" t="str">
        <x:v>Task IDs and predecessor links</x:v>
      </x:c>
      <x:c r="G9" s="8" t="str">
        <x:v>No task starts before its prerequisite clears</x:v>
      </x:c>
      <x:c r="H9" s="8" t="str">
        <x:v>Dependency map and gate checklist</x:v>
      </x:c>
      <x:c r="I9" s="8" t="n">
        <x:v>3</x:v>
      </x:c>
      <x:c r="J9" s="8" t="str">
        <x:v>Waiting tasks remain visible on dashboard</x:v>
      </x:c>
      <x:c r="K9" s="8" t="str">
        <x:v>Critical dependencies resolved</x:v>
      </x:c>
      <x:c r="L9" s="8" t="str">
        <x:f>IF(COUNTIF('Action Tracker'!$C$6:$C$65,A9)=0,"No linked actions",IF(COUNTIFS('Action Tracker'!$C$6:$C$65,A9,'Action Tracker'!$K$6:$K$65,"&lt;&gt;Complete")=0,"Ready",IF(COUNTIFS('Action Tracker'!$C$6:$C$65,A9,'Action Tracker'!$O$6:$O$65,"Blocked")+COUNTIFS('Action Tracker'!$C$6:$C$65,A9,'Action Tracker'!$O$6:$O$65,"Overdue")&gt;0,"Needs attention","In progress")))</x:f>
        <x:v>In progress</x:v>
      </x:c>
    </x:row>
    <x:row r="10" ht="44" customHeight="1">
      <x:c r="A10" s="8" t="str">
        <x:v>PR-05</x:v>
      </x:c>
      <x:c r="B10" s="8" t="str">
        <x:v>Planning</x:v>
      </x:c>
      <x:c r="C10" s="8" t="str">
        <x:v>Confirm delivery capacity and suppliers</x:v>
      </x:c>
      <x:c r="D10" s="8" t="str">
        <x:v>Schedule draft ready</x:v>
      </x:c>
      <x:c r="E10" s="8" t="str">
        <x:v>Operations Lead</x:v>
      </x:c>
      <x:c r="F10" s="8" t="str">
        <x:v>Resource plan, supplier availability</x:v>
      </x:c>
      <x:c r="G10" s="8" t="str">
        <x:v>Capacity covers committed volume</x:v>
      </x:c>
      <x:c r="H10" s="8" t="str">
        <x:v>Approved resource plan</x:v>
      </x:c>
      <x:c r="I10" s="8" t="n">
        <x:v>4</x:v>
      </x:c>
      <x:c r="J10" s="8" t="str">
        <x:v>Escalate capacity gap before launch</x:v>
      </x:c>
      <x:c r="K10" s="8" t="str">
        <x:v>Capacity gap is zero or approved</x:v>
      </x:c>
      <x:c r="L10" s="8" t="str">
        <x:f>IF(COUNTIF('Action Tracker'!$C$6:$C$65,A10)=0,"No linked actions",IF(COUNTIFS('Action Tracker'!$C$6:$C$65,A10,'Action Tracker'!$K$6:$K$65,"&lt;&gt;Complete")=0,"Ready",IF(COUNTIFS('Action Tracker'!$C$6:$C$65,A10,'Action Tracker'!$O$6:$O$65,"Blocked")+COUNTIFS('Action Tracker'!$C$6:$C$65,A10,'Action Tracker'!$O$6:$O$65,"Overdue")&gt;0,"Needs attention","In progress")))</x:f>
        <x:v>In progress</x:v>
      </x:c>
    </x:row>
    <x:row r="11" ht="44" customHeight="1">
      <x:c r="A11" s="8" t="str">
        <x:v>PR-06</x:v>
      </x:c>
      <x:c r="B11" s="8" t="str">
        <x:v>Planning</x:v>
      </x:c>
      <x:c r="C11" s="8" t="str">
        <x:v>Baseline budget and cost assumptions</x:v>
      </x:c>
      <x:c r="D11" s="8" t="str">
        <x:v>Activity plan available</x:v>
      </x:c>
      <x:c r="E11" s="8" t="str">
        <x:v>Finance Contact</x:v>
      </x:c>
      <x:c r="F11" s="8" t="str">
        <x:v>Approved rates, volumes, funding limits</x:v>
      </x:c>
      <x:c r="G11" s="8" t="str">
        <x:v>Forecast reconciles to approved envelope</x:v>
      </x:c>
      <x:c r="H11" s="8" t="str">
        <x:v>Signed budget baseline</x:v>
      </x:c>
      <x:c r="I11" s="8" t="n">
        <x:v>4</x:v>
      </x:c>
      <x:c r="J11" s="8" t="str">
        <x:v>Changes require a dated assumption update</x:v>
      </x:c>
      <x:c r="K11" s="8" t="str">
        <x:v>Baseline variance is explained</x:v>
      </x:c>
      <x:c r="L11" s="8" t="str">
        <x:f>IF(COUNTIF('Action Tracker'!$C$6:$C$65,A11)=0,"No linked actions",IF(COUNTIFS('Action Tracker'!$C$6:$C$65,A11,'Action Tracker'!$K$6:$K$65,"&lt;&gt;Complete")=0,"Ready",IF(COUNTIFS('Action Tracker'!$C$6:$C$65,A11,'Action Tracker'!$O$6:$O$65,"Blocked")+COUNTIFS('Action Tracker'!$C$6:$C$65,A11,'Action Tracker'!$O$6:$O$65,"Overdue")&gt;0,"Needs attention","In progress")))</x:f>
        <x:v>In progress</x:v>
      </x:c>
    </x:row>
    <x:row r="12" ht="44" customHeight="1">
      <x:c r="A12" s="8" t="str">
        <x:v>PR-07</x:v>
      </x:c>
      <x:c r="B12" s="8" t="str">
        <x:v>Readiness</x:v>
      </x:c>
      <x:c r="C12" s="8" t="str">
        <x:v>Check materials, venues and access</x:v>
      </x:c>
      <x:c r="D12" s="8" t="str">
        <x:v>Schedule approved</x:v>
      </x:c>
      <x:c r="E12" s="8" t="str">
        <x:v>Operations Lead</x:v>
      </x:c>
      <x:c r="F12" s="8" t="str">
        <x:v>Readiness checklist, access approvals</x:v>
      </x:c>
      <x:c r="G12" s="8" t="str">
        <x:v>All critical readiness items pass</x:v>
      </x:c>
      <x:c r="H12" s="8" t="str">
        <x:v>Readiness sign-off</x:v>
      </x:c>
      <x:c r="I12" s="8" t="n">
        <x:v>2</x:v>
      </x:c>
      <x:c r="J12" s="8" t="str">
        <x:v>Block release if a critical item is open</x:v>
      </x:c>
      <x:c r="K12" s="8" t="str">
        <x:v>Readiness pass rate is 100%</x:v>
      </x:c>
      <x:c r="L12" s="8" t="str">
        <x:f>IF(COUNTIF('Action Tracker'!$C$6:$C$65,A12)=0,"No linked actions",IF(COUNTIFS('Action Tracker'!$C$6:$C$65,A12,'Action Tracker'!$K$6:$K$65,"&lt;&gt;Complete")=0,"Ready",IF(COUNTIFS('Action Tracker'!$C$6:$C$65,A12,'Action Tracker'!$O$6:$O$65,"Blocked")+COUNTIFS('Action Tracker'!$C$6:$C$65,A12,'Action Tracker'!$O$6:$O$65,"Overdue")&gt;0,"Needs attention","In progress")))</x:f>
        <x:v>In progress</x:v>
      </x:c>
    </x:row>
    <x:row r="13" ht="44" customHeight="1">
      <x:c r="A13" s="8" t="str">
        <x:v>PR-08</x:v>
      </x:c>
      <x:c r="B13" s="8" t="str">
        <x:v>Delivery</x:v>
      </x:c>
      <x:c r="C13" s="8" t="str">
        <x:v>Deliver activity and record attendance</x:v>
      </x:c>
      <x:c r="D13" s="8" t="str">
        <x:v>Readiness gate passed</x:v>
      </x:c>
      <x:c r="E13" s="8" t="str">
        <x:v>Delivery Lead</x:v>
      </x:c>
      <x:c r="F13" s="8" t="str">
        <x:v>Attendance, delivery notes, outputs</x:v>
      </x:c>
      <x:c r="G13" s="8" t="str">
        <x:v>Evidence is captured against activity ID</x:v>
      </x:c>
      <x:c r="H13" s="8" t="str">
        <x:v>Completed activity record</x:v>
      </x:c>
      <x:c r="I13" s="8" t="n">
        <x:v>1</x:v>
      </x:c>
      <x:c r="J13" s="8" t="str">
        <x:v>Missing evidence routes to exception queue</x:v>
      </x:c>
      <x:c r="K13" s="8" t="str">
        <x:v>Records submitted within SLA</x:v>
      </x:c>
      <x:c r="L13" s="8" t="str">
        <x:f>IF(COUNTIF('Action Tracker'!$C$6:$C$65,A13)=0,"No linked actions",IF(COUNTIFS('Action Tracker'!$C$6:$C$65,A13,'Action Tracker'!$K$6:$K$65,"&lt;&gt;Complete")=0,"Ready",IF(COUNTIFS('Action Tracker'!$C$6:$C$65,A13,'Action Tracker'!$O$6:$O$65,"Blocked")+COUNTIFS('Action Tracker'!$C$6:$C$65,A13,'Action Tracker'!$O$6:$O$65,"Overdue")&gt;0,"Needs attention","In progress")))</x:f>
        <x:v>In progress</x:v>
      </x:c>
    </x:row>
    <x:row r="14" ht="44" customHeight="1">
      <x:c r="A14" s="8" t="str">
        <x:v>PR-09</x:v>
      </x:c>
      <x:c r="B14" s="8" t="str">
        <x:v>Delivery</x:v>
      </x:c>
      <x:c r="C14" s="8" t="str">
        <x:v>Record supplier and participant issues</x:v>
      </x:c>
      <x:c r="D14" s="8" t="str">
        <x:v>Activity in progress</x:v>
      </x:c>
      <x:c r="E14" s="8" t="str">
        <x:v>Project Manager</x:v>
      </x:c>
      <x:c r="F14" s="8" t="str">
        <x:v>Issue report, incident evidence</x:v>
      </x:c>
      <x:c r="G14" s="8" t="str">
        <x:v>Critical issues assigned an owner and response date</x:v>
      </x:c>
      <x:c r="H14" s="8" t="str">
        <x:v>Issue log and decision</x:v>
      </x:c>
      <x:c r="I14" s="8" t="n">
        <x:v>1</x:v>
      </x:c>
      <x:c r="J14" s="8" t="str">
        <x:v>Critical issue triggers escalation within one day</x:v>
      </x:c>
      <x:c r="K14" s="8" t="str">
        <x:v>No critical issue is ownerless</x:v>
      </x:c>
      <x:c r="L14" s="8" t="str">
        <x:f>IF(COUNTIF('Action Tracker'!$C$6:$C$65,A14)=0,"No linked actions",IF(COUNTIFS('Action Tracker'!$C$6:$C$65,A14,'Action Tracker'!$K$6:$K$65,"&lt;&gt;Complete")=0,"Ready",IF(COUNTIFS('Action Tracker'!$C$6:$C$65,A14,'Action Tracker'!$O$6:$O$65,"Blocked")+COUNTIFS('Action Tracker'!$C$6:$C$65,A14,'Action Tracker'!$O$6:$O$65,"Overdue")&gt;0,"Needs attention","In progress")))</x:f>
        <x:v>Needs attention</x:v>
      </x:c>
    </x:row>
    <x:row r="15" ht="44" customHeight="1">
      <x:c r="A15" s="8" t="str">
        <x:v>PR-10</x:v>
      </x:c>
      <x:c r="B15" s="8" t="str">
        <x:v>Data control</x:v>
      </x:c>
      <x:c r="C15" s="8" t="str">
        <x:v>Validate records before reporting</x:v>
      </x:c>
      <x:c r="D15" s="8" t="str">
        <x:v>Source records submitted</x:v>
      </x:c>
      <x:c r="E15" s="8" t="str">
        <x:v>Data Owner</x:v>
      </x:c>
      <x:c r="F15" s="8" t="str">
        <x:v>Raw register, mapping rules</x:v>
      </x:c>
      <x:c r="G15" s="8" t="str">
        <x:v>Unique keys and required fields pass checks</x:v>
      </x:c>
      <x:c r="H15" s="8" t="str">
        <x:v>Validated dataset and exception list</x:v>
      </x:c>
      <x:c r="I15" s="8" t="n">
        <x:v>2</x:v>
      </x:c>
      <x:c r="J15" s="8" t="str">
        <x:v>Duplicates and invalid values remain in review</x:v>
      </x:c>
      <x:c r="K15" s="8" t="str">
        <x:v>Ready records meet quality threshold</x:v>
      </x:c>
      <x:c r="L15" s="8" t="str">
        <x:f>IF(COUNTIF('Action Tracker'!$C$6:$C$65,A15)=0,"No linked actions",IF(COUNTIFS('Action Tracker'!$C$6:$C$65,A15,'Action Tracker'!$K$6:$K$65,"&lt;&gt;Complete")=0,"Ready",IF(COUNTIFS('Action Tracker'!$C$6:$C$65,A15,'Action Tracker'!$O$6:$O$65,"Blocked")+COUNTIFS('Action Tracker'!$C$6:$C$65,A15,'Action Tracker'!$O$6:$O$65,"Overdue")&gt;0,"Needs attention","In progress")))</x:f>
        <x:v>In progress</x:v>
      </x:c>
    </x:row>
    <x:row r="16" ht="44" customHeight="1">
      <x:c r="A16" s="8" t="str">
        <x:v>PR-11</x:v>
      </x:c>
      <x:c r="B16" s="8" t="str">
        <x:v>Finance control</x:v>
      </x:c>
      <x:c r="C16" s="8" t="str">
        <x:v>Reconcile invoices to activity and budget</x:v>
      </x:c>
      <x:c r="D16" s="8" t="str">
        <x:v>Invoice received</x:v>
      </x:c>
      <x:c r="E16" s="8" t="str">
        <x:v>Finance Contact</x:v>
      </x:c>
      <x:c r="F16" s="8" t="str">
        <x:v>Invoice, activity ID, approved cost line</x:v>
      </x:c>
      <x:c r="G16" s="8" t="str">
        <x:v>Invoice is valid, non-duplicate and within authority</x:v>
      </x:c>
      <x:c r="H16" s="8" t="str">
        <x:v>Reconciled transaction record</x:v>
      </x:c>
      <x:c r="I16" s="8" t="n">
        <x:v>3</x:v>
      </x:c>
      <x:c r="J16" s="8" t="str">
        <x:v>Unmatched or duplicate invoices are held</x:v>
      </x:c>
      <x:c r="K16" s="8" t="str">
        <x:v>Every included cost has source evidence</x:v>
      </x:c>
      <x:c r="L16" s="8" t="str">
        <x:f>IF(COUNTIF('Action Tracker'!$C$6:$C$65,A16)=0,"No linked actions",IF(COUNTIFS('Action Tracker'!$C$6:$C$65,A16,'Action Tracker'!$K$6:$K$65,"&lt;&gt;Complete")=0,"Ready",IF(COUNTIFS('Action Tracker'!$C$6:$C$65,A16,'Action Tracker'!$O$6:$O$65,"Blocked")+COUNTIFS('Action Tracker'!$C$6:$C$65,A16,'Action Tracker'!$O$6:$O$65,"Overdue")&gt;0,"Needs attention","In progress")))</x:f>
        <x:v>In progress</x:v>
      </x:c>
    </x:row>
    <x:row r="17" ht="44" customHeight="1">
      <x:c r="A17" s="8" t="str">
        <x:v>PR-12</x:v>
      </x:c>
      <x:c r="B17" s="8" t="str">
        <x:v>Monitoring</x:v>
      </x:c>
      <x:c r="C17" s="8" t="str">
        <x:v>Compare plan, actuals and exceptions</x:v>
      </x:c>
      <x:c r="D17" s="8" t="str">
        <x:v>Validated activity and spend</x:v>
      </x:c>
      <x:c r="E17" s="8" t="str">
        <x:v>Project Manager</x:v>
      </x:c>
      <x:c r="F17" s="8" t="str">
        <x:v>Baseline, actuals, action log</x:v>
      </x:c>
      <x:c r="G17" s="8" t="str">
        <x:v>Variance has an explanation, owner and next action</x:v>
      </x:c>
      <x:c r="H17" s="8" t="str">
        <x:v>Monthly control report</x:v>
      </x:c>
      <x:c r="I17" s="8" t="n">
        <x:v>4</x:v>
      </x:c>
      <x:c r="J17" s="8" t="str">
        <x:v>Material variance goes to decision owner</x:v>
      </x:c>
      <x:c r="K17" s="8" t="str">
        <x:v>All material variances have action</x:v>
      </x:c>
      <x:c r="L17" s="8" t="str">
        <x:f>IF(COUNTIF('Action Tracker'!$C$6:$C$65,A17)=0,"No linked actions",IF(COUNTIFS('Action Tracker'!$C$6:$C$65,A17,'Action Tracker'!$K$6:$K$65,"&lt;&gt;Complete")=0,"Ready",IF(COUNTIFS('Action Tracker'!$C$6:$C$65,A17,'Action Tracker'!$O$6:$O$65,"Blocked")+COUNTIFS('Action Tracker'!$C$6:$C$65,A17,'Action Tracker'!$O$6:$O$65,"Overdue")&gt;0,"Needs attention","In progress")))</x:f>
        <x:v>In progress</x:v>
      </x:c>
    </x:row>
    <x:row r="18" ht="44" customHeight="1">
      <x:c r="A18" s="8" t="str">
        <x:v>PR-13</x:v>
      </x:c>
      <x:c r="B18" s="8" t="str">
        <x:v>Reporting</x:v>
      </x:c>
      <x:c r="C18" s="8" t="str">
        <x:v>Prepare evidence-led progress report</x:v>
      </x:c>
      <x:c r="D18" s="8" t="str">
        <x:v>Monitoring review complete</x:v>
      </x:c>
      <x:c r="E18" s="8" t="str">
        <x:v>Project Manager</x:v>
      </x:c>
      <x:c r="F18" s="8" t="str">
        <x:v>Validated metrics, evidence links</x:v>
      </x:c>
      <x:c r="G18" s="8" t="str">
        <x:v>Every reported figure traces to source</x:v>
      </x:c>
      <x:c r="H18" s="8" t="str">
        <x:v>Approved report and proposal inputs</x:v>
      </x:c>
      <x:c r="I18" s="8" t="n">
        <x:v>4</x:v>
      </x:c>
      <x:c r="J18" s="8" t="str">
        <x:v>Do not publish estimates as actual results</x:v>
      </x:c>
      <x:c r="K18" s="8" t="str">
        <x:v>Report review completed on time</x:v>
      </x:c>
      <x:c r="L18" s="8" t="str">
        <x:f>IF(COUNTIF('Action Tracker'!$C$6:$C$65,A18)=0,"No linked actions",IF(COUNTIFS('Action Tracker'!$C$6:$C$65,A18,'Action Tracker'!$K$6:$K$65,"&lt;&gt;Complete")=0,"Ready",IF(COUNTIFS('Action Tracker'!$C$6:$C$65,A18,'Action Tracker'!$O$6:$O$65,"Blocked")+COUNTIFS('Action Tracker'!$C$6:$C$65,A18,'Action Tracker'!$O$6:$O$65,"Overdue")&gt;0,"Needs attention","In progress")))</x:f>
        <x:v>In progress</x:v>
      </x:c>
    </x:row>
    <x:row r="19" ht="44" customHeight="1">
      <x:c r="A19" s="8" t="str">
        <x:v>PR-14</x:v>
      </x:c>
      <x:c r="B19" s="8" t="str">
        <x:v>Close-out</x:v>
      </x:c>
      <x:c r="C19" s="8" t="str">
        <x:v>Confirm outputs, lessons and handover</x:v>
      </x:c>
      <x:c r="D19" s="8" t="str">
        <x:v>Delivery period complete</x:v>
      </x:c>
      <x:c r="E19" s="8" t="str">
        <x:v>Project Manager</x:v>
      </x:c>
      <x:c r="F19" s="8" t="str">
        <x:v>Output checklist, issue closure, lessons</x:v>
      </x:c>
      <x:c r="G19" s="8" t="str">
        <x:v>Open items have owner, due date and recipient</x:v>
      </x:c>
      <x:c r="H19" s="8" t="str">
        <x:v>Close-out and handover record</x:v>
      </x:c>
      <x:c r="I19" s="8" t="n">
        <x:v>5</x:v>
      </x:c>
      <x:c r="J19" s="8" t="str">
        <x:v>Gate closes only after accountable review</x:v>
      </x:c>
      <x:c r="K19" s="8" t="str">
        <x:v>All critical actions closed or transferred</x:v>
      </x:c>
      <x:c r="L19" s="8" t="str">
        <x:f>IF(COUNTIF('Action Tracker'!$C$6:$C$65,A19)=0,"No linked actions",IF(COUNTIFS('Action Tracker'!$C$6:$C$65,A19,'Action Tracker'!$K$6:$K$65,"&lt;&gt;Complete")=0,"Ready",IF(COUNTIFS('Action Tracker'!$C$6:$C$65,A19,'Action Tracker'!$O$6:$O$65,"Blocked")+COUNTIFS('Action Tracker'!$C$6:$C$65,A19,'Action Tracker'!$O$6:$O$65,"Overdue")&gt;0,"Needs attention","In progress")))</x:f>
        <x:v>In progress</x:v>
      </x:c>
    </x:row>
  </x:sheetData>
  <x:conditionalFormatting sqref="L6:L19">
    <x:cfRule type="containsText" dxfId="0" priority="1" operator="containsText" text="Needs attention"/>
  </x:conditionalFormatting>
  <x:pageMargins left="0.7" right="0.7" top="0.75" bottom="0.75" header="0.3" footer="0.3"/>
  <x:tableParts count="1">
    <x:tablePart xmlns:r="http://schemas.openxmlformats.org/officeDocument/2006/relationships" r:id="R563fe9e3fca94e01"/>
  </x:tableParts>
</x:worksheet>
</file>

<file path=xl/worksheets/sheet3.xml><?xml version="1.0" encoding="utf-8"?>
<x:worksheet xmlns:x="http://schemas.openxmlformats.org/spreadsheetml/2006/main">
  <x:sheetPr>
    <x:tabColor rgb="FF35584D"/>
  </x:sheetPr>
  <x:sheetViews>
    <x:sheetView workbookViewId="0">
      <x:pane ySplit="5" topLeftCell="A6" activePane="bottomLeft" state="frozen"/>
    </x:sheetView>
  </x:sheetViews>
  <x:sheetFormatPr defaultRowHeight="15"/>
  <x:cols>
    <x:col min="1" max="1" width="13" hidden="0" customWidth="1"/>
    <x:col min="2" max="2" width="16" hidden="0" customWidth="1"/>
    <x:col min="3" max="3" width="13" hidden="0" customWidth="1"/>
    <x:col min="4" max="4" width="21" hidden="0" customWidth="1"/>
    <x:col min="5" max="5" width="42" hidden="0" customWidth="1"/>
    <x:col min="6" max="6" width="22" hidden="0" customWidth="1"/>
    <x:col min="7" max="7" width="15" hidden="0" customWidth="1"/>
    <x:col min="8" max="8" width="15" hidden="0" customWidth="1"/>
    <x:col min="9" max="9" width="16" hidden="0" customWidth="1"/>
    <x:col min="10" max="10" width="13" hidden="0" customWidth="1"/>
    <x:col min="11" max="11" width="16" hidden="0" customWidth="1"/>
    <x:col min="12" max="12" width="13" hidden="0" customWidth="1"/>
    <x:col min="13" max="13" width="13" hidden="0" customWidth="1"/>
    <x:col min="14" max="14" width="20" hidden="0" customWidth="1"/>
    <x:col min="15" max="15" width="20" hidden="0" customWidth="1"/>
    <x:col min="16" max="16" width="16" hidden="0" customWidth="1"/>
  </x:cols>
  <x:sheetData>
    <x:row r="1">
      <x:c r="A1" s="1" t="str">
        <x:v>Dependency-aware Action Tracker</x:v>
      </x:c>
    </x:row>
    <x:row r="2">
      <x:c r="A2" s="2" t="str">
        <x:v>Action health is calculated from status, due date and predecessor completion; weighted progress uses effort points</x:v>
      </x:c>
    </x:row>
    <x:row r="5" ht="30" customHeight="1">
      <x:c r="A5" s="7" t="str">
        <x:v>Action ID</x:v>
      </x:c>
      <x:c r="B5" s="7" t="str">
        <x:v>Phase</x:v>
      </x:c>
      <x:c r="C5" s="7" t="str">
        <x:v>Process ID</x:v>
      </x:c>
      <x:c r="D5" s="7" t="str">
        <x:v>Workstream</x:v>
      </x:c>
      <x:c r="E5" s="7" t="str">
        <x:v>Deliverable / action</x:v>
      </x:c>
      <x:c r="F5" s="7" t="str">
        <x:v>Owner role</x:v>
      </x:c>
      <x:c r="G5" s="7" t="str">
        <x:v>Start date</x:v>
      </x:c>
      <x:c r="H5" s="7" t="str">
        <x:v>Due date</x:v>
      </x:c>
      <x:c r="I5" s="7" t="str">
        <x:v>Predecessor ID</x:v>
      </x:c>
      <x:c r="J5" s="7" t="str">
        <x:v>Priority</x:v>
      </x:c>
      <x:c r="K5" s="7" t="str">
        <x:v>Status</x:v>
      </x:c>
      <x:c r="L5" s="7" t="str">
        <x:v>% complete</x:v>
      </x:c>
      <x:c r="M5" s="7" t="str">
        <x:v>Effort points</x:v>
      </x:c>
      <x:c r="N5" s="7" t="str">
        <x:v>Dependency state</x:v>
      </x:c>
      <x:c r="O5" s="7" t="str">
        <x:v>Action health</x:v>
      </x:c>
      <x:c r="P5" s="7" t="str">
        <x:v>Weighted progress</x:v>
      </x:c>
    </x:row>
    <x:row r="6">
      <x:c r="A6" s="13" t="str">
        <x:v>ACT-001</x:v>
      </x:c>
      <x:c r="B6" s="13" t="str">
        <x:v>Initiation</x:v>
      </x:c>
      <x:c r="C6" s="13" t="str">
        <x:v>PR-01</x:v>
      </x:c>
      <x:c r="D6" s="13" t="str">
        <x:v>Governance</x:v>
      </x:c>
      <x:c r="E6" s="13" t="str">
        <x:v>Confirm mandate and decision owner</x:v>
      </x:c>
      <x:c r="F6" s="13" t="str">
        <x:v>Project Manager</x:v>
      </x:c>
      <x:c r="G6" s="14" t="d">
        <x:v>2026-10-13T00:00:00.000Z</x:v>
      </x:c>
      <x:c r="H6" s="14" t="d">
        <x:v>2026-10-18T00:00:00.000Z</x:v>
      </x:c>
      <x:c r="I6" s="13" t="str"/>
      <x:c r="J6" s="13" t="str">
        <x:v>High</x:v>
      </x:c>
      <x:c r="K6" s="13" t="str">
        <x:v>Complete</x:v>
      </x:c>
      <x:c r="L6" s="15" t="n">
        <x:v>1</x:v>
      </x:c>
      <x:c r="M6" s="16" t="n">
        <x:v>5</x:v>
      </x:c>
      <x:c r="N6" s="12" t="str">
        <x:f>IF(A6="","",IF(I6="","No dependency",IF(COUNTIF($A$6:$A$65,I6)=0,"Missing ID",IF(COUNTIFS($A$6:$A$65,I6,$K$6:$K$65,"Complete")&gt;0,"Cleared","Waiting"))))</x:f>
        <x:v>No dependency</x:v>
      </x:c>
      <x:c r="O6" s="12" t="str">
        <x:f>IF(A6="","",IF(K6="Complete","Complete",IF(K6="Blocked","Blocked",IF(N6="Missing ID","Fix dependency",IF(N6="Waiting","Waiting",IF(H6="","Missing due date",IF(H6&lt;TODAY(),"Overdue",IF(H6&lt;=TODAY()+7,"Due in 7 days","On track"))))))))</x:f>
        <x:v>Complete</x:v>
      </x:c>
      <x:c r="P6" s="12" t="n">
        <x:f>IF(A6="","",L6*M6)</x:f>
        <x:v>5</x:v>
      </x:c>
    </x:row>
    <x:row r="7">
      <x:c r="A7" s="13" t="str">
        <x:v>ACT-002</x:v>
      </x:c>
      <x:c r="B7" s="13" t="str">
        <x:v>Initiation</x:v>
      </x:c>
      <x:c r="C7" s="13" t="str">
        <x:v>PR-01</x:v>
      </x:c>
      <x:c r="D7" s="13" t="str">
        <x:v>Governance</x:v>
      </x:c>
      <x:c r="E7" s="13" t="str">
        <x:v>Agree outcomes and evidence standard</x:v>
      </x:c>
      <x:c r="F7" s="13" t="str">
        <x:v>Sponsor</x:v>
      </x:c>
      <x:c r="G7" s="14" t="d">
        <x:v>2026-10-18T00:00:00.000Z</x:v>
      </x:c>
      <x:c r="H7" s="14" t="d">
        <x:v>2026-10-21T00:00:00.000Z</x:v>
      </x:c>
      <x:c r="I7" s="13" t="str">
        <x:v>ACT-001</x:v>
      </x:c>
      <x:c r="J7" s="13" t="str">
        <x:v>High</x:v>
      </x:c>
      <x:c r="K7" s="13" t="str">
        <x:v>Complete</x:v>
      </x:c>
      <x:c r="L7" s="15" t="n">
        <x:v>1</x:v>
      </x:c>
      <x:c r="M7" s="16" t="n">
        <x:v>3</x:v>
      </x:c>
      <x:c r="N7" s="12" t="str">
        <x:f>IF(A7="","",IF(I7="","No dependency",IF(COUNTIF($A$6:$A$65,I7)=0,"Missing ID",IF(COUNTIFS($A$6:$A$65,I7,$K$6:$K$65,"Complete")&gt;0,"Cleared","Waiting"))))</x:f>
        <x:v>Cleared</x:v>
      </x:c>
      <x:c r="O7" s="12" t="str">
        <x:f>IF(A7="","",IF(K7="Complete","Complete",IF(K7="Blocked","Blocked",IF(N7="Missing ID","Fix dependency",IF(N7="Waiting","Waiting",IF(H7="","Missing due date",IF(H7&lt;TODAY(),"Overdue",IF(H7&lt;=TODAY()+7,"Due in 7 days","On track"))))))))</x:f>
        <x:v>Complete</x:v>
      </x:c>
      <x:c r="P7" s="12" t="n">
        <x:f>IF(A7="","",L7*M7)</x:f>
        <x:v>3</x:v>
      </x:c>
    </x:row>
    <x:row r="8">
      <x:c r="A8" s="13" t="str">
        <x:v>ACT-003</x:v>
      </x:c>
      <x:c r="B8" s="13" t="str">
        <x:v>Initiation</x:v>
      </x:c>
      <x:c r="C8" s="13" t="str">
        <x:v>PR-02</x:v>
      </x:c>
      <x:c r="D8" s="13" t="str">
        <x:v>Stakeholders</x:v>
      </x:c>
      <x:c r="E8" s="13" t="str">
        <x:v>Map decision makers and delivery partners</x:v>
      </x:c>
      <x:c r="F8" s="13" t="str">
        <x:v>Project Manager</x:v>
      </x:c>
      <x:c r="G8" s="14" t="d">
        <x:v>2026-10-21T00:00:00.000Z</x:v>
      </x:c>
      <x:c r="H8" s="14" t="d">
        <x:v>2026-10-24T00:00:00.000Z</x:v>
      </x:c>
      <x:c r="I8" s="13" t="str">
        <x:v>ACT-002</x:v>
      </x:c>
      <x:c r="J8" s="13" t="str">
        <x:v>High</x:v>
      </x:c>
      <x:c r="K8" s="13" t="str">
        <x:v>Complete</x:v>
      </x:c>
      <x:c r="L8" s="15" t="n">
        <x:v>1</x:v>
      </x:c>
      <x:c r="M8" s="16" t="n">
        <x:v>3</x:v>
      </x:c>
      <x:c r="N8" s="12" t="str">
        <x:f>IF(A8="","",IF(I8="","No dependency",IF(COUNTIF($A$6:$A$65,I8)=0,"Missing ID",IF(COUNTIFS($A$6:$A$65,I8,$K$6:$K$65,"Complete")&gt;0,"Cleared","Waiting"))))</x:f>
        <x:v>Cleared</x:v>
      </x:c>
      <x:c r="O8" s="12" t="str">
        <x:f>IF(A8="","",IF(K8="Complete","Complete",IF(K8="Blocked","Blocked",IF(N8="Missing ID","Fix dependency",IF(N8="Waiting","Waiting",IF(H8="","Missing due date",IF(H8&lt;TODAY(),"Overdue",IF(H8&lt;=TODAY()+7,"Due in 7 days","On track"))))))))</x:f>
        <x:v>Complete</x:v>
      </x:c>
      <x:c r="P8" s="12" t="n">
        <x:f>IF(A8="","",L8*M8)</x:f>
        <x:v>3</x:v>
      </x:c>
    </x:row>
    <x:row r="9">
      <x:c r="A9" s="13" t="str">
        <x:v>ACT-004</x:v>
      </x:c>
      <x:c r="B9" s="13" t="str">
        <x:v>Initiation</x:v>
      </x:c>
      <x:c r="C9" s="13" t="str">
        <x:v>PR-02</x:v>
      </x:c>
      <x:c r="D9" s="13" t="str">
        <x:v>Stakeholders</x:v>
      </x:c>
      <x:c r="E9" s="13" t="str">
        <x:v>Confirm escalation contacts</x:v>
      </x:c>
      <x:c r="F9" s="13" t="str">
        <x:v>Project Manager</x:v>
      </x:c>
      <x:c r="G9" s="14" t="d">
        <x:v>2026-10-25T00:00:00.000Z</x:v>
      </x:c>
      <x:c r="H9" s="14" t="d">
        <x:v>2026-10-27T00:00:00.000Z</x:v>
      </x:c>
      <x:c r="I9" s="13" t="str">
        <x:v>ACT-003</x:v>
      </x:c>
      <x:c r="J9" s="13" t="str">
        <x:v>Medium</x:v>
      </x:c>
      <x:c r="K9" s="13" t="str">
        <x:v>Complete</x:v>
      </x:c>
      <x:c r="L9" s="15" t="n">
        <x:v>1</x:v>
      </x:c>
      <x:c r="M9" s="16" t="n">
        <x:v>2</x:v>
      </x:c>
      <x:c r="N9" s="12" t="str">
        <x:f>IF(A9="","",IF(I9="","No dependency",IF(COUNTIF($A$6:$A$65,I9)=0,"Missing ID",IF(COUNTIFS($A$6:$A$65,I9,$K$6:$K$65,"Complete")&gt;0,"Cleared","Waiting"))))</x:f>
        <x:v>Cleared</x:v>
      </x:c>
      <x:c r="O9" s="12" t="str">
        <x:f>IF(A9="","",IF(K9="Complete","Complete",IF(K9="Blocked","Blocked",IF(N9="Missing ID","Fix dependency",IF(N9="Waiting","Waiting",IF(H9="","Missing due date",IF(H9&lt;TODAY(),"Overdue",IF(H9&lt;=TODAY()+7,"Due in 7 days","On track"))))))))</x:f>
        <x:v>Complete</x:v>
      </x:c>
      <x:c r="P9" s="12" t="n">
        <x:f>IF(A9="","",L9*M9)</x:f>
        <x:v>2</x:v>
      </x:c>
    </x:row>
    <x:row r="10">
      <x:c r="A10" s="13" t="str">
        <x:v>ACT-005</x:v>
      </x:c>
      <x:c r="B10" s="13" t="str">
        <x:v>Planning</x:v>
      </x:c>
      <x:c r="C10" s="13" t="str">
        <x:v>PR-03</x:v>
      </x:c>
      <x:c r="D10" s="13" t="str">
        <x:v>Workplan</x:v>
      </x:c>
      <x:c r="E10" s="13" t="str">
        <x:v>Break outputs into work packages</x:v>
      </x:c>
      <x:c r="F10" s="13" t="str">
        <x:v>Project Manager</x:v>
      </x:c>
      <x:c r="G10" s="14" t="d">
        <x:v>2026-10-25T00:00:00.000Z</x:v>
      </x:c>
      <x:c r="H10" s="14" t="d">
        <x:v>2026-10-30T00:00:00.000Z</x:v>
      </x:c>
      <x:c r="I10" s="13" t="str"/>
      <x:c r="J10" s="13" t="str">
        <x:v>High</x:v>
      </x:c>
      <x:c r="K10" s="13" t="str">
        <x:v>Complete</x:v>
      </x:c>
      <x:c r="L10" s="15" t="n">
        <x:v>1</x:v>
      </x:c>
      <x:c r="M10" s="16" t="n">
        <x:v>5</x:v>
      </x:c>
      <x:c r="N10" s="12" t="str">
        <x:f>IF(A10="","",IF(I10="","No dependency",IF(COUNTIF($A$6:$A$65,I10)=0,"Missing ID",IF(COUNTIFS($A$6:$A$65,I10,$K$6:$K$65,"Complete")&gt;0,"Cleared","Waiting"))))</x:f>
        <x:v>No dependency</x:v>
      </x:c>
      <x:c r="O10" s="12" t="str">
        <x:f>IF(A10="","",IF(K10="Complete","Complete",IF(K10="Blocked","Blocked",IF(N10="Missing ID","Fix dependency",IF(N10="Waiting","Waiting",IF(H10="","Missing due date",IF(H10&lt;TODAY(),"Overdue",IF(H10&lt;=TODAY()+7,"Due in 7 days","On track"))))))))</x:f>
        <x:v>Complete</x:v>
      </x:c>
      <x:c r="P10" s="12" t="n">
        <x:f>IF(A10="","",L10*M10)</x:f>
        <x:v>5</x:v>
      </x:c>
    </x:row>
    <x:row r="11">
      <x:c r="A11" s="13" t="str">
        <x:v>ACT-006</x:v>
      </x:c>
      <x:c r="B11" s="13" t="str">
        <x:v>Planning</x:v>
      </x:c>
      <x:c r="C11" s="13" t="str">
        <x:v>PR-04</x:v>
      </x:c>
      <x:c r="D11" s="13" t="str">
        <x:v>Workplan</x:v>
      </x:c>
      <x:c r="E11" s="13" t="str">
        <x:v>Map predecessor links and critical gates</x:v>
      </x:c>
      <x:c r="F11" s="13" t="str">
        <x:v>Project Manager</x:v>
      </x:c>
      <x:c r="G11" s="14" t="d">
        <x:v>2026-10-27T00:00:00.000Z</x:v>
      </x:c>
      <x:c r="H11" s="14" t="d">
        <x:v>2026-11-01T00:00:00.000Z</x:v>
      </x:c>
      <x:c r="I11" s="13" t="str">
        <x:v>ACT-005</x:v>
      </x:c>
      <x:c r="J11" s="13" t="str">
        <x:v>High</x:v>
      </x:c>
      <x:c r="K11" s="13" t="str">
        <x:v>In Progress</x:v>
      </x:c>
      <x:c r="L11" s="15" t="n">
        <x:v>0.6</x:v>
      </x:c>
      <x:c r="M11" s="16" t="n">
        <x:v>5</x:v>
      </x:c>
      <x:c r="N11" s="12" t="str">
        <x:f>IF(A11="","",IF(I11="","No dependency",IF(COUNTIF($A$6:$A$65,I11)=0,"Missing ID",IF(COUNTIFS($A$6:$A$65,I11,$K$6:$K$65,"Complete")&gt;0,"Cleared","Waiting"))))</x:f>
        <x:v>Cleared</x:v>
      </x:c>
      <x:c r="O11" s="12" t="str">
        <x:f>IF(A11="","",IF(K11="Complete","Complete",IF(K11="Blocked","Blocked",IF(N11="Missing ID","Fix dependency",IF(N11="Waiting","Waiting",IF(H11="","Missing due date",IF(H11&lt;TODAY(),"Overdue",IF(H11&lt;=TODAY()+7,"Due in 7 days","On track"))))))))</x:f>
        <x:v>Due in 7 days</x:v>
      </x:c>
      <x:c r="P11" s="12" t="n">
        <x:f>IF(A11="","",L11*M11)</x:f>
        <x:v>3</x:v>
      </x:c>
    </x:row>
    <x:row r="12">
      <x:c r="A12" s="13" t="str">
        <x:v>ACT-007</x:v>
      </x:c>
      <x:c r="B12" s="13" t="str">
        <x:v>Planning</x:v>
      </x:c>
      <x:c r="C12" s="13" t="str">
        <x:v>PR-04</x:v>
      </x:c>
      <x:c r="D12" s="13" t="str">
        <x:v>Workplan</x:v>
      </x:c>
      <x:c r="E12" s="13" t="str">
        <x:v>Review critical path with delivery owners</x:v>
      </x:c>
      <x:c r="F12" s="13" t="str">
        <x:v>Programme Lead</x:v>
      </x:c>
      <x:c r="G12" s="14" t="d">
        <x:v>2026-10-31T00:00:00.000Z</x:v>
      </x:c>
      <x:c r="H12" s="14" t="d">
        <x:v>2026-11-04T00:00:00.000Z</x:v>
      </x:c>
      <x:c r="I12" s="13" t="str">
        <x:v>ACT-006</x:v>
      </x:c>
      <x:c r="J12" s="13" t="str">
        <x:v>High</x:v>
      </x:c>
      <x:c r="K12" s="13" t="str">
        <x:v>Not Started</x:v>
      </x:c>
      <x:c r="L12" s="15" t="n">
        <x:v>0</x:v>
      </x:c>
      <x:c r="M12" s="16" t="n">
        <x:v>4</x:v>
      </x:c>
      <x:c r="N12" s="12" t="str">
        <x:f>IF(A12="","",IF(I12="","No dependency",IF(COUNTIF($A$6:$A$65,I12)=0,"Missing ID",IF(COUNTIFS($A$6:$A$65,I12,$K$6:$K$65,"Complete")&gt;0,"Cleared","Waiting"))))</x:f>
        <x:v>Waiting</x:v>
      </x:c>
      <x:c r="O12" s="12" t="str">
        <x:f>IF(A12="","",IF(K12="Complete","Complete",IF(K12="Blocked","Blocked",IF(N12="Missing ID","Fix dependency",IF(N12="Waiting","Waiting",IF(H12="","Missing due date",IF(H12&lt;TODAY(),"Overdue",IF(H12&lt;=TODAY()+7,"Due in 7 days","On track"))))))))</x:f>
        <x:v>Waiting</x:v>
      </x:c>
      <x:c r="P12" s="12" t="n">
        <x:f>IF(A12="","",L12*M12)</x:f>
        <x:v>0</x:v>
      </x:c>
    </x:row>
    <x:row r="13">
      <x:c r="A13" s="13" t="str">
        <x:v>ACT-008</x:v>
      </x:c>
      <x:c r="B13" s="13" t="str">
        <x:v>Planning</x:v>
      </x:c>
      <x:c r="C13" s="13" t="str">
        <x:v>PR-05</x:v>
      </x:c>
      <x:c r="D13" s="13" t="str">
        <x:v>Resources</x:v>
      </x:c>
      <x:c r="E13" s="13" t="str">
        <x:v>Confirm facilitator and staff capacity</x:v>
      </x:c>
      <x:c r="F13" s="13" t="str">
        <x:v>Operations Lead</x:v>
      </x:c>
      <x:c r="G13" s="14" t="d">
        <x:v>2026-11-02T00:00:00.000Z</x:v>
      </x:c>
      <x:c r="H13" s="14" t="d">
        <x:v>2026-11-06T00:00:00.000Z</x:v>
      </x:c>
      <x:c r="I13" s="13" t="str">
        <x:v>ACT-007</x:v>
      </x:c>
      <x:c r="J13" s="13" t="str">
        <x:v>High</x:v>
      </x:c>
      <x:c r="K13" s="13" t="str">
        <x:v>In Progress</x:v>
      </x:c>
      <x:c r="L13" s="15" t="n">
        <x:v>0.5</x:v>
      </x:c>
      <x:c r="M13" s="16" t="n">
        <x:v>4</x:v>
      </x:c>
      <x:c r="N13" s="12" t="str">
        <x:f>IF(A13="","",IF(I13="","No dependency",IF(COUNTIF($A$6:$A$65,I13)=0,"Missing ID",IF(COUNTIFS($A$6:$A$65,I13,$K$6:$K$65,"Complete")&gt;0,"Cleared","Waiting"))))</x:f>
        <x:v>Waiting</x:v>
      </x:c>
      <x:c r="O13" s="12" t="str">
        <x:f>IF(A13="","",IF(K13="Complete","Complete",IF(K13="Blocked","Blocked",IF(N13="Missing ID","Fix dependency",IF(N13="Waiting","Waiting",IF(H13="","Missing due date",IF(H13&lt;TODAY(),"Overdue",IF(H13&lt;=TODAY()+7,"Due in 7 days","On track"))))))))</x:f>
        <x:v>Waiting</x:v>
      </x:c>
      <x:c r="P13" s="12" t="n">
        <x:f>IF(A13="","",L13*M13)</x:f>
        <x:v>2</x:v>
      </x:c>
    </x:row>
    <x:row r="14">
      <x:c r="A14" s="13" t="str">
        <x:v>ACT-009</x:v>
      </x:c>
      <x:c r="B14" s="13" t="str">
        <x:v>Planning</x:v>
      </x:c>
      <x:c r="C14" s="13" t="str">
        <x:v>PR-05</x:v>
      </x:c>
      <x:c r="D14" s="13" t="str">
        <x:v>Resources</x:v>
      </x:c>
      <x:c r="E14" s="13" t="str">
        <x:v>Confirm supplier coverage and backup</x:v>
      </x:c>
      <x:c r="F14" s="13" t="str">
        <x:v>Operations Lead</x:v>
      </x:c>
      <x:c r="G14" s="14" t="d">
        <x:v>2026-11-06T00:00:00.000Z</x:v>
      </x:c>
      <x:c r="H14" s="14" t="d">
        <x:v>2026-11-09T00:00:00.000Z</x:v>
      </x:c>
      <x:c r="I14" s="13" t="str"/>
      <x:c r="J14" s="13" t="str">
        <x:v>Medium</x:v>
      </x:c>
      <x:c r="K14" s="13" t="str">
        <x:v>Not Started</x:v>
      </x:c>
      <x:c r="L14" s="15" t="n">
        <x:v>0</x:v>
      </x:c>
      <x:c r="M14" s="16" t="n">
        <x:v>3</x:v>
      </x:c>
      <x:c r="N14" s="12" t="str">
        <x:f>IF(A14="","",IF(I14="","No dependency",IF(COUNTIF($A$6:$A$65,I14)=0,"Missing ID",IF(COUNTIFS($A$6:$A$65,I14,$K$6:$K$65,"Complete")&gt;0,"Cleared","Waiting"))))</x:f>
        <x:v>No dependency</x:v>
      </x:c>
      <x:c r="O14" s="12" t="str">
        <x:f>IF(A14="","",IF(K14="Complete","Complete",IF(K14="Blocked","Blocked",IF(N14="Missing ID","Fix dependency",IF(N14="Waiting","Waiting",IF(H14="","Missing due date",IF(H14&lt;TODAY(),"Overdue",IF(H14&lt;=TODAY()+7,"Due in 7 days","On track"))))))))</x:f>
        <x:v>On track</x:v>
      </x:c>
      <x:c r="P14" s="12" t="n">
        <x:f>IF(A14="","",L14*M14)</x:f>
        <x:v>0</x:v>
      </x:c>
    </x:row>
    <x:row r="15">
      <x:c r="A15" s="13" t="str">
        <x:v>ACT-010</x:v>
      </x:c>
      <x:c r="B15" s="13" t="str">
        <x:v>Planning</x:v>
      </x:c>
      <x:c r="C15" s="13" t="str">
        <x:v>PR-06</x:v>
      </x:c>
      <x:c r="D15" s="13" t="str">
        <x:v>Budget</x:v>
      </x:c>
      <x:c r="E15" s="13" t="str">
        <x:v>Load approved rates and budget lines</x:v>
      </x:c>
      <x:c r="F15" s="13" t="str">
        <x:v>Finance Contact</x:v>
      </x:c>
      <x:c r="G15" s="14" t="d">
        <x:v>2026-11-06T00:00:00.000Z</x:v>
      </x:c>
      <x:c r="H15" s="14" t="d">
        <x:v>2026-11-11T00:00:00.000Z</x:v>
      </x:c>
      <x:c r="I15" s="13" t="str">
        <x:v>ACT-009</x:v>
      </x:c>
      <x:c r="J15" s="13" t="str">
        <x:v>High</x:v>
      </x:c>
      <x:c r="K15" s="13" t="str">
        <x:v>In Progress</x:v>
      </x:c>
      <x:c r="L15" s="15" t="n">
        <x:v>0.4</x:v>
      </x:c>
      <x:c r="M15" s="16" t="n">
        <x:v>5</x:v>
      </x:c>
      <x:c r="N15" s="12" t="str">
        <x:f>IF(A15="","",IF(I15="","No dependency",IF(COUNTIF($A$6:$A$65,I15)=0,"Missing ID",IF(COUNTIFS($A$6:$A$65,I15,$K$6:$K$65,"Complete")&gt;0,"Cleared","Waiting"))))</x:f>
        <x:v>Waiting</x:v>
      </x:c>
      <x:c r="O15" s="12" t="str">
        <x:f>IF(A15="","",IF(K15="Complete","Complete",IF(K15="Blocked","Blocked",IF(N15="Missing ID","Fix dependency",IF(N15="Waiting","Waiting",IF(H15="","Missing due date",IF(H15&lt;TODAY(),"Overdue",IF(H15&lt;=TODAY()+7,"Due in 7 days","On track"))))))))</x:f>
        <x:v>Waiting</x:v>
      </x:c>
      <x:c r="P15" s="12" t="n">
        <x:f>IF(A15="","",L15*M15)</x:f>
        <x:v>2</x:v>
      </x:c>
    </x:row>
    <x:row r="16">
      <x:c r="A16" s="13" t="str">
        <x:v>ACT-011</x:v>
      </x:c>
      <x:c r="B16" s="13" t="str">
        <x:v>Planning</x:v>
      </x:c>
      <x:c r="C16" s="13" t="str">
        <x:v>PR-06</x:v>
      </x:c>
      <x:c r="D16" s="13" t="str">
        <x:v>Budget</x:v>
      </x:c>
      <x:c r="E16" s="13" t="str">
        <x:v>Reconcile planned cost to approved budget</x:v>
      </x:c>
      <x:c r="F16" s="13" t="str">
        <x:v>Finance Contact</x:v>
      </x:c>
      <x:c r="G16" s="14" t="d">
        <x:v>2026-11-10T00:00:00.000Z</x:v>
      </x:c>
      <x:c r="H16" s="14" t="d">
        <x:v>2026-11-14T00:00:00.000Z</x:v>
      </x:c>
      <x:c r="I16" s="13" t="str">
        <x:v>ACT-010</x:v>
      </x:c>
      <x:c r="J16" s="13" t="str">
        <x:v>High</x:v>
      </x:c>
      <x:c r="K16" s="13" t="str">
        <x:v>Not Started</x:v>
      </x:c>
      <x:c r="L16" s="15" t="n">
        <x:v>0</x:v>
      </x:c>
      <x:c r="M16" s="16" t="n">
        <x:v>4</x:v>
      </x:c>
      <x:c r="N16" s="12" t="str">
        <x:f>IF(A16="","",IF(I16="","No dependency",IF(COUNTIF($A$6:$A$65,I16)=0,"Missing ID",IF(COUNTIFS($A$6:$A$65,I16,$K$6:$K$65,"Complete")&gt;0,"Cleared","Waiting"))))</x:f>
        <x:v>Waiting</x:v>
      </x:c>
      <x:c r="O16" s="12" t="str">
        <x:f>IF(A16="","",IF(K16="Complete","Complete",IF(K16="Blocked","Blocked",IF(N16="Missing ID","Fix dependency",IF(N16="Waiting","Waiting",IF(H16="","Missing due date",IF(H16&lt;TODAY(),"Overdue",IF(H16&lt;=TODAY()+7,"Due in 7 days","On track"))))))))</x:f>
        <x:v>Waiting</x:v>
      </x:c>
      <x:c r="P16" s="12" t="n">
        <x:f>IF(A16="","",L16*M16)</x:f>
        <x:v>0</x:v>
      </x:c>
    </x:row>
    <x:row r="17">
      <x:c r="A17" s="13" t="str">
        <x:v>ACT-012</x:v>
      </x:c>
      <x:c r="B17" s="13" t="str">
        <x:v>Planning</x:v>
      </x:c>
      <x:c r="C17" s="13" t="str">
        <x:v>PR-03</x:v>
      </x:c>
      <x:c r="D17" s="13" t="str">
        <x:v>Workplan</x:v>
      </x:c>
      <x:c r="E17" s="13" t="str">
        <x:v>Publish version-controlled delivery calendar</x:v>
      </x:c>
      <x:c r="F17" s="13" t="str">
        <x:v>Project Manager</x:v>
      </x:c>
      <x:c r="G17" s="14" t="d">
        <x:v>2026-11-13T00:00:00.000Z</x:v>
      </x:c>
      <x:c r="H17" s="14" t="d">
        <x:v>2026-11-16T00:00:00.000Z</x:v>
      </x:c>
      <x:c r="I17" s="13" t="str">
        <x:v>ACT-011</x:v>
      </x:c>
      <x:c r="J17" s="13" t="str">
        <x:v>Medium</x:v>
      </x:c>
      <x:c r="K17" s="13" t="str">
        <x:v>Not Started</x:v>
      </x:c>
      <x:c r="L17" s="15" t="n">
        <x:v>0</x:v>
      </x:c>
      <x:c r="M17" s="16" t="n">
        <x:v>3</x:v>
      </x:c>
      <x:c r="N17" s="12" t="str">
        <x:f>IF(A17="","",IF(I17="","No dependency",IF(COUNTIF($A$6:$A$65,I17)=0,"Missing ID",IF(COUNTIFS($A$6:$A$65,I17,$K$6:$K$65,"Complete")&gt;0,"Cleared","Waiting"))))</x:f>
        <x:v>Waiting</x:v>
      </x:c>
      <x:c r="O17" s="12" t="str">
        <x:f>IF(A17="","",IF(K17="Complete","Complete",IF(K17="Blocked","Blocked",IF(N17="Missing ID","Fix dependency",IF(N17="Waiting","Waiting",IF(H17="","Missing due date",IF(H17&lt;TODAY(),"Overdue",IF(H17&lt;=TODAY()+7,"Due in 7 days","On track"))))))))</x:f>
        <x:v>Waiting</x:v>
      </x:c>
      <x:c r="P17" s="12" t="n">
        <x:f>IF(A17="","",L17*M17)</x:f>
        <x:v>0</x:v>
      </x:c>
    </x:row>
    <x:row r="18">
      <x:c r="A18" s="13" t="str">
        <x:v>ACT-013</x:v>
      </x:c>
      <x:c r="B18" s="13" t="str">
        <x:v>Readiness</x:v>
      </x:c>
      <x:c r="C18" s="13" t="str">
        <x:v>PR-07</x:v>
      </x:c>
      <x:c r="D18" s="13" t="str">
        <x:v>Site readiness</x:v>
      </x:c>
      <x:c r="E18" s="13" t="str">
        <x:v>Confirm site access and activity dates</x:v>
      </x:c>
      <x:c r="F18" s="13" t="str">
        <x:v>School Liaison</x:v>
      </x:c>
      <x:c r="G18" s="14" t="d">
        <x:v>2026-11-15T00:00:00.000Z</x:v>
      </x:c>
      <x:c r="H18" s="14" t="d">
        <x:v>2026-11-19T00:00:00.000Z</x:v>
      </x:c>
      <x:c r="I18" s="13" t="str"/>
      <x:c r="J18" s="13" t="str">
        <x:v>High</x:v>
      </x:c>
      <x:c r="K18" s="13" t="str">
        <x:v>In Progress</x:v>
      </x:c>
      <x:c r="L18" s="15" t="n">
        <x:v>0.5</x:v>
      </x:c>
      <x:c r="M18" s="16" t="n">
        <x:v>4</x:v>
      </x:c>
      <x:c r="N18" s="12" t="str">
        <x:f>IF(A18="","",IF(I18="","No dependency",IF(COUNTIF($A$6:$A$65,I18)=0,"Missing ID",IF(COUNTIFS($A$6:$A$65,I18,$K$6:$K$65,"Complete")&gt;0,"Cleared","Waiting"))))</x:f>
        <x:v>No dependency</x:v>
      </x:c>
      <x:c r="O18" s="12" t="str">
        <x:f>IF(A18="","",IF(K18="Complete","Complete",IF(K18="Blocked","Blocked",IF(N18="Missing ID","Fix dependency",IF(N18="Waiting","Waiting",IF(H18="","Missing due date",IF(H18&lt;TODAY(),"Overdue",IF(H18&lt;=TODAY()+7,"Due in 7 days","On track"))))))))</x:f>
        <x:v>On track</x:v>
      </x:c>
      <x:c r="P18" s="12" t="n">
        <x:f>IF(A18="","",L18*M18)</x:f>
        <x:v>2</x:v>
      </x:c>
    </x:row>
    <x:row r="19">
      <x:c r="A19" s="13" t="str">
        <x:v>ACT-014</x:v>
      </x:c>
      <x:c r="B19" s="13" t="str">
        <x:v>Readiness</x:v>
      </x:c>
      <x:c r="C19" s="13" t="str">
        <x:v>PR-07</x:v>
      </x:c>
      <x:c r="D19" s="13" t="str">
        <x:v>Materials</x:v>
      </x:c>
      <x:c r="E19" s="13" t="str">
        <x:v>Check materials and print quantities</x:v>
      </x:c>
      <x:c r="F19" s="13" t="str">
        <x:v>Operations Lead</x:v>
      </x:c>
      <x:c r="G19" s="14" t="d">
        <x:v>2026-11-18T00:00:00.000Z</x:v>
      </x:c>
      <x:c r="H19" s="14" t="d">
        <x:v>2026-11-21T00:00:00.000Z</x:v>
      </x:c>
      <x:c r="I19" s="13" t="str">
        <x:v>ACT-013</x:v>
      </x:c>
      <x:c r="J19" s="13" t="str">
        <x:v>Medium</x:v>
      </x:c>
      <x:c r="K19" s="13" t="str">
        <x:v>Not Started</x:v>
      </x:c>
      <x:c r="L19" s="15" t="n">
        <x:v>0</x:v>
      </x:c>
      <x:c r="M19" s="16" t="n">
        <x:v>3</x:v>
      </x:c>
      <x:c r="N19" s="12" t="str">
        <x:f>IF(A19="","",IF(I19="","No dependency",IF(COUNTIF($A$6:$A$65,I19)=0,"Missing ID",IF(COUNTIFS($A$6:$A$65,I19,$K$6:$K$65,"Complete")&gt;0,"Cleared","Waiting"))))</x:f>
        <x:v>Waiting</x:v>
      </x:c>
      <x:c r="O19" s="12" t="str">
        <x:f>IF(A19="","",IF(K19="Complete","Complete",IF(K19="Blocked","Blocked",IF(N19="Missing ID","Fix dependency",IF(N19="Waiting","Waiting",IF(H19="","Missing due date",IF(H19&lt;TODAY(),"Overdue",IF(H19&lt;=TODAY()+7,"Due in 7 days","On track"))))))))</x:f>
        <x:v>Waiting</x:v>
      </x:c>
      <x:c r="P19" s="12" t="n">
        <x:f>IF(A19="","",L19*M19)</x:f>
        <x:v>0</x:v>
      </x:c>
    </x:row>
    <x:row r="20">
      <x:c r="A20" s="13" t="str">
        <x:v>ACT-015</x:v>
      </x:c>
      <x:c r="B20" s="13" t="str">
        <x:v>Readiness</x:v>
      </x:c>
      <x:c r="C20" s="13" t="str">
        <x:v>PR-07</x:v>
      </x:c>
      <x:c r="D20" s="13" t="str">
        <x:v>Readiness gate</x:v>
      </x:c>
      <x:c r="E20" s="13" t="str">
        <x:v>Complete pre-delivery readiness check</x:v>
      </x:c>
      <x:c r="F20" s="13" t="str">
        <x:v>Project Manager</x:v>
      </x:c>
      <x:c r="G20" s="14" t="d">
        <x:v>2026-11-20T00:00:00.000Z</x:v>
      </x:c>
      <x:c r="H20" s="14" t="d">
        <x:v>2026-11-23T00:00:00.000Z</x:v>
      </x:c>
      <x:c r="I20" s="13" t="str">
        <x:v>ACT-014</x:v>
      </x:c>
      <x:c r="J20" s="13" t="str">
        <x:v>High</x:v>
      </x:c>
      <x:c r="K20" s="13" t="str">
        <x:v>Not Started</x:v>
      </x:c>
      <x:c r="L20" s="15" t="n">
        <x:v>0</x:v>
      </x:c>
      <x:c r="M20" s="16" t="n">
        <x:v>3</x:v>
      </x:c>
      <x:c r="N20" s="12" t="str">
        <x:f>IF(A20="","",IF(I20="","No dependency",IF(COUNTIF($A$6:$A$65,I20)=0,"Missing ID",IF(COUNTIFS($A$6:$A$65,I20,$K$6:$K$65,"Complete")&gt;0,"Cleared","Waiting"))))</x:f>
        <x:v>Waiting</x:v>
      </x:c>
      <x:c r="O20" s="12" t="str">
        <x:f>IF(A20="","",IF(K20="Complete","Complete",IF(K20="Blocked","Blocked",IF(N20="Missing ID","Fix dependency",IF(N20="Waiting","Waiting",IF(H20="","Missing due date",IF(H20&lt;TODAY(),"Overdue",IF(H20&lt;=TODAY()+7,"Due in 7 days","On track"))))))))</x:f>
        <x:v>Waiting</x:v>
      </x:c>
      <x:c r="P20" s="12" t="n">
        <x:f>IF(A20="","",L20*M20)</x:f>
        <x:v>0</x:v>
      </x:c>
    </x:row>
    <x:row r="21">
      <x:c r="A21" s="13" t="str">
        <x:v>ACT-016</x:v>
      </x:c>
      <x:c r="B21" s="13" t="str">
        <x:v>Readiness</x:v>
      </x:c>
      <x:c r="C21" s="13" t="str">
        <x:v>PR-07</x:v>
      </x:c>
      <x:c r="D21" s="13" t="str">
        <x:v>Readiness gate</x:v>
      </x:c>
      <x:c r="E21" s="13" t="str">
        <x:v>Obtain written go / no-go sign-off</x:v>
      </x:c>
      <x:c r="F21" s="13" t="str">
        <x:v>Programme Lead</x:v>
      </x:c>
      <x:c r="G21" s="14" t="d">
        <x:v>2026-11-23T00:00:00.000Z</x:v>
      </x:c>
      <x:c r="H21" s="14" t="d">
        <x:v>2026-11-25T00:00:00.000Z</x:v>
      </x:c>
      <x:c r="I21" s="13" t="str">
        <x:v>ACT-015</x:v>
      </x:c>
      <x:c r="J21" s="13" t="str">
        <x:v>High</x:v>
      </x:c>
      <x:c r="K21" s="13" t="str">
        <x:v>Not Started</x:v>
      </x:c>
      <x:c r="L21" s="15" t="n">
        <x:v>0</x:v>
      </x:c>
      <x:c r="M21" s="16" t="n">
        <x:v>2</x:v>
      </x:c>
      <x:c r="N21" s="12" t="str">
        <x:f>IF(A21="","",IF(I21="","No dependency",IF(COUNTIF($A$6:$A$65,I21)=0,"Missing ID",IF(COUNTIFS($A$6:$A$65,I21,$K$6:$K$65,"Complete")&gt;0,"Cleared","Waiting"))))</x:f>
        <x:v>Waiting</x:v>
      </x:c>
      <x:c r="O21" s="12" t="str">
        <x:f>IF(A21="","",IF(K21="Complete","Complete",IF(K21="Blocked","Blocked",IF(N21="Missing ID","Fix dependency",IF(N21="Waiting","Waiting",IF(H21="","Missing due date",IF(H21&lt;TODAY(),"Overdue",IF(H21&lt;=TODAY()+7,"Due in 7 days","On track"))))))))</x:f>
        <x:v>Waiting</x:v>
      </x:c>
      <x:c r="P21" s="12" t="n">
        <x:f>IF(A21="","",L21*M21)</x:f>
        <x:v>0</x:v>
      </x:c>
    </x:row>
    <x:row r="22">
      <x:c r="A22" s="13" t="str">
        <x:v>ACT-017</x:v>
      </x:c>
      <x:c r="B22" s="13" t="str">
        <x:v>Delivery</x:v>
      </x:c>
      <x:c r="C22" s="13" t="str">
        <x:v>PR-08</x:v>
      </x:c>
      <x:c r="D22" s="13" t="str">
        <x:v>Delivery</x:v>
      </x:c>
      <x:c r="E22" s="13" t="str">
        <x:v>Run activity cycle 1</x:v>
      </x:c>
      <x:c r="F22" s="13" t="str">
        <x:v>Delivery Lead</x:v>
      </x:c>
      <x:c r="G22" s="14" t="d">
        <x:v>2026-11-22T00:00:00.000Z</x:v>
      </x:c>
      <x:c r="H22" s="14" t="d">
        <x:v>2026-11-27T00:00:00.000Z</x:v>
      </x:c>
      <x:c r="I22" s="13" t="str"/>
      <x:c r="J22" s="13" t="str">
        <x:v>High</x:v>
      </x:c>
      <x:c r="K22" s="13" t="str">
        <x:v>Not Started</x:v>
      </x:c>
      <x:c r="L22" s="15" t="n">
        <x:v>0</x:v>
      </x:c>
      <x:c r="M22" s="16" t="n">
        <x:v>5</x:v>
      </x:c>
      <x:c r="N22" s="12" t="str">
        <x:f>IF(A22="","",IF(I22="","No dependency",IF(COUNTIF($A$6:$A$65,I22)=0,"Missing ID",IF(COUNTIFS($A$6:$A$65,I22,$K$6:$K$65,"Complete")&gt;0,"Cleared","Waiting"))))</x:f>
        <x:v>No dependency</x:v>
      </x:c>
      <x:c r="O22" s="12" t="str">
        <x:f>IF(A22="","",IF(K22="Complete","Complete",IF(K22="Blocked","Blocked",IF(N22="Missing ID","Fix dependency",IF(N22="Waiting","Waiting",IF(H22="","Missing due date",IF(H22&lt;TODAY(),"Overdue",IF(H22&lt;=TODAY()+7,"Due in 7 days","On track"))))))))</x:f>
        <x:v>On track</x:v>
      </x:c>
      <x:c r="P22" s="12" t="n">
        <x:f>IF(A22="","",L22*M22)</x:f>
        <x:v>0</x:v>
      </x:c>
    </x:row>
    <x:row r="23">
      <x:c r="A23" s="13" t="str">
        <x:v>ACT-018</x:v>
      </x:c>
      <x:c r="B23" s="13" t="str">
        <x:v>Delivery</x:v>
      </x:c>
      <x:c r="C23" s="13" t="str">
        <x:v>PR-08</x:v>
      </x:c>
      <x:c r="D23" s="13" t="str">
        <x:v>Evidence</x:v>
      </x:c>
      <x:c r="E23" s="13" t="str">
        <x:v>Collect attendance and outputs for cycle 1</x:v>
      </x:c>
      <x:c r="F23" s="13" t="str">
        <x:v>Data Owner</x:v>
      </x:c>
      <x:c r="G23" s="14" t="d">
        <x:v>2026-11-26T00:00:00.000Z</x:v>
      </x:c>
      <x:c r="H23" s="14" t="d">
        <x:v>2026-11-29T00:00:00.000Z</x:v>
      </x:c>
      <x:c r="I23" s="13" t="str">
        <x:v>ACT-017</x:v>
      </x:c>
      <x:c r="J23" s="13" t="str">
        <x:v>High</x:v>
      </x:c>
      <x:c r="K23" s="13" t="str">
        <x:v>Not Started</x:v>
      </x:c>
      <x:c r="L23" s="15" t="n">
        <x:v>0</x:v>
      </x:c>
      <x:c r="M23" s="16" t="n">
        <x:v>3</x:v>
      </x:c>
      <x:c r="N23" s="12" t="str">
        <x:f>IF(A23="","",IF(I23="","No dependency",IF(COUNTIF($A$6:$A$65,I23)=0,"Missing ID",IF(COUNTIFS($A$6:$A$65,I23,$K$6:$K$65,"Complete")&gt;0,"Cleared","Waiting"))))</x:f>
        <x:v>Waiting</x:v>
      </x:c>
      <x:c r="O23" s="12" t="str">
        <x:f>IF(A23="","",IF(K23="Complete","Complete",IF(K23="Blocked","Blocked",IF(N23="Missing ID","Fix dependency",IF(N23="Waiting","Waiting",IF(H23="","Missing due date",IF(H23&lt;TODAY(),"Overdue",IF(H23&lt;=TODAY()+7,"Due in 7 days","On track"))))))))</x:f>
        <x:v>Waiting</x:v>
      </x:c>
      <x:c r="P23" s="12" t="n">
        <x:f>IF(A23="","",L23*M23)</x:f>
        <x:v>0</x:v>
      </x:c>
    </x:row>
    <x:row r="24">
      <x:c r="A24" s="13" t="str">
        <x:v>ACT-019</x:v>
      </x:c>
      <x:c r="B24" s="13" t="str">
        <x:v>Delivery</x:v>
      </x:c>
      <x:c r="C24" s="13" t="str">
        <x:v>PR-09</x:v>
      </x:c>
      <x:c r="D24" s="13" t="str">
        <x:v>Issues</x:v>
      </x:c>
      <x:c r="E24" s="13" t="str">
        <x:v>Review issues and assign response owners</x:v>
      </x:c>
      <x:c r="F24" s="13" t="str">
        <x:v>Project Manager</x:v>
      </x:c>
      <x:c r="G24" s="14" t="d">
        <x:v>2026-11-28T00:00:00.000Z</x:v>
      </x:c>
      <x:c r="H24" s="14" t="d">
        <x:v>2026-12-01T00:00:00.000Z</x:v>
      </x:c>
      <x:c r="I24" s="13" t="str">
        <x:v>ACT-018</x:v>
      </x:c>
      <x:c r="J24" s="13" t="str">
        <x:v>High</x:v>
      </x:c>
      <x:c r="K24" s="13" t="str">
        <x:v>Not Started</x:v>
      </x:c>
      <x:c r="L24" s="15" t="n">
        <x:v>0</x:v>
      </x:c>
      <x:c r="M24" s="16" t="n">
        <x:v>3</x:v>
      </x:c>
      <x:c r="N24" s="12" t="str">
        <x:f>IF(A24="","",IF(I24="","No dependency",IF(COUNTIF($A$6:$A$65,I24)=0,"Missing ID",IF(COUNTIFS($A$6:$A$65,I24,$K$6:$K$65,"Complete")&gt;0,"Cleared","Waiting"))))</x:f>
        <x:v>Waiting</x:v>
      </x:c>
      <x:c r="O24" s="12" t="str">
        <x:f>IF(A24="","",IF(K24="Complete","Complete",IF(K24="Blocked","Blocked",IF(N24="Missing ID","Fix dependency",IF(N24="Waiting","Waiting",IF(H24="","Missing due date",IF(H24&lt;TODAY(),"Overdue",IF(H24&lt;=TODAY()+7,"Due in 7 days","On track"))))))))</x:f>
        <x:v>Waiting</x:v>
      </x:c>
      <x:c r="P24" s="12" t="n">
        <x:f>IF(A24="","",L24*M24)</x:f>
        <x:v>0</x:v>
      </x:c>
    </x:row>
    <x:row r="25">
      <x:c r="A25" s="13" t="str">
        <x:v>ACT-020</x:v>
      </x:c>
      <x:c r="B25" s="13" t="str">
        <x:v>Delivery</x:v>
      </x:c>
      <x:c r="C25" s="13" t="str">
        <x:v>PR-08</x:v>
      </x:c>
      <x:c r="D25" s="13" t="str">
        <x:v>Delivery</x:v>
      </x:c>
      <x:c r="E25" s="13" t="str">
        <x:v>Run activity cycle 2</x:v>
      </x:c>
      <x:c r="F25" s="13" t="str">
        <x:v>Delivery Lead</x:v>
      </x:c>
      <x:c r="G25" s="14" t="d">
        <x:v>2026-11-29T00:00:00.000Z</x:v>
      </x:c>
      <x:c r="H25" s="14" t="d">
        <x:v>2026-12-04T00:00:00.000Z</x:v>
      </x:c>
      <x:c r="I25" s="13" t="str">
        <x:v>ACT-019</x:v>
      </x:c>
      <x:c r="J25" s="13" t="str">
        <x:v>High</x:v>
      </x:c>
      <x:c r="K25" s="13" t="str">
        <x:v>Not Started</x:v>
      </x:c>
      <x:c r="L25" s="15" t="n">
        <x:v>0</x:v>
      </x:c>
      <x:c r="M25" s="16" t="n">
        <x:v>5</x:v>
      </x:c>
      <x:c r="N25" s="12" t="str">
        <x:f>IF(A25="","",IF(I25="","No dependency",IF(COUNTIF($A$6:$A$65,I25)=0,"Missing ID",IF(COUNTIFS($A$6:$A$65,I25,$K$6:$K$65,"Complete")&gt;0,"Cleared","Waiting"))))</x:f>
        <x:v>Waiting</x:v>
      </x:c>
      <x:c r="O25" s="12" t="str">
        <x:f>IF(A25="","",IF(K25="Complete","Complete",IF(K25="Blocked","Blocked",IF(N25="Missing ID","Fix dependency",IF(N25="Waiting","Waiting",IF(H25="","Missing due date",IF(H25&lt;TODAY(),"Overdue",IF(H25&lt;=TODAY()+7,"Due in 7 days","On track"))))))))</x:f>
        <x:v>Waiting</x:v>
      </x:c>
      <x:c r="P25" s="12" t="n">
        <x:f>IF(A25="","",L25*M25)</x:f>
        <x:v>0</x:v>
      </x:c>
    </x:row>
    <x:row r="26">
      <x:c r="A26" s="13" t="str">
        <x:v>ACT-021</x:v>
      </x:c>
      <x:c r="B26" s="13" t="str">
        <x:v>Delivery</x:v>
      </x:c>
      <x:c r="C26" s="13" t="str">
        <x:v>PR-08</x:v>
      </x:c>
      <x:c r="D26" s="13" t="str">
        <x:v>Evidence</x:v>
      </x:c>
      <x:c r="E26" s="13" t="str">
        <x:v>Check evidence pack completeness</x:v>
      </x:c>
      <x:c r="F26" s="13" t="str">
        <x:v>Data Owner</x:v>
      </x:c>
      <x:c r="G26" s="14" t="d">
        <x:v>2026-12-03T00:00:00.000Z</x:v>
      </x:c>
      <x:c r="H26" s="14" t="d">
        <x:v>2026-12-06T00:00:00.000Z</x:v>
      </x:c>
      <x:c r="I26" s="13" t="str"/>
      <x:c r="J26" s="13" t="str">
        <x:v>Medium</x:v>
      </x:c>
      <x:c r="K26" s="13" t="str">
        <x:v>Not Started</x:v>
      </x:c>
      <x:c r="L26" s="15" t="n">
        <x:v>0</x:v>
      </x:c>
      <x:c r="M26" s="16" t="n">
        <x:v>3</x:v>
      </x:c>
      <x:c r="N26" s="12" t="str">
        <x:f>IF(A26="","",IF(I26="","No dependency",IF(COUNTIF($A$6:$A$65,I26)=0,"Missing ID",IF(COUNTIFS($A$6:$A$65,I26,$K$6:$K$65,"Complete")&gt;0,"Cleared","Waiting"))))</x:f>
        <x:v>No dependency</x:v>
      </x:c>
      <x:c r="O26" s="12" t="str">
        <x:f>IF(A26="","",IF(K26="Complete","Complete",IF(K26="Blocked","Blocked",IF(N26="Missing ID","Fix dependency",IF(N26="Waiting","Waiting",IF(H26="","Missing due date",IF(H26&lt;TODAY(),"Overdue",IF(H26&lt;=TODAY()+7,"Due in 7 days","On track"))))))))</x:f>
        <x:v>On track</x:v>
      </x:c>
      <x:c r="P26" s="12" t="n">
        <x:f>IF(A26="","",L26*M26)</x:f>
        <x:v>0</x:v>
      </x:c>
    </x:row>
    <x:row r="27">
      <x:c r="A27" s="13" t="str">
        <x:v>ACT-022</x:v>
      </x:c>
      <x:c r="B27" s="13" t="str">
        <x:v>Delivery</x:v>
      </x:c>
      <x:c r="C27" s="13" t="str">
        <x:v>PR-08</x:v>
      </x:c>
      <x:c r="D27" s="13" t="str">
        <x:v>Delivery</x:v>
      </x:c>
      <x:c r="E27" s="13" t="str">
        <x:v>Run activity cycle 3</x:v>
      </x:c>
      <x:c r="F27" s="13" t="str">
        <x:v>Delivery Lead</x:v>
      </x:c>
      <x:c r="G27" s="14" t="d">
        <x:v>2026-12-04T00:00:00.000Z</x:v>
      </x:c>
      <x:c r="H27" s="14" t="d">
        <x:v>2026-12-09T00:00:00.000Z</x:v>
      </x:c>
      <x:c r="I27" s="13" t="str">
        <x:v>ACT-021</x:v>
      </x:c>
      <x:c r="J27" s="13" t="str">
        <x:v>High</x:v>
      </x:c>
      <x:c r="K27" s="13" t="str">
        <x:v>Not Started</x:v>
      </x:c>
      <x:c r="L27" s="15" t="n">
        <x:v>0</x:v>
      </x:c>
      <x:c r="M27" s="16" t="n">
        <x:v>5</x:v>
      </x:c>
      <x:c r="N27" s="12" t="str">
        <x:f>IF(A27="","",IF(I27="","No dependency",IF(COUNTIF($A$6:$A$65,I27)=0,"Missing ID",IF(COUNTIFS($A$6:$A$65,I27,$K$6:$K$65,"Complete")&gt;0,"Cleared","Waiting"))))</x:f>
        <x:v>Waiting</x:v>
      </x:c>
      <x:c r="O27" s="12" t="str">
        <x:f>IF(A27="","",IF(K27="Complete","Complete",IF(K27="Blocked","Blocked",IF(N27="Missing ID","Fix dependency",IF(N27="Waiting","Waiting",IF(H27="","Missing due date",IF(H27&lt;TODAY(),"Overdue",IF(H27&lt;=TODAY()+7,"Due in 7 days","On track"))))))))</x:f>
        <x:v>Waiting</x:v>
      </x:c>
      <x:c r="P27" s="12" t="n">
        <x:f>IF(A27="","",L27*M27)</x:f>
        <x:v>0</x:v>
      </x:c>
    </x:row>
    <x:row r="28">
      <x:c r="A28" s="13" t="str">
        <x:v>ACT-023</x:v>
      </x:c>
      <x:c r="B28" s="13" t="str">
        <x:v>Delivery</x:v>
      </x:c>
      <x:c r="C28" s="13" t="str">
        <x:v>PR-09</x:v>
      </x:c>
      <x:c r="D28" s="13" t="str">
        <x:v>Issues</x:v>
      </x:c>
      <x:c r="E28" s="13" t="str">
        <x:v>Escalate critical participant or supplier issue</x:v>
      </x:c>
      <x:c r="F28" s="13" t="str">
        <x:v>Project Manager</x:v>
      </x:c>
      <x:c r="G28" s="14" t="d">
        <x:v>2026-12-08T00:00:00.000Z</x:v>
      </x:c>
      <x:c r="H28" s="14" t="d">
        <x:v>2026-12-11T00:00:00.000Z</x:v>
      </x:c>
      <x:c r="I28" s="13" t="str">
        <x:v>ACT-022</x:v>
      </x:c>
      <x:c r="J28" s="13" t="str">
        <x:v>High</x:v>
      </x:c>
      <x:c r="K28" s="13" t="str">
        <x:v>Blocked</x:v>
      </x:c>
      <x:c r="L28" s="15" t="n">
        <x:v>0</x:v>
      </x:c>
      <x:c r="M28" s="16" t="n">
        <x:v>3</x:v>
      </x:c>
      <x:c r="N28" s="12" t="str">
        <x:f>IF(A28="","",IF(I28="","No dependency",IF(COUNTIF($A$6:$A$65,I28)=0,"Missing ID",IF(COUNTIFS($A$6:$A$65,I28,$K$6:$K$65,"Complete")&gt;0,"Cleared","Waiting"))))</x:f>
        <x:v>Waiting</x:v>
      </x:c>
      <x:c r="O28" s="12" t="str">
        <x:f>IF(A28="","",IF(K28="Complete","Complete",IF(K28="Blocked","Blocked",IF(N28="Missing ID","Fix dependency",IF(N28="Waiting","Waiting",IF(H28="","Missing due date",IF(H28&lt;TODAY(),"Overdue",IF(H28&lt;=TODAY()+7,"Due in 7 days","On track"))))))))</x:f>
        <x:v>Blocked</x:v>
      </x:c>
      <x:c r="P28" s="12" t="n">
        <x:f>IF(A28="","",L28*M28)</x:f>
        <x:v>0</x:v>
      </x:c>
    </x:row>
    <x:row r="29">
      <x:c r="A29" s="13" t="str">
        <x:v>ACT-024</x:v>
      </x:c>
      <x:c r="B29" s="13" t="str">
        <x:v>Delivery</x:v>
      </x:c>
      <x:c r="C29" s="13" t="str">
        <x:v>PR-08</x:v>
      </x:c>
      <x:c r="D29" s="13" t="str">
        <x:v>Evidence</x:v>
      </x:c>
      <x:c r="E29" s="13" t="str">
        <x:v>Confirm evidence linked to activity IDs</x:v>
      </x:c>
      <x:c r="F29" s="13" t="str">
        <x:v>Data Owner</x:v>
      </x:c>
      <x:c r="G29" s="14" t="d">
        <x:v>2026-12-10T00:00:00.000Z</x:v>
      </x:c>
      <x:c r="H29" s="14" t="d">
        <x:v>2026-12-13T00:00:00.000Z</x:v>
      </x:c>
      <x:c r="I29" s="13" t="str">
        <x:v>ACT-023</x:v>
      </x:c>
      <x:c r="J29" s="13" t="str">
        <x:v>Medium</x:v>
      </x:c>
      <x:c r="K29" s="13" t="str">
        <x:v>Not Started</x:v>
      </x:c>
      <x:c r="L29" s="15" t="n">
        <x:v>0</x:v>
      </x:c>
      <x:c r="M29" s="16" t="n">
        <x:v>3</x:v>
      </x:c>
      <x:c r="N29" s="12" t="str">
        <x:f>IF(A29="","",IF(I29="","No dependency",IF(COUNTIF($A$6:$A$65,I29)=0,"Missing ID",IF(COUNTIFS($A$6:$A$65,I29,$K$6:$K$65,"Complete")&gt;0,"Cleared","Waiting"))))</x:f>
        <x:v>Waiting</x:v>
      </x:c>
      <x:c r="O29" s="12" t="str">
        <x:f>IF(A29="","",IF(K29="Complete","Complete",IF(K29="Blocked","Blocked",IF(N29="Missing ID","Fix dependency",IF(N29="Waiting","Waiting",IF(H29="","Missing due date",IF(H29&lt;TODAY(),"Overdue",IF(H29&lt;=TODAY()+7,"Due in 7 days","On track"))))))))</x:f>
        <x:v>Waiting</x:v>
      </x:c>
      <x:c r="P29" s="12" t="n">
        <x:f>IF(A29="","",L29*M29)</x:f>
        <x:v>0</x:v>
      </x:c>
    </x:row>
    <x:row r="30">
      <x:c r="A30" s="13" t="str">
        <x:v>ACT-025</x:v>
      </x:c>
      <x:c r="B30" s="13" t="str">
        <x:v>Delivery</x:v>
      </x:c>
      <x:c r="C30" s="13" t="str">
        <x:v>PR-08</x:v>
      </x:c>
      <x:c r="D30" s="13" t="str">
        <x:v>Delivery</x:v>
      </x:c>
      <x:c r="E30" s="13" t="str">
        <x:v>Run activity cycle 4</x:v>
      </x:c>
      <x:c r="F30" s="13" t="str">
        <x:v>Delivery Lead</x:v>
      </x:c>
      <x:c r="G30" s="14" t="d">
        <x:v>2026-12-11T00:00:00.000Z</x:v>
      </x:c>
      <x:c r="H30" s="14" t="d">
        <x:v>2026-12-16T00:00:00.000Z</x:v>
      </x:c>
      <x:c r="I30" s="13" t="str"/>
      <x:c r="J30" s="13" t="str">
        <x:v>High</x:v>
      </x:c>
      <x:c r="K30" s="13" t="str">
        <x:v>Not Started</x:v>
      </x:c>
      <x:c r="L30" s="15" t="n">
        <x:v>0</x:v>
      </x:c>
      <x:c r="M30" s="16" t="n">
        <x:v>5</x:v>
      </x:c>
      <x:c r="N30" s="12" t="str">
        <x:f>IF(A30="","",IF(I30="","No dependency",IF(COUNTIF($A$6:$A$65,I30)=0,"Missing ID",IF(COUNTIFS($A$6:$A$65,I30,$K$6:$K$65,"Complete")&gt;0,"Cleared","Waiting"))))</x:f>
        <x:v>No dependency</x:v>
      </x:c>
      <x:c r="O30" s="12" t="str">
        <x:f>IF(A30="","",IF(K30="Complete","Complete",IF(K30="Blocked","Blocked",IF(N30="Missing ID","Fix dependency",IF(N30="Waiting","Waiting",IF(H30="","Missing due date",IF(H30&lt;TODAY(),"Overdue",IF(H30&lt;=TODAY()+7,"Due in 7 days","On track"))))))))</x:f>
        <x:v>On track</x:v>
      </x:c>
      <x:c r="P30" s="12" t="n">
        <x:f>IF(A30="","",L30*M30)</x:f>
        <x:v>0</x:v>
      </x:c>
    </x:row>
    <x:row r="31">
      <x:c r="A31" s="13" t="str">
        <x:v>ACT-026</x:v>
      </x:c>
      <x:c r="B31" s="13" t="str">
        <x:v>Delivery</x:v>
      </x:c>
      <x:c r="C31" s="13" t="str">
        <x:v>PR-09</x:v>
      </x:c>
      <x:c r="D31" s="13" t="str">
        <x:v>Issues</x:v>
      </x:c>
      <x:c r="E31" s="13" t="str">
        <x:v>Close resolved delivery issues</x:v>
      </x:c>
      <x:c r="F31" s="13" t="str">
        <x:v>Project Manager</x:v>
      </x:c>
      <x:c r="G31" s="14" t="d">
        <x:v>2026-12-17T00:00:00.000Z</x:v>
      </x:c>
      <x:c r="H31" s="14" t="d">
        <x:v>2026-12-19T00:00:00.000Z</x:v>
      </x:c>
      <x:c r="I31" s="13" t="str">
        <x:v>ACT-025</x:v>
      </x:c>
      <x:c r="J31" s="13" t="str">
        <x:v>Medium</x:v>
      </x:c>
      <x:c r="K31" s="13" t="str">
        <x:v>Not Started</x:v>
      </x:c>
      <x:c r="L31" s="15" t="n">
        <x:v>0</x:v>
      </x:c>
      <x:c r="M31" s="16" t="n">
        <x:v>2</x:v>
      </x:c>
      <x:c r="N31" s="12" t="str">
        <x:f>IF(A31="","",IF(I31="","No dependency",IF(COUNTIF($A$6:$A$65,I31)=0,"Missing ID",IF(COUNTIFS($A$6:$A$65,I31,$K$6:$K$65,"Complete")&gt;0,"Cleared","Waiting"))))</x:f>
        <x:v>Waiting</x:v>
      </x:c>
      <x:c r="O31" s="12" t="str">
        <x:f>IF(A31="","",IF(K31="Complete","Complete",IF(K31="Blocked","Blocked",IF(N31="Missing ID","Fix dependency",IF(N31="Waiting","Waiting",IF(H31="","Missing due date",IF(H31&lt;TODAY(),"Overdue",IF(H31&lt;=TODAY()+7,"Due in 7 days","On track"))))))))</x:f>
        <x:v>Waiting</x:v>
      </x:c>
      <x:c r="P31" s="12" t="n">
        <x:f>IF(A31="","",L31*M31)</x:f>
        <x:v>0</x:v>
      </x:c>
    </x:row>
    <x:row r="32">
      <x:c r="A32" s="13" t="str">
        <x:v>ACT-027</x:v>
      </x:c>
      <x:c r="B32" s="13" t="str">
        <x:v>Data control</x:v>
      </x:c>
      <x:c r="C32" s="13" t="str">
        <x:v>PR-10</x:v>
      </x:c>
      <x:c r="D32" s="13" t="str">
        <x:v>Data quality</x:v>
      </x:c>
      <x:c r="E32" s="13" t="str">
        <x:v>Normalize names, categories and identifiers</x:v>
      </x:c>
      <x:c r="F32" s="13" t="str">
        <x:v>Data Owner</x:v>
      </x:c>
      <x:c r="G32" s="14" t="d">
        <x:v>2026-12-17T00:00:00.000Z</x:v>
      </x:c>
      <x:c r="H32" s="14" t="d">
        <x:v>2026-12-21T00:00:00.000Z</x:v>
      </x:c>
      <x:c r="I32" s="13" t="str">
        <x:v>ACT-026</x:v>
      </x:c>
      <x:c r="J32" s="13" t="str">
        <x:v>High</x:v>
      </x:c>
      <x:c r="K32" s="13" t="str">
        <x:v>Not Started</x:v>
      </x:c>
      <x:c r="L32" s="15" t="n">
        <x:v>0</x:v>
      </x:c>
      <x:c r="M32" s="16" t="n">
        <x:v>4</x:v>
      </x:c>
      <x:c r="N32" s="12" t="str">
        <x:f>IF(A32="","",IF(I32="","No dependency",IF(COUNTIF($A$6:$A$65,I32)=0,"Missing ID",IF(COUNTIFS($A$6:$A$65,I32,$K$6:$K$65,"Complete")&gt;0,"Cleared","Waiting"))))</x:f>
        <x:v>Waiting</x:v>
      </x:c>
      <x:c r="O32" s="12" t="str">
        <x:f>IF(A32="","",IF(K32="Complete","Complete",IF(K32="Blocked","Blocked",IF(N32="Missing ID","Fix dependency",IF(N32="Waiting","Waiting",IF(H32="","Missing due date",IF(H32&lt;TODAY(),"Overdue",IF(H32&lt;=TODAY()+7,"Due in 7 days","On track"))))))))</x:f>
        <x:v>Waiting</x:v>
      </x:c>
      <x:c r="P32" s="12" t="n">
        <x:f>IF(A32="","",L32*M32)</x:f>
        <x:v>0</x:v>
      </x:c>
    </x:row>
    <x:row r="33">
      <x:c r="A33" s="13" t="str">
        <x:v>ACT-028</x:v>
      </x:c>
      <x:c r="B33" s="13" t="str">
        <x:v>Data control</x:v>
      </x:c>
      <x:c r="C33" s="13" t="str">
        <x:v>PR-10</x:v>
      </x:c>
      <x:c r="D33" s="13" t="str">
        <x:v>Data quality</x:v>
      </x:c>
      <x:c r="E33" s="13" t="str">
        <x:v>Review missing keys and invalid values</x:v>
      </x:c>
      <x:c r="F33" s="13" t="str">
        <x:v>Data Owner</x:v>
      </x:c>
      <x:c r="G33" s="14" t="d">
        <x:v>2026-12-19T00:00:00.000Z</x:v>
      </x:c>
      <x:c r="H33" s="14" t="d">
        <x:v>2026-12-23T00:00:00.000Z</x:v>
      </x:c>
      <x:c r="I33" s="13" t="str">
        <x:v>ACT-027</x:v>
      </x:c>
      <x:c r="J33" s="13" t="str">
        <x:v>High</x:v>
      </x:c>
      <x:c r="K33" s="13" t="str">
        <x:v>Not Started</x:v>
      </x:c>
      <x:c r="L33" s="15" t="n">
        <x:v>0</x:v>
      </x:c>
      <x:c r="M33" s="16" t="n">
        <x:v>4</x:v>
      </x:c>
      <x:c r="N33" s="12" t="str">
        <x:f>IF(A33="","",IF(I33="","No dependency",IF(COUNTIF($A$6:$A$65,I33)=0,"Missing ID",IF(COUNTIFS($A$6:$A$65,I33,$K$6:$K$65,"Complete")&gt;0,"Cleared","Waiting"))))</x:f>
        <x:v>Waiting</x:v>
      </x:c>
      <x:c r="O33" s="12" t="str">
        <x:f>IF(A33="","",IF(K33="Complete","Complete",IF(K33="Blocked","Blocked",IF(N33="Missing ID","Fix dependency",IF(N33="Waiting","Waiting",IF(H33="","Missing due date",IF(H33&lt;TODAY(),"Overdue",IF(H33&lt;=TODAY()+7,"Due in 7 days","On track"))))))))</x:f>
        <x:v>Waiting</x:v>
      </x:c>
      <x:c r="P33" s="12" t="n">
        <x:f>IF(A33="","",L33*M33)</x:f>
        <x:v>0</x:v>
      </x:c>
    </x:row>
    <x:row r="34">
      <x:c r="A34" s="13" t="str">
        <x:v>ACT-029</x:v>
      </x:c>
      <x:c r="B34" s="13" t="str">
        <x:v>Data control</x:v>
      </x:c>
      <x:c r="C34" s="13" t="str">
        <x:v>PR-10</x:v>
      </x:c>
      <x:c r="D34" s="13" t="str">
        <x:v>Data quality</x:v>
      </x:c>
      <x:c r="E34" s="13" t="str">
        <x:v>Resolve duplicate activity records</x:v>
      </x:c>
      <x:c r="F34" s="13" t="str">
        <x:v>Data Owner</x:v>
      </x:c>
      <x:c r="G34" s="14" t="d">
        <x:v>2026-12-22T00:00:00.000Z</x:v>
      </x:c>
      <x:c r="H34" s="14" t="d">
        <x:v>2026-12-25T00:00:00.000Z</x:v>
      </x:c>
      <x:c r="I34" s="13" t="str"/>
      <x:c r="J34" s="13" t="str">
        <x:v>High</x:v>
      </x:c>
      <x:c r="K34" s="13" t="str">
        <x:v>Not Started</x:v>
      </x:c>
      <x:c r="L34" s="15" t="n">
        <x:v>0</x:v>
      </x:c>
      <x:c r="M34" s="16" t="n">
        <x:v>3</x:v>
      </x:c>
      <x:c r="N34" s="12" t="str">
        <x:f>IF(A34="","",IF(I34="","No dependency",IF(COUNTIF($A$6:$A$65,I34)=0,"Missing ID",IF(COUNTIFS($A$6:$A$65,I34,$K$6:$K$65,"Complete")&gt;0,"Cleared","Waiting"))))</x:f>
        <x:v>No dependency</x:v>
      </x:c>
      <x:c r="O34" s="12" t="str">
        <x:f>IF(A34="","",IF(K34="Complete","Complete",IF(K34="Blocked","Blocked",IF(N34="Missing ID","Fix dependency",IF(N34="Waiting","Waiting",IF(H34="","Missing due date",IF(H34&lt;TODAY(),"Overdue",IF(H34&lt;=TODAY()+7,"Due in 7 days","On track"))))))))</x:f>
        <x:v>On track</x:v>
      </x:c>
      <x:c r="P34" s="12" t="n">
        <x:f>IF(A34="","",L34*M34)</x:f>
        <x:v>0</x:v>
      </x:c>
    </x:row>
    <x:row r="35">
      <x:c r="A35" s="13" t="str">
        <x:v>ACT-030</x:v>
      </x:c>
      <x:c r="B35" s="13" t="str">
        <x:v>Data control</x:v>
      </x:c>
      <x:c r="C35" s="13" t="str">
        <x:v>PR-10</x:v>
      </x:c>
      <x:c r="D35" s="13" t="str">
        <x:v>Data quality</x:v>
      </x:c>
      <x:c r="E35" s="13" t="str">
        <x:v>Approve dataset for reporting</x:v>
      </x:c>
      <x:c r="F35" s="13" t="str">
        <x:v>Project Manager</x:v>
      </x:c>
      <x:c r="G35" s="14" t="d">
        <x:v>2026-12-25T00:00:00.000Z</x:v>
      </x:c>
      <x:c r="H35" s="14" t="d">
        <x:v>2026-12-27T00:00:00.000Z</x:v>
      </x:c>
      <x:c r="I35" s="13" t="str">
        <x:v>ACT-029</x:v>
      </x:c>
      <x:c r="J35" s="13" t="str">
        <x:v>High</x:v>
      </x:c>
      <x:c r="K35" s="13" t="str">
        <x:v>Not Started</x:v>
      </x:c>
      <x:c r="L35" s="15" t="n">
        <x:v>0</x:v>
      </x:c>
      <x:c r="M35" s="16" t="n">
        <x:v>2</x:v>
      </x:c>
      <x:c r="N35" s="12" t="str">
        <x:f>IF(A35="","",IF(I35="","No dependency",IF(COUNTIF($A$6:$A$65,I35)=0,"Missing ID",IF(COUNTIFS($A$6:$A$65,I35,$K$6:$K$65,"Complete")&gt;0,"Cleared","Waiting"))))</x:f>
        <x:v>Waiting</x:v>
      </x:c>
      <x:c r="O35" s="12" t="str">
        <x:f>IF(A35="","",IF(K35="Complete","Complete",IF(K35="Blocked","Blocked",IF(N35="Missing ID","Fix dependency",IF(N35="Waiting","Waiting",IF(H35="","Missing due date",IF(H35&lt;TODAY(),"Overdue",IF(H35&lt;=TODAY()+7,"Due in 7 days","On track"))))))))</x:f>
        <x:v>Waiting</x:v>
      </x:c>
      <x:c r="P35" s="12" t="n">
        <x:f>IF(A35="","",L35*M35)</x:f>
        <x:v>0</x:v>
      </x:c>
    </x:row>
    <x:row r="36">
      <x:c r="A36" s="13" t="str">
        <x:v>ACT-031</x:v>
      </x:c>
      <x:c r="B36" s="13" t="str">
        <x:v>Finance control</x:v>
      </x:c>
      <x:c r="C36" s="13" t="str">
        <x:v>PR-11</x:v>
      </x:c>
      <x:c r="D36" s="13" t="str">
        <x:v>Finance</x:v>
      </x:c>
      <x:c r="E36" s="13" t="str">
        <x:v>Match invoices to activity and budget lines</x:v>
      </x:c>
      <x:c r="F36" s="13" t="str">
        <x:v>Finance Contact</x:v>
      </x:c>
      <x:c r="G36" s="14" t="d">
        <x:v>2026-12-24T00:00:00.000Z</x:v>
      </x:c>
      <x:c r="H36" s="14" t="d">
        <x:v>2026-12-29T00:00:00.000Z</x:v>
      </x:c>
      <x:c r="I36" s="13" t="str">
        <x:v>ACT-030</x:v>
      </x:c>
      <x:c r="J36" s="13" t="str">
        <x:v>High</x:v>
      </x:c>
      <x:c r="K36" s="13" t="str">
        <x:v>Not Started</x:v>
      </x:c>
      <x:c r="L36" s="15" t="n">
        <x:v>0</x:v>
      </x:c>
      <x:c r="M36" s="16" t="n">
        <x:v>5</x:v>
      </x:c>
      <x:c r="N36" s="12" t="str">
        <x:f>IF(A36="","",IF(I36="","No dependency",IF(COUNTIF($A$6:$A$65,I36)=0,"Missing ID",IF(COUNTIFS($A$6:$A$65,I36,$K$6:$K$65,"Complete")&gt;0,"Cleared","Waiting"))))</x:f>
        <x:v>Waiting</x:v>
      </x:c>
      <x:c r="O36" s="12" t="str">
        <x:f>IF(A36="","",IF(K36="Complete","Complete",IF(K36="Blocked","Blocked",IF(N36="Missing ID","Fix dependency",IF(N36="Waiting","Waiting",IF(H36="","Missing due date",IF(H36&lt;TODAY(),"Overdue",IF(H36&lt;=TODAY()+7,"Due in 7 days","On track"))))))))</x:f>
        <x:v>Waiting</x:v>
      </x:c>
      <x:c r="P36" s="12" t="n">
        <x:f>IF(A36="","",L36*M36)</x:f>
        <x:v>0</x:v>
      </x:c>
    </x:row>
    <x:row r="37">
      <x:c r="A37" s="13" t="str">
        <x:v>ACT-032</x:v>
      </x:c>
      <x:c r="B37" s="13" t="str">
        <x:v>Finance control</x:v>
      </x:c>
      <x:c r="C37" s="13" t="str">
        <x:v>PR-11</x:v>
      </x:c>
      <x:c r="D37" s="13" t="str">
        <x:v>Finance</x:v>
      </x:c>
      <x:c r="E37" s="13" t="str">
        <x:v>Check duplicate invoice references</x:v>
      </x:c>
      <x:c r="F37" s="13" t="str">
        <x:v>Finance Contact</x:v>
      </x:c>
      <x:c r="G37" s="14" t="d">
        <x:v>2026-12-28T00:00:00.000Z</x:v>
      </x:c>
      <x:c r="H37" s="14" t="d">
        <x:v>2026-12-31T00:00:00.000Z</x:v>
      </x:c>
      <x:c r="I37" s="13" t="str">
        <x:v>ACT-031</x:v>
      </x:c>
      <x:c r="J37" s="13" t="str">
        <x:v>High</x:v>
      </x:c>
      <x:c r="K37" s="13" t="str">
        <x:v>Not Started</x:v>
      </x:c>
      <x:c r="L37" s="15" t="n">
        <x:v>0</x:v>
      </x:c>
      <x:c r="M37" s="16" t="n">
        <x:v>3</x:v>
      </x:c>
      <x:c r="N37" s="12" t="str">
        <x:f>IF(A37="","",IF(I37="","No dependency",IF(COUNTIF($A$6:$A$65,I37)=0,"Missing ID",IF(COUNTIFS($A$6:$A$65,I37,$K$6:$K$65,"Complete")&gt;0,"Cleared","Waiting"))))</x:f>
        <x:v>Waiting</x:v>
      </x:c>
      <x:c r="O37" s="12" t="str">
        <x:f>IF(A37="","",IF(K37="Complete","Complete",IF(K37="Blocked","Blocked",IF(N37="Missing ID","Fix dependency",IF(N37="Waiting","Waiting",IF(H37="","Missing due date",IF(H37&lt;TODAY(),"Overdue",IF(H37&lt;=TODAY()+7,"Due in 7 days","On track"))))))))</x:f>
        <x:v>Waiting</x:v>
      </x:c>
      <x:c r="P37" s="12" t="n">
        <x:f>IF(A37="","",L37*M37)</x:f>
        <x:v>0</x:v>
      </x:c>
    </x:row>
    <x:row r="38">
      <x:c r="A38" s="13" t="str">
        <x:v>ACT-033</x:v>
      </x:c>
      <x:c r="B38" s="13" t="str">
        <x:v>Finance control</x:v>
      </x:c>
      <x:c r="C38" s="13" t="str">
        <x:v>PR-11</x:v>
      </x:c>
      <x:c r="D38" s="13" t="str">
        <x:v>Finance</x:v>
      </x:c>
      <x:c r="E38" s="13" t="str">
        <x:v>Resolve unmatched cost records</x:v>
      </x:c>
      <x:c r="F38" s="13" t="str">
        <x:v>Project Manager</x:v>
      </x:c>
      <x:c r="G38" s="14" t="d">
        <x:v>2026-12-30T00:00:00.000Z</x:v>
      </x:c>
      <x:c r="H38" s="14" t="d">
        <x:v>2027-01-02T00:00:00.000Z</x:v>
      </x:c>
      <x:c r="I38" s="13" t="str"/>
      <x:c r="J38" s="13" t="str">
        <x:v>Medium</x:v>
      </x:c>
      <x:c r="K38" s="13" t="str">
        <x:v>Not Started</x:v>
      </x:c>
      <x:c r="L38" s="15" t="n">
        <x:v>0</x:v>
      </x:c>
      <x:c r="M38" s="16" t="n">
        <x:v>3</x:v>
      </x:c>
      <x:c r="N38" s="12" t="str">
        <x:f>IF(A38="","",IF(I38="","No dependency",IF(COUNTIF($A$6:$A$65,I38)=0,"Missing ID",IF(COUNTIFS($A$6:$A$65,I38,$K$6:$K$65,"Complete")&gt;0,"Cleared","Waiting"))))</x:f>
        <x:v>No dependency</x:v>
      </x:c>
      <x:c r="O38" s="12" t="str">
        <x:f>IF(A38="","",IF(K38="Complete","Complete",IF(K38="Blocked","Blocked",IF(N38="Missing ID","Fix dependency",IF(N38="Waiting","Waiting",IF(H38="","Missing due date",IF(H38&lt;TODAY(),"Overdue",IF(H38&lt;=TODAY()+7,"Due in 7 days","On track"))))))))</x:f>
        <x:v>On track</x:v>
      </x:c>
      <x:c r="P38" s="12" t="n">
        <x:f>IF(A38="","",L38*M38)</x:f>
        <x:v>0</x:v>
      </x:c>
    </x:row>
    <x:row r="39">
      <x:c r="A39" s="13" t="str">
        <x:v>ACT-034</x:v>
      </x:c>
      <x:c r="B39" s="13" t="str">
        <x:v>Finance control</x:v>
      </x:c>
      <x:c r="C39" s="13" t="str">
        <x:v>PR-11</x:v>
      </x:c>
      <x:c r="D39" s="13" t="str">
        <x:v>Finance</x:v>
      </x:c>
      <x:c r="E39" s="13" t="str">
        <x:v>Reconcile monthly actuals to ledger source</x:v>
      </x:c>
      <x:c r="F39" s="13" t="str">
        <x:v>Finance Contact</x:v>
      </x:c>
      <x:c r="G39" s="14" t="d">
        <x:v>2026-12-31T00:00:00.000Z</x:v>
      </x:c>
      <x:c r="H39" s="14" t="d">
        <x:v>2027-01-04T00:00:00.000Z</x:v>
      </x:c>
      <x:c r="I39" s="13" t="str">
        <x:v>ACT-033</x:v>
      </x:c>
      <x:c r="J39" s="13" t="str">
        <x:v>High</x:v>
      </x:c>
      <x:c r="K39" s="13" t="str">
        <x:v>Not Started</x:v>
      </x:c>
      <x:c r="L39" s="15" t="n">
        <x:v>0</x:v>
      </x:c>
      <x:c r="M39" s="16" t="n">
        <x:v>4</x:v>
      </x:c>
      <x:c r="N39" s="12" t="str">
        <x:f>IF(A39="","",IF(I39="","No dependency",IF(COUNTIF($A$6:$A$65,I39)=0,"Missing ID",IF(COUNTIFS($A$6:$A$65,I39,$K$6:$K$65,"Complete")&gt;0,"Cleared","Waiting"))))</x:f>
        <x:v>Waiting</x:v>
      </x:c>
      <x:c r="O39" s="12" t="str">
        <x:f>IF(A39="","",IF(K39="Complete","Complete",IF(K39="Blocked","Blocked",IF(N39="Missing ID","Fix dependency",IF(N39="Waiting","Waiting",IF(H39="","Missing due date",IF(H39&lt;TODAY(),"Overdue",IF(H39&lt;=TODAY()+7,"Due in 7 days","On track"))))))))</x:f>
        <x:v>Waiting</x:v>
      </x:c>
      <x:c r="P39" s="12" t="n">
        <x:f>IF(A39="","",L39*M39)</x:f>
        <x:v>0</x:v>
      </x:c>
    </x:row>
    <x:row r="40">
      <x:c r="A40" s="13" t="str">
        <x:v>ACT-035</x:v>
      </x:c>
      <x:c r="B40" s="13" t="str">
        <x:v>Monitoring</x:v>
      </x:c>
      <x:c r="C40" s="13" t="str">
        <x:v>PR-12</x:v>
      </x:c>
      <x:c r="D40" s="13" t="str">
        <x:v>Performance</x:v>
      </x:c>
      <x:c r="E40" s="13" t="str">
        <x:v>Calculate completed, late and blocked work</x:v>
      </x:c>
      <x:c r="F40" s="13" t="str">
        <x:v>Project Manager</x:v>
      </x:c>
      <x:c r="G40" s="14" t="d">
        <x:v>2027-01-03T00:00:00.000Z</x:v>
      </x:c>
      <x:c r="H40" s="14" t="d">
        <x:v>2027-01-06T00:00:00.000Z</x:v>
      </x:c>
      <x:c r="I40" s="13" t="str">
        <x:v>ACT-034</x:v>
      </x:c>
      <x:c r="J40" s="13" t="str">
        <x:v>High</x:v>
      </x:c>
      <x:c r="K40" s="13" t="str">
        <x:v>Not Started</x:v>
      </x:c>
      <x:c r="L40" s="15" t="n">
        <x:v>0</x:v>
      </x:c>
      <x:c r="M40" s="16" t="n">
        <x:v>3</x:v>
      </x:c>
      <x:c r="N40" s="12" t="str">
        <x:f>IF(A40="","",IF(I40="","No dependency",IF(COUNTIF($A$6:$A$65,I40)=0,"Missing ID",IF(COUNTIFS($A$6:$A$65,I40,$K$6:$K$65,"Complete")&gt;0,"Cleared","Waiting"))))</x:f>
        <x:v>Waiting</x:v>
      </x:c>
      <x:c r="O40" s="12" t="str">
        <x:f>IF(A40="","",IF(K40="Complete","Complete",IF(K40="Blocked","Blocked",IF(N40="Missing ID","Fix dependency",IF(N40="Waiting","Waiting",IF(H40="","Missing due date",IF(H40&lt;TODAY(),"Overdue",IF(H40&lt;=TODAY()+7,"Due in 7 days","On track"))))))))</x:f>
        <x:v>Waiting</x:v>
      </x:c>
      <x:c r="P40" s="12" t="n">
        <x:f>IF(A40="","",L40*M40)</x:f>
        <x:v>0</x:v>
      </x:c>
    </x:row>
    <x:row r="41">
      <x:c r="A41" s="13" t="str">
        <x:v>ACT-036</x:v>
      </x:c>
      <x:c r="B41" s="13" t="str">
        <x:v>Monitoring</x:v>
      </x:c>
      <x:c r="C41" s="13" t="str">
        <x:v>PR-12</x:v>
      </x:c>
      <x:c r="D41" s="13" t="str">
        <x:v>Performance</x:v>
      </x:c>
      <x:c r="E41" s="13" t="str">
        <x:v>Review forecast versus approved budget</x:v>
      </x:c>
      <x:c r="F41" s="13" t="str">
        <x:v>Finance Contact</x:v>
      </x:c>
      <x:c r="G41" s="14" t="d">
        <x:v>2027-01-04T00:00:00.000Z</x:v>
      </x:c>
      <x:c r="H41" s="14" t="d">
        <x:v>2027-01-08T00:00:00.000Z</x:v>
      </x:c>
      <x:c r="I41" s="13" t="str">
        <x:v>ACT-035</x:v>
      </x:c>
      <x:c r="J41" s="13" t="str">
        <x:v>High</x:v>
      </x:c>
      <x:c r="K41" s="13" t="str">
        <x:v>Not Started</x:v>
      </x:c>
      <x:c r="L41" s="15" t="n">
        <x:v>0</x:v>
      </x:c>
      <x:c r="M41" s="16" t="n">
        <x:v>4</x:v>
      </x:c>
      <x:c r="N41" s="12" t="str">
        <x:f>IF(A41="","",IF(I41="","No dependency",IF(COUNTIF($A$6:$A$65,I41)=0,"Missing ID",IF(COUNTIFS($A$6:$A$65,I41,$K$6:$K$65,"Complete")&gt;0,"Cleared","Waiting"))))</x:f>
        <x:v>Waiting</x:v>
      </x:c>
      <x:c r="O41" s="12" t="str">
        <x:f>IF(A41="","",IF(K41="Complete","Complete",IF(K41="Blocked","Blocked",IF(N41="Missing ID","Fix dependency",IF(N41="Waiting","Waiting",IF(H41="","Missing due date",IF(H41&lt;TODAY(),"Overdue",IF(H41&lt;=TODAY()+7,"Due in 7 days","On track"))))))))</x:f>
        <x:v>Waiting</x:v>
      </x:c>
      <x:c r="P41" s="12" t="n">
        <x:f>IF(A41="","",L41*M41)</x:f>
        <x:v>0</x:v>
      </x:c>
    </x:row>
    <x:row r="42">
      <x:c r="A42" s="13" t="str">
        <x:v>ACT-037</x:v>
      </x:c>
      <x:c r="B42" s="13" t="str">
        <x:v>Monitoring</x:v>
      </x:c>
      <x:c r="C42" s="13" t="str">
        <x:v>PR-12</x:v>
      </x:c>
      <x:c r="D42" s="13" t="str">
        <x:v>Performance</x:v>
      </x:c>
      <x:c r="E42" s="13" t="str">
        <x:v>Assign actions to material variances</x:v>
      </x:c>
      <x:c r="F42" s="13" t="str">
        <x:v>Programme Lead</x:v>
      </x:c>
      <x:c r="G42" s="14" t="d">
        <x:v>2027-01-07T00:00:00.000Z</x:v>
      </x:c>
      <x:c r="H42" s="14" t="d">
        <x:v>2027-01-10T00:00:00.000Z</x:v>
      </x:c>
      <x:c r="I42" s="13" t="str"/>
      <x:c r="J42" s="13" t="str">
        <x:v>High</x:v>
      </x:c>
      <x:c r="K42" s="13" t="str">
        <x:v>Not Started</x:v>
      </x:c>
      <x:c r="L42" s="15" t="n">
        <x:v>0</x:v>
      </x:c>
      <x:c r="M42" s="16" t="n">
        <x:v>3</x:v>
      </x:c>
      <x:c r="N42" s="12" t="str">
        <x:f>IF(A42="","",IF(I42="","No dependency",IF(COUNTIF($A$6:$A$65,I42)=0,"Missing ID",IF(COUNTIFS($A$6:$A$65,I42,$K$6:$K$65,"Complete")&gt;0,"Cleared","Waiting"))))</x:f>
        <x:v>No dependency</x:v>
      </x:c>
      <x:c r="O42" s="12" t="str">
        <x:f>IF(A42="","",IF(K42="Complete","Complete",IF(K42="Blocked","Blocked",IF(N42="Missing ID","Fix dependency",IF(N42="Waiting","Waiting",IF(H42="","Missing due date",IF(H42&lt;TODAY(),"Overdue",IF(H42&lt;=TODAY()+7,"Due in 7 days","On track"))))))))</x:f>
        <x:v>On track</x:v>
      </x:c>
      <x:c r="P42" s="12" t="n">
        <x:f>IF(A42="","",L42*M42)</x:f>
        <x:v>0</x:v>
      </x:c>
    </x:row>
    <x:row r="43">
      <x:c r="A43" s="13" t="str">
        <x:v>ACT-038</x:v>
      </x:c>
      <x:c r="B43" s="13" t="str">
        <x:v>Monitoring</x:v>
      </x:c>
      <x:c r="C43" s="13" t="str">
        <x:v>PR-12</x:v>
      </x:c>
      <x:c r="D43" s="13" t="str">
        <x:v>Performance</x:v>
      </x:c>
      <x:c r="E43" s="13" t="str">
        <x:v>Review outcome evidence and data quality</x:v>
      </x:c>
      <x:c r="F43" s="13" t="str">
        <x:v>Data Owner</x:v>
      </x:c>
      <x:c r="G43" s="14" t="d">
        <x:v>2027-01-09T00:00:00.000Z</x:v>
      </x:c>
      <x:c r="H43" s="14" t="d">
        <x:v>2027-01-12T00:00:00.000Z</x:v>
      </x:c>
      <x:c r="I43" s="13" t="str">
        <x:v>ACT-037</x:v>
      </x:c>
      <x:c r="J43" s="13" t="str">
        <x:v>Medium</x:v>
      </x:c>
      <x:c r="K43" s="13" t="str">
        <x:v>Not Started</x:v>
      </x:c>
      <x:c r="L43" s="15" t="n">
        <x:v>0</x:v>
      </x:c>
      <x:c r="M43" s="16" t="n">
        <x:v>3</x:v>
      </x:c>
      <x:c r="N43" s="12" t="str">
        <x:f>IF(A43="","",IF(I43="","No dependency",IF(COUNTIF($A$6:$A$65,I43)=0,"Missing ID",IF(COUNTIFS($A$6:$A$65,I43,$K$6:$K$65,"Complete")&gt;0,"Cleared","Waiting"))))</x:f>
        <x:v>Waiting</x:v>
      </x:c>
      <x:c r="O43" s="12" t="str">
        <x:f>IF(A43="","",IF(K43="Complete","Complete",IF(K43="Blocked","Blocked",IF(N43="Missing ID","Fix dependency",IF(N43="Waiting","Waiting",IF(H43="","Missing due date",IF(H43&lt;TODAY(),"Overdue",IF(H43&lt;=TODAY()+7,"Due in 7 days","On track"))))))))</x:f>
        <x:v>Waiting</x:v>
      </x:c>
      <x:c r="P43" s="12" t="n">
        <x:f>IF(A43="","",L43*M43)</x:f>
        <x:v>0</x:v>
      </x:c>
    </x:row>
    <x:row r="44">
      <x:c r="A44" s="13" t="str">
        <x:v>ACT-039</x:v>
      </x:c>
      <x:c r="B44" s="13" t="str">
        <x:v>Reporting</x:v>
      </x:c>
      <x:c r="C44" s="13" t="str">
        <x:v>PR-13</x:v>
      </x:c>
      <x:c r="D44" s="13" t="str">
        <x:v>Reporting</x:v>
      </x:c>
      <x:c r="E44" s="13" t="str">
        <x:v>Draft monthly progress report</x:v>
      </x:c>
      <x:c r="F44" s="13" t="str">
        <x:v>Project Manager</x:v>
      </x:c>
      <x:c r="G44" s="14" t="d">
        <x:v>2027-01-10T00:00:00.000Z</x:v>
      </x:c>
      <x:c r="H44" s="14" t="d">
        <x:v>2027-01-14T00:00:00.000Z</x:v>
      </x:c>
      <x:c r="I44" s="13" t="str">
        <x:v>ACT-038</x:v>
      </x:c>
      <x:c r="J44" s="13" t="str">
        <x:v>High</x:v>
      </x:c>
      <x:c r="K44" s="13" t="str">
        <x:v>Not Started</x:v>
      </x:c>
      <x:c r="L44" s="15" t="n">
        <x:v>0</x:v>
      </x:c>
      <x:c r="M44" s="16" t="n">
        <x:v>4</x:v>
      </x:c>
      <x:c r="N44" s="12" t="str">
        <x:f>IF(A44="","",IF(I44="","No dependency",IF(COUNTIF($A$6:$A$65,I44)=0,"Missing ID",IF(COUNTIFS($A$6:$A$65,I44,$K$6:$K$65,"Complete")&gt;0,"Cleared","Waiting"))))</x:f>
        <x:v>Waiting</x:v>
      </x:c>
      <x:c r="O44" s="12" t="str">
        <x:f>IF(A44="","",IF(K44="Complete","Complete",IF(K44="Blocked","Blocked",IF(N44="Missing ID","Fix dependency",IF(N44="Waiting","Waiting",IF(H44="","Missing due date",IF(H44&lt;TODAY(),"Overdue",IF(H44&lt;=TODAY()+7,"Due in 7 days","On track"))))))))</x:f>
        <x:v>Waiting</x:v>
      </x:c>
      <x:c r="P44" s="12" t="n">
        <x:f>IF(A44="","",L44*M44)</x:f>
        <x:v>0</x:v>
      </x:c>
    </x:row>
    <x:row r="45">
      <x:c r="A45" s="13" t="str">
        <x:v>ACT-040</x:v>
      </x:c>
      <x:c r="B45" s="13" t="str">
        <x:v>Reporting</x:v>
      </x:c>
      <x:c r="C45" s="13" t="str">
        <x:v>PR-13</x:v>
      </x:c>
      <x:c r="D45" s="13" t="str">
        <x:v>Reporting</x:v>
      </x:c>
      <x:c r="E45" s="13" t="str">
        <x:v>Check report figures to source records</x:v>
      </x:c>
      <x:c r="F45" s="13" t="str">
        <x:v>Data Owner</x:v>
      </x:c>
      <x:c r="G45" s="14" t="d">
        <x:v>2027-01-13T00:00:00.000Z</x:v>
      </x:c>
      <x:c r="H45" s="14" t="d">
        <x:v>2027-01-16T00:00:00.000Z</x:v>
      </x:c>
      <x:c r="I45" s="13" t="str">
        <x:v>ACT-039</x:v>
      </x:c>
      <x:c r="J45" s="13" t="str">
        <x:v>High</x:v>
      </x:c>
      <x:c r="K45" s="13" t="str">
        <x:v>Not Started</x:v>
      </x:c>
      <x:c r="L45" s="15" t="n">
        <x:v>0</x:v>
      </x:c>
      <x:c r="M45" s="16" t="n">
        <x:v>3</x:v>
      </x:c>
      <x:c r="N45" s="12" t="str">
        <x:f>IF(A45="","",IF(I45="","No dependency",IF(COUNTIF($A$6:$A$65,I45)=0,"Missing ID",IF(COUNTIFS($A$6:$A$65,I45,$K$6:$K$65,"Complete")&gt;0,"Cleared","Waiting"))))</x:f>
        <x:v>Waiting</x:v>
      </x:c>
      <x:c r="O45" s="12" t="str">
        <x:f>IF(A45="","",IF(K45="Complete","Complete",IF(K45="Blocked","Blocked",IF(N45="Missing ID","Fix dependency",IF(N45="Waiting","Waiting",IF(H45="","Missing due date",IF(H45&lt;TODAY(),"Overdue",IF(H45&lt;=TODAY()+7,"Due in 7 days","On track"))))))))</x:f>
        <x:v>Waiting</x:v>
      </x:c>
      <x:c r="P45" s="12" t="n">
        <x:f>IF(A45="","",L45*M45)</x:f>
        <x:v>0</x:v>
      </x:c>
    </x:row>
    <x:row r="46">
      <x:c r="A46" s="13" t="str">
        <x:v>ACT-041</x:v>
      </x:c>
      <x:c r="B46" s="13" t="str">
        <x:v>Reporting</x:v>
      </x:c>
      <x:c r="C46" s="13" t="str">
        <x:v>PR-13</x:v>
      </x:c>
      <x:c r="D46" s="13" t="str">
        <x:v>Proposal</x:v>
      </x:c>
      <x:c r="E46" s="13" t="str">
        <x:v>Prepare evidence for next proposal cycle</x:v>
      </x:c>
      <x:c r="F46" s="13" t="str">
        <x:v>Project Manager</x:v>
      </x:c>
      <x:c r="G46" s="14" t="d">
        <x:v>2027-01-15T00:00:00.000Z</x:v>
      </x:c>
      <x:c r="H46" s="14" t="d">
        <x:v>2027-01-18T00:00:00.000Z</x:v>
      </x:c>
      <x:c r="I46" s="13" t="str"/>
      <x:c r="J46" s="13" t="str">
        <x:v>Medium</x:v>
      </x:c>
      <x:c r="K46" s="13" t="str">
        <x:v>Not Started</x:v>
      </x:c>
      <x:c r="L46" s="15" t="n">
        <x:v>0</x:v>
      </x:c>
      <x:c r="M46" s="16" t="n">
        <x:v>3</x:v>
      </x:c>
      <x:c r="N46" s="12" t="str">
        <x:f>IF(A46="","",IF(I46="","No dependency",IF(COUNTIF($A$6:$A$65,I46)=0,"Missing ID",IF(COUNTIFS($A$6:$A$65,I46,$K$6:$K$65,"Complete")&gt;0,"Cleared","Waiting"))))</x:f>
        <x:v>No dependency</x:v>
      </x:c>
      <x:c r="O46" s="12" t="str">
        <x:f>IF(A46="","",IF(K46="Complete","Complete",IF(K46="Blocked","Blocked",IF(N46="Missing ID","Fix dependency",IF(N46="Waiting","Waiting",IF(H46="","Missing due date",IF(H46&lt;TODAY(),"Overdue",IF(H46&lt;=TODAY()+7,"Due in 7 days","On track"))))))))</x:f>
        <x:v>On track</x:v>
      </x:c>
      <x:c r="P46" s="12" t="n">
        <x:f>IF(A46="","",L46*M46)</x:f>
        <x:v>0</x:v>
      </x:c>
    </x:row>
    <x:row r="47">
      <x:c r="A47" s="13" t="str">
        <x:v>ACT-042</x:v>
      </x:c>
      <x:c r="B47" s="13" t="str">
        <x:v>Reporting</x:v>
      </x:c>
      <x:c r="C47" s="13" t="str">
        <x:v>PR-13</x:v>
      </x:c>
      <x:c r="D47" s="13" t="str">
        <x:v>Reporting</x:v>
      </x:c>
      <x:c r="E47" s="13" t="str">
        <x:v>Obtain report approval and publish</x:v>
      </x:c>
      <x:c r="F47" s="13" t="str">
        <x:v>Programme Lead</x:v>
      </x:c>
      <x:c r="G47" s="14" t="d">
        <x:v>2027-01-18T00:00:00.000Z</x:v>
      </x:c>
      <x:c r="H47" s="14" t="d">
        <x:v>2027-01-20T00:00:00.000Z</x:v>
      </x:c>
      <x:c r="I47" s="13" t="str">
        <x:v>ACT-041</x:v>
      </x:c>
      <x:c r="J47" s="13" t="str">
        <x:v>High</x:v>
      </x:c>
      <x:c r="K47" s="13" t="str">
        <x:v>Not Started</x:v>
      </x:c>
      <x:c r="L47" s="15" t="n">
        <x:v>0</x:v>
      </x:c>
      <x:c r="M47" s="16" t="n">
        <x:v>2</x:v>
      </x:c>
      <x:c r="N47" s="12" t="str">
        <x:f>IF(A47="","",IF(I47="","No dependency",IF(COUNTIF($A$6:$A$65,I47)=0,"Missing ID",IF(COUNTIFS($A$6:$A$65,I47,$K$6:$K$65,"Complete")&gt;0,"Cleared","Waiting"))))</x:f>
        <x:v>Waiting</x:v>
      </x:c>
      <x:c r="O47" s="12" t="str">
        <x:f>IF(A47="","",IF(K47="Complete","Complete",IF(K47="Blocked","Blocked",IF(N47="Missing ID","Fix dependency",IF(N47="Waiting","Waiting",IF(H47="","Missing due date",IF(H47&lt;TODAY(),"Overdue",IF(H47&lt;=TODAY()+7,"Due in 7 days","On track"))))))))</x:f>
        <x:v>Waiting</x:v>
      </x:c>
      <x:c r="P47" s="12" t="n">
        <x:f>IF(A47="","",L47*M47)</x:f>
        <x:v>0</x:v>
      </x:c>
    </x:row>
    <x:row r="48">
      <x:c r="A48" s="13" t="str">
        <x:v>ACT-043</x:v>
      </x:c>
      <x:c r="B48" s="13" t="str">
        <x:v>Close-out</x:v>
      </x:c>
      <x:c r="C48" s="13" t="str">
        <x:v>PR-14</x:v>
      </x:c>
      <x:c r="D48" s="13" t="str">
        <x:v>Close-out</x:v>
      </x:c>
      <x:c r="E48" s="13" t="str">
        <x:v>Confirm deliverables and open items</x:v>
      </x:c>
      <x:c r="F48" s="13" t="str">
        <x:v>Project Manager</x:v>
      </x:c>
      <x:c r="G48" s="14" t="d">
        <x:v>2027-01-19T00:00:00.000Z</x:v>
      </x:c>
      <x:c r="H48" s="14" t="d">
        <x:v>2027-01-22T00:00:00.000Z</x:v>
      </x:c>
      <x:c r="I48" s="13" t="str">
        <x:v>ACT-042</x:v>
      </x:c>
      <x:c r="J48" s="13" t="str">
        <x:v>High</x:v>
      </x:c>
      <x:c r="K48" s="13" t="str">
        <x:v>Not Started</x:v>
      </x:c>
      <x:c r="L48" s="15" t="n">
        <x:v>0</x:v>
      </x:c>
      <x:c r="M48" s="16" t="n">
        <x:v>3</x:v>
      </x:c>
      <x:c r="N48" s="12" t="str">
        <x:f>IF(A48="","",IF(I48="","No dependency",IF(COUNTIF($A$6:$A$65,I48)=0,"Missing ID",IF(COUNTIFS($A$6:$A$65,I48,$K$6:$K$65,"Complete")&gt;0,"Cleared","Waiting"))))</x:f>
        <x:v>Waiting</x:v>
      </x:c>
      <x:c r="O48" s="12" t="str">
        <x:f>IF(A48="","",IF(K48="Complete","Complete",IF(K48="Blocked","Blocked",IF(N48="Missing ID","Fix dependency",IF(N48="Waiting","Waiting",IF(H48="","Missing due date",IF(H48&lt;TODAY(),"Overdue",IF(H48&lt;=TODAY()+7,"Due in 7 days","On track"))))))))</x:f>
        <x:v>Waiting</x:v>
      </x:c>
      <x:c r="P48" s="12" t="n">
        <x:f>IF(A48="","",L48*M48)</x:f>
        <x:v>0</x:v>
      </x:c>
    </x:row>
    <x:row r="49">
      <x:c r="A49" s="13" t="str">
        <x:v>ACT-044</x:v>
      </x:c>
      <x:c r="B49" s="13" t="str">
        <x:v>Close-out</x:v>
      </x:c>
      <x:c r="C49" s="13" t="str">
        <x:v>PR-14</x:v>
      </x:c>
      <x:c r="D49" s="13" t="str">
        <x:v>Handover</x:v>
      </x:c>
      <x:c r="E49" s="13" t="str">
        <x:v>Transfer unresolved actions to named owners</x:v>
      </x:c>
      <x:c r="F49" s="13" t="str">
        <x:v>Project Manager</x:v>
      </x:c>
      <x:c r="G49" s="14" t="d">
        <x:v>2027-01-21T00:00:00.000Z</x:v>
      </x:c>
      <x:c r="H49" s="14" t="d">
        <x:v>2027-01-24T00:00:00.000Z</x:v>
      </x:c>
      <x:c r="I49" s="13" t="str">
        <x:v>ACT-043</x:v>
      </x:c>
      <x:c r="J49" s="13" t="str">
        <x:v>High</x:v>
      </x:c>
      <x:c r="K49" s="13" t="str">
        <x:v>Not Started</x:v>
      </x:c>
      <x:c r="L49" s="15" t="n">
        <x:v>0</x:v>
      </x:c>
      <x:c r="M49" s="16" t="n">
        <x:v>3</x:v>
      </x:c>
      <x:c r="N49" s="12" t="str">
        <x:f>IF(A49="","",IF(I49="","No dependency",IF(COUNTIF($A$6:$A$65,I49)=0,"Missing ID",IF(COUNTIFS($A$6:$A$65,I49,$K$6:$K$65,"Complete")&gt;0,"Cleared","Waiting"))))</x:f>
        <x:v>Waiting</x:v>
      </x:c>
      <x:c r="O49" s="12" t="str">
        <x:f>IF(A49="","",IF(K49="Complete","Complete",IF(K49="Blocked","Blocked",IF(N49="Missing ID","Fix dependency",IF(N49="Waiting","Waiting",IF(H49="","Missing due date",IF(H49&lt;TODAY(),"Overdue",IF(H49&lt;=TODAY()+7,"Due in 7 days","On track"))))))))</x:f>
        <x:v>Waiting</x:v>
      </x:c>
      <x:c r="P49" s="12" t="n">
        <x:f>IF(A49="","",L49*M49)</x:f>
        <x:v>0</x:v>
      </x:c>
    </x:row>
    <x:row r="50">
      <x:c r="A50" s="13" t="str">
        <x:v>ACT-045</x:v>
      </x:c>
      <x:c r="B50" s="13" t="str">
        <x:v>Close-out</x:v>
      </x:c>
      <x:c r="C50" s="13" t="str">
        <x:v>PR-14</x:v>
      </x:c>
      <x:c r="D50" s="13" t="str">
        <x:v>Lessons</x:v>
      </x:c>
      <x:c r="E50" s="13" t="str">
        <x:v>Run lessons learned review</x:v>
      </x:c>
      <x:c r="F50" s="13" t="str">
        <x:v>Programme Lead</x:v>
      </x:c>
      <x:c r="G50" s="14" t="d">
        <x:v>2027-01-23T00:00:00.000Z</x:v>
      </x:c>
      <x:c r="H50" s="14" t="d">
        <x:v>2027-01-26T00:00:00.000Z</x:v>
      </x:c>
      <x:c r="I50" s="13" t="str"/>
      <x:c r="J50" s="13" t="str">
        <x:v>Medium</x:v>
      </x:c>
      <x:c r="K50" s="13" t="str">
        <x:v>Not Started</x:v>
      </x:c>
      <x:c r="L50" s="15" t="n">
        <x:v>0</x:v>
      </x:c>
      <x:c r="M50" s="16" t="n">
        <x:v>3</x:v>
      </x:c>
      <x:c r="N50" s="12" t="str">
        <x:f>IF(A50="","",IF(I50="","No dependency",IF(COUNTIF($A$6:$A$65,I50)=0,"Missing ID",IF(COUNTIFS($A$6:$A$65,I50,$K$6:$K$65,"Complete")&gt;0,"Cleared","Waiting"))))</x:f>
        <x:v>No dependency</x:v>
      </x:c>
      <x:c r="O50" s="12" t="str">
        <x:f>IF(A50="","",IF(K50="Complete","Complete",IF(K50="Blocked","Blocked",IF(N50="Missing ID","Fix dependency",IF(N50="Waiting","Waiting",IF(H50="","Missing due date",IF(H50&lt;TODAY(),"Overdue",IF(H50&lt;=TODAY()+7,"Due in 7 days","On track"))))))))</x:f>
        <x:v>On track</x:v>
      </x:c>
      <x:c r="P50" s="12" t="n">
        <x:f>IF(A50="","",L50*M50)</x:f>
        <x:v>0</x:v>
      </x:c>
    </x:row>
    <x:row r="51">
      <x:c r="A51" s="13" t="str">
        <x:v>ACT-046</x:v>
      </x:c>
      <x:c r="B51" s="13" t="str">
        <x:v>Close-out</x:v>
      </x:c>
      <x:c r="C51" s="13" t="str">
        <x:v>PR-14</x:v>
      </x:c>
      <x:c r="D51" s="13" t="str">
        <x:v>Close-out</x:v>
      </x:c>
      <x:c r="E51" s="13" t="str">
        <x:v>Approve closure and archive evidence</x:v>
      </x:c>
      <x:c r="F51" s="13" t="str">
        <x:v>Sponsor</x:v>
      </x:c>
      <x:c r="G51" s="14" t="d">
        <x:v>2027-01-26T00:00:00.000Z</x:v>
      </x:c>
      <x:c r="H51" s="14" t="d">
        <x:v>2027-01-28T00:00:00.000Z</x:v>
      </x:c>
      <x:c r="I51" s="13" t="str">
        <x:v>ACT-045</x:v>
      </x:c>
      <x:c r="J51" s="13" t="str">
        <x:v>High</x:v>
      </x:c>
      <x:c r="K51" s="13" t="str">
        <x:v>Not Started</x:v>
      </x:c>
      <x:c r="L51" s="15" t="n">
        <x:v>0</x:v>
      </x:c>
      <x:c r="M51" s="16" t="n">
        <x:v>2</x:v>
      </x:c>
      <x:c r="N51" s="12" t="str">
        <x:f>IF(A51="","",IF(I51="","No dependency",IF(COUNTIF($A$6:$A$65,I51)=0,"Missing ID",IF(COUNTIFS($A$6:$A$65,I51,$K$6:$K$65,"Complete")&gt;0,"Cleared","Waiting"))))</x:f>
        <x:v>Waiting</x:v>
      </x:c>
      <x:c r="O51" s="12" t="str">
        <x:f>IF(A51="","",IF(K51="Complete","Complete",IF(K51="Blocked","Blocked",IF(N51="Missing ID","Fix dependency",IF(N51="Waiting","Waiting",IF(H51="","Missing due date",IF(H51&lt;TODAY(),"Overdue",IF(H51&lt;=TODAY()+7,"Due in 7 days","On track"))))))))</x:f>
        <x:v>Waiting</x:v>
      </x:c>
      <x:c r="P51" s="12" t="n">
        <x:f>IF(A51="","",L51*M51)</x:f>
        <x:v>0</x:v>
      </x:c>
    </x:row>
    <x:row r="52">
      <x:c r="A52" s="13"/>
      <x:c r="B52" s="13"/>
      <x:c r="C52" s="13"/>
      <x:c r="D52" s="13"/>
      <x:c r="E52" s="13"/>
      <x:c r="F52" s="13"/>
      <x:c r="G52" s="14"/>
      <x:c r="H52" s="14"/>
      <x:c r="I52" s="13"/>
      <x:c r="J52" s="13"/>
      <x:c r="K52" s="13"/>
      <x:c r="L52" s="15"/>
      <x:c r="M52" s="16"/>
      <x:c r="N52" s="12" t="str">
        <x:f>IF(A52="","",IF(I52="","No dependency",IF(COUNTIF($A$6:$A$65,I52)=0,"Missing ID",IF(COUNTIFS($A$6:$A$65,I52,$K$6:$K$65,"Complete")&gt;0,"Cleared","Waiting"))))</x:f>
      </x:c>
      <x:c r="O52" s="12" t="str">
        <x:f>IF(A52="","",IF(K52="Complete","Complete",IF(K52="Blocked","Blocked",IF(N52="Missing ID","Fix dependency",IF(N52="Waiting","Waiting",IF(H52="","Missing due date",IF(H52&lt;TODAY(),"Overdue",IF(H52&lt;=TODAY()+7,"Due in 7 days","On track"))))))))</x:f>
      </x:c>
      <x:c r="P52" s="12" t="str">
        <x:f>IF(A52="","",L52*M52)</x:f>
      </x:c>
    </x:row>
    <x:row r="53">
      <x:c r="A53" s="13"/>
      <x:c r="B53" s="13"/>
      <x:c r="C53" s="13"/>
      <x:c r="D53" s="13"/>
      <x:c r="E53" s="13"/>
      <x:c r="F53" s="13"/>
      <x:c r="G53" s="14"/>
      <x:c r="H53" s="14"/>
      <x:c r="I53" s="13"/>
      <x:c r="J53" s="13"/>
      <x:c r="K53" s="13"/>
      <x:c r="L53" s="15"/>
      <x:c r="M53" s="16"/>
      <x:c r="N53" s="12" t="str">
        <x:f>IF(A53="","",IF(I53="","No dependency",IF(COUNTIF($A$6:$A$65,I53)=0,"Missing ID",IF(COUNTIFS($A$6:$A$65,I53,$K$6:$K$65,"Complete")&gt;0,"Cleared","Waiting"))))</x:f>
      </x:c>
      <x:c r="O53" s="12" t="str">
        <x:f>IF(A53="","",IF(K53="Complete","Complete",IF(K53="Blocked","Blocked",IF(N53="Missing ID","Fix dependency",IF(N53="Waiting","Waiting",IF(H53="","Missing due date",IF(H53&lt;TODAY(),"Overdue",IF(H53&lt;=TODAY()+7,"Due in 7 days","On track"))))))))</x:f>
      </x:c>
      <x:c r="P53" s="12" t="str">
        <x:f>IF(A53="","",L53*M53)</x:f>
      </x:c>
    </x:row>
    <x:row r="54">
      <x:c r="A54" s="13"/>
      <x:c r="B54" s="13"/>
      <x:c r="C54" s="13"/>
      <x:c r="D54" s="13"/>
      <x:c r="E54" s="13"/>
      <x:c r="F54" s="13"/>
      <x:c r="G54" s="14"/>
      <x:c r="H54" s="14"/>
      <x:c r="I54" s="13"/>
      <x:c r="J54" s="13"/>
      <x:c r="K54" s="13"/>
      <x:c r="L54" s="15"/>
      <x:c r="M54" s="16"/>
      <x:c r="N54" s="12" t="str">
        <x:f>IF(A54="","",IF(I54="","No dependency",IF(COUNTIF($A$6:$A$65,I54)=0,"Missing ID",IF(COUNTIFS($A$6:$A$65,I54,$K$6:$K$65,"Complete")&gt;0,"Cleared","Waiting"))))</x:f>
      </x:c>
      <x:c r="O54" s="12" t="str">
        <x:f>IF(A54="","",IF(K54="Complete","Complete",IF(K54="Blocked","Blocked",IF(N54="Missing ID","Fix dependency",IF(N54="Waiting","Waiting",IF(H54="","Missing due date",IF(H54&lt;TODAY(),"Overdue",IF(H54&lt;=TODAY()+7,"Due in 7 days","On track"))))))))</x:f>
      </x:c>
      <x:c r="P54" s="12" t="str">
        <x:f>IF(A54="","",L54*M54)</x:f>
      </x:c>
    </x:row>
    <x:row r="55">
      <x:c r="A55" s="13"/>
      <x:c r="B55" s="13"/>
      <x:c r="C55" s="13"/>
      <x:c r="D55" s="13"/>
      <x:c r="E55" s="13"/>
      <x:c r="F55" s="13"/>
      <x:c r="G55" s="14"/>
      <x:c r="H55" s="14"/>
      <x:c r="I55" s="13"/>
      <x:c r="J55" s="13"/>
      <x:c r="K55" s="13"/>
      <x:c r="L55" s="15"/>
      <x:c r="M55" s="16"/>
      <x:c r="N55" s="12" t="str">
        <x:f>IF(A55="","",IF(I55="","No dependency",IF(COUNTIF($A$6:$A$65,I55)=0,"Missing ID",IF(COUNTIFS($A$6:$A$65,I55,$K$6:$K$65,"Complete")&gt;0,"Cleared","Waiting"))))</x:f>
      </x:c>
      <x:c r="O55" s="12" t="str">
        <x:f>IF(A55="","",IF(K55="Complete","Complete",IF(K55="Blocked","Blocked",IF(N55="Missing ID","Fix dependency",IF(N55="Waiting","Waiting",IF(H55="","Missing due date",IF(H55&lt;TODAY(),"Overdue",IF(H55&lt;=TODAY()+7,"Due in 7 days","On track"))))))))</x:f>
      </x:c>
      <x:c r="P55" s="12" t="str">
        <x:f>IF(A55="","",L55*M55)</x:f>
      </x:c>
    </x:row>
    <x:row r="56">
      <x:c r="A56" s="13"/>
      <x:c r="B56" s="13"/>
      <x:c r="C56" s="13"/>
      <x:c r="D56" s="13"/>
      <x:c r="E56" s="13"/>
      <x:c r="F56" s="13"/>
      <x:c r="G56" s="14"/>
      <x:c r="H56" s="14"/>
      <x:c r="I56" s="13"/>
      <x:c r="J56" s="13"/>
      <x:c r="K56" s="13"/>
      <x:c r="L56" s="15"/>
      <x:c r="M56" s="16"/>
      <x:c r="N56" s="12" t="str">
        <x:f>IF(A56="","",IF(I56="","No dependency",IF(COUNTIF($A$6:$A$65,I56)=0,"Missing ID",IF(COUNTIFS($A$6:$A$65,I56,$K$6:$K$65,"Complete")&gt;0,"Cleared","Waiting"))))</x:f>
      </x:c>
      <x:c r="O56" s="12" t="str">
        <x:f>IF(A56="","",IF(K56="Complete","Complete",IF(K56="Blocked","Blocked",IF(N56="Missing ID","Fix dependency",IF(N56="Waiting","Waiting",IF(H56="","Missing due date",IF(H56&lt;TODAY(),"Overdue",IF(H56&lt;=TODAY()+7,"Due in 7 days","On track"))))))))</x:f>
      </x:c>
      <x:c r="P56" s="12" t="str">
        <x:f>IF(A56="","",L56*M56)</x:f>
      </x:c>
    </x:row>
    <x:row r="57">
      <x:c r="A57" s="13"/>
      <x:c r="B57" s="13"/>
      <x:c r="C57" s="13"/>
      <x:c r="D57" s="13"/>
      <x:c r="E57" s="13"/>
      <x:c r="F57" s="13"/>
      <x:c r="G57" s="14"/>
      <x:c r="H57" s="14"/>
      <x:c r="I57" s="13"/>
      <x:c r="J57" s="13"/>
      <x:c r="K57" s="13"/>
      <x:c r="L57" s="15"/>
      <x:c r="M57" s="16"/>
      <x:c r="N57" s="12" t="str">
        <x:f>IF(A57="","",IF(I57="","No dependency",IF(COUNTIF($A$6:$A$65,I57)=0,"Missing ID",IF(COUNTIFS($A$6:$A$65,I57,$K$6:$K$65,"Complete")&gt;0,"Cleared","Waiting"))))</x:f>
      </x:c>
      <x:c r="O57" s="12" t="str">
        <x:f>IF(A57="","",IF(K57="Complete","Complete",IF(K57="Blocked","Blocked",IF(N57="Missing ID","Fix dependency",IF(N57="Waiting","Waiting",IF(H57="","Missing due date",IF(H57&lt;TODAY(),"Overdue",IF(H57&lt;=TODAY()+7,"Due in 7 days","On track"))))))))</x:f>
      </x:c>
      <x:c r="P57" s="12" t="str">
        <x:f>IF(A57="","",L57*M57)</x:f>
      </x:c>
    </x:row>
    <x:row r="58">
      <x:c r="A58" s="13"/>
      <x:c r="B58" s="13"/>
      <x:c r="C58" s="13"/>
      <x:c r="D58" s="13"/>
      <x:c r="E58" s="13"/>
      <x:c r="F58" s="13"/>
      <x:c r="G58" s="14"/>
      <x:c r="H58" s="14"/>
      <x:c r="I58" s="13"/>
      <x:c r="J58" s="13"/>
      <x:c r="K58" s="13"/>
      <x:c r="L58" s="15"/>
      <x:c r="M58" s="16"/>
      <x:c r="N58" s="12" t="str">
        <x:f>IF(A58="","",IF(I58="","No dependency",IF(COUNTIF($A$6:$A$65,I58)=0,"Missing ID",IF(COUNTIFS($A$6:$A$65,I58,$K$6:$K$65,"Complete")&gt;0,"Cleared","Waiting"))))</x:f>
      </x:c>
      <x:c r="O58" s="12" t="str">
        <x:f>IF(A58="","",IF(K58="Complete","Complete",IF(K58="Blocked","Blocked",IF(N58="Missing ID","Fix dependency",IF(N58="Waiting","Waiting",IF(H58="","Missing due date",IF(H58&lt;TODAY(),"Overdue",IF(H58&lt;=TODAY()+7,"Due in 7 days","On track"))))))))</x:f>
      </x:c>
      <x:c r="P58" s="12" t="str">
        <x:f>IF(A58="","",L58*M58)</x:f>
      </x:c>
    </x:row>
    <x:row r="59">
      <x:c r="A59" s="13"/>
      <x:c r="B59" s="13"/>
      <x:c r="C59" s="13"/>
      <x:c r="D59" s="13"/>
      <x:c r="E59" s="13"/>
      <x:c r="F59" s="13"/>
      <x:c r="G59" s="14"/>
      <x:c r="H59" s="14"/>
      <x:c r="I59" s="13"/>
      <x:c r="J59" s="13"/>
      <x:c r="K59" s="13"/>
      <x:c r="L59" s="15"/>
      <x:c r="M59" s="16"/>
      <x:c r="N59" s="12" t="str">
        <x:f>IF(A59="","",IF(I59="","No dependency",IF(COUNTIF($A$6:$A$65,I59)=0,"Missing ID",IF(COUNTIFS($A$6:$A$65,I59,$K$6:$K$65,"Complete")&gt;0,"Cleared","Waiting"))))</x:f>
      </x:c>
      <x:c r="O59" s="12" t="str">
        <x:f>IF(A59="","",IF(K59="Complete","Complete",IF(K59="Blocked","Blocked",IF(N59="Missing ID","Fix dependency",IF(N59="Waiting","Waiting",IF(H59="","Missing due date",IF(H59&lt;TODAY(),"Overdue",IF(H59&lt;=TODAY()+7,"Due in 7 days","On track"))))))))</x:f>
      </x:c>
      <x:c r="P59" s="12" t="str">
        <x:f>IF(A59="","",L59*M59)</x:f>
      </x:c>
    </x:row>
    <x:row r="60">
      <x:c r="A60" s="13"/>
      <x:c r="B60" s="13"/>
      <x:c r="C60" s="13"/>
      <x:c r="D60" s="13"/>
      <x:c r="E60" s="13"/>
      <x:c r="F60" s="13"/>
      <x:c r="G60" s="14"/>
      <x:c r="H60" s="14"/>
      <x:c r="I60" s="13"/>
      <x:c r="J60" s="13"/>
      <x:c r="K60" s="13"/>
      <x:c r="L60" s="15"/>
      <x:c r="M60" s="16"/>
      <x:c r="N60" s="12" t="str">
        <x:f>IF(A60="","",IF(I60="","No dependency",IF(COUNTIF($A$6:$A$65,I60)=0,"Missing ID",IF(COUNTIFS($A$6:$A$65,I60,$K$6:$K$65,"Complete")&gt;0,"Cleared","Waiting"))))</x:f>
      </x:c>
      <x:c r="O60" s="12" t="str">
        <x:f>IF(A60="","",IF(K60="Complete","Complete",IF(K60="Blocked","Blocked",IF(N60="Missing ID","Fix dependency",IF(N60="Waiting","Waiting",IF(H60="","Missing due date",IF(H60&lt;TODAY(),"Overdue",IF(H60&lt;=TODAY()+7,"Due in 7 days","On track"))))))))</x:f>
      </x:c>
      <x:c r="P60" s="12" t="str">
        <x:f>IF(A60="","",L60*M60)</x:f>
      </x:c>
    </x:row>
    <x:row r="61">
      <x:c r="A61" s="13"/>
      <x:c r="B61" s="13"/>
      <x:c r="C61" s="13"/>
      <x:c r="D61" s="13"/>
      <x:c r="E61" s="13"/>
      <x:c r="F61" s="13"/>
      <x:c r="G61" s="14"/>
      <x:c r="H61" s="14"/>
      <x:c r="I61" s="13"/>
      <x:c r="J61" s="13"/>
      <x:c r="K61" s="13"/>
      <x:c r="L61" s="15"/>
      <x:c r="M61" s="16"/>
      <x:c r="N61" s="12" t="str">
        <x:f>IF(A61="","",IF(I61="","No dependency",IF(COUNTIF($A$6:$A$65,I61)=0,"Missing ID",IF(COUNTIFS($A$6:$A$65,I61,$K$6:$K$65,"Complete")&gt;0,"Cleared","Waiting"))))</x:f>
      </x:c>
      <x:c r="O61" s="12" t="str">
        <x:f>IF(A61="","",IF(K61="Complete","Complete",IF(K61="Blocked","Blocked",IF(N61="Missing ID","Fix dependency",IF(N61="Waiting","Waiting",IF(H61="","Missing due date",IF(H61&lt;TODAY(),"Overdue",IF(H61&lt;=TODAY()+7,"Due in 7 days","On track"))))))))</x:f>
      </x:c>
      <x:c r="P61" s="12" t="str">
        <x:f>IF(A61="","",L61*M61)</x:f>
      </x:c>
    </x:row>
    <x:row r="62">
      <x:c r="A62" s="13"/>
      <x:c r="B62" s="13"/>
      <x:c r="C62" s="13"/>
      <x:c r="D62" s="13"/>
      <x:c r="E62" s="13"/>
      <x:c r="F62" s="13"/>
      <x:c r="G62" s="14"/>
      <x:c r="H62" s="14"/>
      <x:c r="I62" s="13"/>
      <x:c r="J62" s="13"/>
      <x:c r="K62" s="13"/>
      <x:c r="L62" s="15"/>
      <x:c r="M62" s="16"/>
      <x:c r="N62" s="12" t="str">
        <x:f>IF(A62="","",IF(I62="","No dependency",IF(COUNTIF($A$6:$A$65,I62)=0,"Missing ID",IF(COUNTIFS($A$6:$A$65,I62,$K$6:$K$65,"Complete")&gt;0,"Cleared","Waiting"))))</x:f>
      </x:c>
      <x:c r="O62" s="12" t="str">
        <x:f>IF(A62="","",IF(K62="Complete","Complete",IF(K62="Blocked","Blocked",IF(N62="Missing ID","Fix dependency",IF(N62="Waiting","Waiting",IF(H62="","Missing due date",IF(H62&lt;TODAY(),"Overdue",IF(H62&lt;=TODAY()+7,"Due in 7 days","On track"))))))))</x:f>
      </x:c>
      <x:c r="P62" s="12" t="str">
        <x:f>IF(A62="","",L62*M62)</x:f>
      </x:c>
    </x:row>
    <x:row r="63">
      <x:c r="A63" s="13"/>
      <x:c r="B63" s="13"/>
      <x:c r="C63" s="13"/>
      <x:c r="D63" s="13"/>
      <x:c r="E63" s="13"/>
      <x:c r="F63" s="13"/>
      <x:c r="G63" s="14"/>
      <x:c r="H63" s="14"/>
      <x:c r="I63" s="13"/>
      <x:c r="J63" s="13"/>
      <x:c r="K63" s="13"/>
      <x:c r="L63" s="15"/>
      <x:c r="M63" s="16"/>
      <x:c r="N63" s="12" t="str">
        <x:f>IF(A63="","",IF(I63="","No dependency",IF(COUNTIF($A$6:$A$65,I63)=0,"Missing ID",IF(COUNTIFS($A$6:$A$65,I63,$K$6:$K$65,"Complete")&gt;0,"Cleared","Waiting"))))</x:f>
      </x:c>
      <x:c r="O63" s="12" t="str">
        <x:f>IF(A63="","",IF(K63="Complete","Complete",IF(K63="Blocked","Blocked",IF(N63="Missing ID","Fix dependency",IF(N63="Waiting","Waiting",IF(H63="","Missing due date",IF(H63&lt;TODAY(),"Overdue",IF(H63&lt;=TODAY()+7,"Due in 7 days","On track"))))))))</x:f>
      </x:c>
      <x:c r="P63" s="12" t="str">
        <x:f>IF(A63="","",L63*M63)</x:f>
      </x:c>
    </x:row>
    <x:row r="64">
      <x:c r="A64" s="13"/>
      <x:c r="B64" s="13"/>
      <x:c r="C64" s="13"/>
      <x:c r="D64" s="13"/>
      <x:c r="E64" s="13"/>
      <x:c r="F64" s="13"/>
      <x:c r="G64" s="14"/>
      <x:c r="H64" s="14"/>
      <x:c r="I64" s="13"/>
      <x:c r="J64" s="13"/>
      <x:c r="K64" s="13"/>
      <x:c r="L64" s="15"/>
      <x:c r="M64" s="16"/>
      <x:c r="N64" s="12" t="str">
        <x:f>IF(A64="","",IF(I64="","No dependency",IF(COUNTIF($A$6:$A$65,I64)=0,"Missing ID",IF(COUNTIFS($A$6:$A$65,I64,$K$6:$K$65,"Complete")&gt;0,"Cleared","Waiting"))))</x:f>
      </x:c>
      <x:c r="O64" s="12" t="str">
        <x:f>IF(A64="","",IF(K64="Complete","Complete",IF(K64="Blocked","Blocked",IF(N64="Missing ID","Fix dependency",IF(N64="Waiting","Waiting",IF(H64="","Missing due date",IF(H64&lt;TODAY(),"Overdue",IF(H64&lt;=TODAY()+7,"Due in 7 days","On track"))))))))</x:f>
      </x:c>
      <x:c r="P64" s="12" t="str">
        <x:f>IF(A64="","",L64*M64)</x:f>
      </x:c>
    </x:row>
    <x:row r="65">
      <x:c r="A65" s="13"/>
      <x:c r="B65" s="13"/>
      <x:c r="C65" s="13"/>
      <x:c r="D65" s="13"/>
      <x:c r="E65" s="13"/>
      <x:c r="F65" s="13"/>
      <x:c r="G65" s="14"/>
      <x:c r="H65" s="14"/>
      <x:c r="I65" s="13"/>
      <x:c r="J65" s="13"/>
      <x:c r="K65" s="13"/>
      <x:c r="L65" s="15"/>
      <x:c r="M65" s="16"/>
      <x:c r="N65" s="12" t="str">
        <x:f>IF(A65="","",IF(I65="","No dependency",IF(COUNTIF($A$6:$A$65,I65)=0,"Missing ID",IF(COUNTIFS($A$6:$A$65,I65,$K$6:$K$65,"Complete")&gt;0,"Cleared","Waiting"))))</x:f>
      </x:c>
      <x:c r="O65" s="12" t="str">
        <x:f>IF(A65="","",IF(K65="Complete","Complete",IF(K65="Blocked","Blocked",IF(N65="Missing ID","Fix dependency",IF(N65="Waiting","Waiting",IF(H65="","Missing due date",IF(H65&lt;TODAY(),"Overdue",IF(H65&lt;=TODAY()+7,"Due in 7 days","On track"))))))))</x:f>
      </x:c>
      <x:c r="P65" s="12" t="str">
        <x:f>IF(A65="","",L65*M65)</x:f>
      </x:c>
    </x:row>
  </x:sheetData>
  <x:conditionalFormatting sqref="O6:O65">
    <x:cfRule type="containsText" dxfId="1" priority="1" operator="containsText" text="Overdue"/>
    <x:cfRule type="containsText" dxfId="2" priority="2" operator="containsText" text="Blocked"/>
    <x:cfRule type="containsText" dxfId="3" priority="3" operator="containsText" text="Waiting"/>
  </x:conditionalFormatting>
  <x:dataValidations count="3">
    <x:dataValidation type="list" sqref="B6:B65">
      <x:formula1>"Initiation,Planning,Readiness,Delivery,Data control,Finance control,Monitoring,Reporting,Close-out"</x:formula1>
    </x:dataValidation>
    <x:dataValidation type="list" sqref="J6:J65">
      <x:formula1>"High,Medium,Low"</x:formula1>
    </x:dataValidation>
    <x:dataValidation type="list" sqref="K6:K65">
      <x:formula1>"Not Started,In Progress,Blocked,Complete"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65d2cc201d54d31"/>
  </x:tableParts>
</x:worksheet>
</file>

<file path=xl/worksheets/sheet4.xml><?xml version="1.0" encoding="utf-8"?>
<x:worksheet xmlns:x="http://schemas.openxmlformats.org/spreadsheetml/2006/main">
  <x:sheetPr>
    <x:tabColor rgb="FFB97845"/>
  </x:sheetPr>
  <x:sheetViews>
    <x:sheetView workbookViewId="0">
      <x:pane ySplit="5" topLeftCell="A6" activePane="bottomLeft" state="frozen"/>
    </x:sheetView>
  </x:sheetViews>
  <x:sheetFormatPr defaultRowHeight="15"/>
  <x:cols>
    <x:col min="1" max="1" width="13" hidden="0" customWidth="1"/>
    <x:col min="2" max="2" width="12" hidden="0" customWidth="1"/>
    <x:col min="3" max="3" width="18" hidden="0" customWidth="1"/>
    <x:col min="4" max="4" width="42" hidden="0" customWidth="1"/>
    <x:col min="5" max="5" width="15" hidden="0" customWidth="1"/>
    <x:col min="6" max="6" width="13" hidden="0" customWidth="1"/>
    <x:col min="7" max="7" width="14" hidden="0" customWidth="1"/>
    <x:col min="8" max="8" width="15" hidden="0" customWidth="1"/>
    <x:col min="9" max="9" width="22" hidden="0" customWidth="1"/>
    <x:col min="10" max="10" width="42" hidden="0" customWidth="1"/>
    <x:col min="11" max="11" width="15" hidden="0" customWidth="1"/>
    <x:col min="12" max="12" width="15" hidden="0" customWidth="1"/>
    <x:col min="13" max="13" width="18" hidden="0" customWidth="1"/>
  </x:cols>
  <x:sheetData>
    <x:row r="1">
      <x:c r="A1" s="1" t="str">
        <x:v>Risk and Issue Control Log</x:v>
      </x:c>
    </x:row>
    <x:row r="2">
      <x:c r="A2" s="2" t="str">
        <x:v>Exposure score = probability × impact; review flags highlight overdue responses and high exposure</x:v>
      </x:c>
    </x:row>
    <x:row r="5" ht="30" customHeight="1">
      <x:c r="A5" s="7" t="str">
        <x:v>Record ID</x:v>
      </x:c>
      <x:c r="B5" s="7" t="str">
        <x:v>Type</x:v>
      </x:c>
      <x:c r="C5" s="7" t="str">
        <x:v>Category</x:v>
      </x:c>
      <x:c r="D5" s="7" t="str">
        <x:v>Description</x:v>
      </x:c>
      <x:c r="E5" s="7" t="str">
        <x:v>Probability (1–5)</x:v>
      </x:c>
      <x:c r="F5" s="7" t="str">
        <x:v>Impact (1–5)</x:v>
      </x:c>
      <x:c r="G5" s="7" t="str">
        <x:v>Exposure score</x:v>
      </x:c>
      <x:c r="H5" s="7" t="str">
        <x:v>Rating</x:v>
      </x:c>
      <x:c r="I5" s="7" t="str">
        <x:v>Owner role</x:v>
      </x:c>
      <x:c r="J5" s="7" t="str">
        <x:v>Response / next action</x:v>
      </x:c>
      <x:c r="K5" s="7" t="str">
        <x:v>Review date</x:v>
      </x:c>
      <x:c r="L5" s="7" t="str">
        <x:v>Status</x:v>
      </x:c>
      <x:c r="M5" s="7" t="str">
        <x:v>Review flag</x:v>
      </x:c>
    </x:row>
    <x:row r="6">
      <x:c r="A6" t="str">
        <x:v>R-001</x:v>
      </x:c>
      <x:c r="B6" t="str">
        <x:v>Risk</x:v>
      </x:c>
      <x:c r="C6" t="str">
        <x:v>Governance</x:v>
      </x:c>
      <x:c r="D6" t="str">
        <x:v>Decision owner unavailable at a phase gate</x:v>
      </x:c>
      <x:c r="E6" s="17" t="n">
        <x:v>3</x:v>
      </x:c>
      <x:c r="F6" s="17" t="n">
        <x:v>5</x:v>
      </x:c>
      <x:c r="G6" s="17" t="n">
        <x:f>IF(A6="","",E6*F6)</x:f>
        <x:v>15</x:v>
      </x:c>
      <x:c r="H6" t="str">
        <x:f>IF(G6="","",IF(G6&gt;=16,"Critical",IF(G6&gt;=10,"High",IF(G6&gt;=5,"Medium","Low"))))</x:f>
        <x:v>High</x:v>
      </x:c>
      <x:c r="I6" t="str">
        <x:v>Programme Lead</x:v>
      </x:c>
      <x:c r="J6" t="str">
        <x:v>Confirm delegate and escalation route</x:v>
      </x:c>
      <x:c r="K6" s="9" t="d">
        <x:v>2026-11-02T00:00:00.000Z</x:v>
      </x:c>
      <x:c r="L6" t="str">
        <x:v>Open</x:v>
      </x:c>
      <x:c r="M6" t="str">
        <x:f>IF(A6="","",IF(L6="Closed","Closed",IF(K6="","Set review date",IF(K6&lt;TODAY(),"Review overdue","On track"))))</x:f>
        <x:v>On track</x:v>
      </x:c>
    </x:row>
    <x:row r="7">
      <x:c r="A7" t="str">
        <x:v>R-002</x:v>
      </x:c>
      <x:c r="B7" t="str">
        <x:v>Risk</x:v>
      </x:c>
      <x:c r="C7" t="str">
        <x:v>Schedule</x:v>
      </x:c>
      <x:c r="D7" t="str">
        <x:v>School calendar changes compress delivery window</x:v>
      </x:c>
      <x:c r="E7" s="17" t="n">
        <x:v>4</x:v>
      </x:c>
      <x:c r="F7" s="17" t="n">
        <x:v>4</x:v>
      </x:c>
      <x:c r="G7" s="17" t="n">
        <x:f>IF(A7="","",E7*F7)</x:f>
        <x:v>16</x:v>
      </x:c>
      <x:c r="H7" t="str">
        <x:f>IF(G7="","",IF(G7&gt;=16,"Critical",IF(G7&gt;=10,"High",IF(G7&gt;=5,"Medium","Low"))))</x:f>
        <x:v>Critical</x:v>
      </x:c>
      <x:c r="I7" t="str">
        <x:v>School Liaison</x:v>
      </x:c>
      <x:c r="J7" t="str">
        <x:v>Confirm dates monthly; retain one recovery window</x:v>
      </x:c>
      <x:c r="K7" s="9" t="d">
        <x:v>2026-11-05T00:00:00.000Z</x:v>
      </x:c>
      <x:c r="L7" t="str">
        <x:v>Open</x:v>
      </x:c>
      <x:c r="M7" t="str">
        <x:f>IF(A7="","",IF(L7="Closed","Closed",IF(K7="","Set review date",IF(K7&lt;TODAY(),"Review overdue","On track"))))</x:f>
        <x:v>On track</x:v>
      </x:c>
    </x:row>
    <x:row r="8">
      <x:c r="A8" t="str">
        <x:v>R-003</x:v>
      </x:c>
      <x:c r="B8" t="str">
        <x:v>Issue</x:v>
      </x:c>
      <x:c r="C8" t="str">
        <x:v>Capacity</x:v>
      </x:c>
      <x:c r="D8" t="str">
        <x:v>Facilitator coverage not confirmed for two dates</x:v>
      </x:c>
      <x:c r="E8" s="17" t="n">
        <x:v>4</x:v>
      </x:c>
      <x:c r="F8" s="17" t="n">
        <x:v>4</x:v>
      </x:c>
      <x:c r="G8" s="17" t="n">
        <x:f>IF(A8="","",E8*F8)</x:f>
        <x:v>16</x:v>
      </x:c>
      <x:c r="H8" t="str">
        <x:f>IF(G8="","",IF(G8&gt;=16,"Critical",IF(G8&gt;=10,"High",IF(G8&gt;=5,"Medium","Low"))))</x:f>
        <x:v>Critical</x:v>
      </x:c>
      <x:c r="I8" t="str">
        <x:v>Operations Lead</x:v>
      </x:c>
      <x:c r="J8" t="str">
        <x:v>Confirm roster and named backup</x:v>
      </x:c>
      <x:c r="K8" s="9" t="d">
        <x:v>2026-10-30T00:00:00.000Z</x:v>
      </x:c>
      <x:c r="L8" t="str">
        <x:v>Open</x:v>
      </x:c>
      <x:c r="M8" t="str">
        <x:f>IF(A8="","",IF(L8="Closed","Closed",IF(K8="","Set review date",IF(K8&lt;TODAY(),"Review overdue","On track"))))</x:f>
        <x:v>On track</x:v>
      </x:c>
    </x:row>
    <x:row r="9">
      <x:c r="A9" t="str">
        <x:v>R-004</x:v>
      </x:c>
      <x:c r="B9" t="str">
        <x:v>Risk</x:v>
      </x:c>
      <x:c r="C9" t="str">
        <x:v>Supplier</x:v>
      </x:c>
      <x:c r="D9" t="str">
        <x:v>Transport supplier has no confirmed standby vehicle</x:v>
      </x:c>
      <x:c r="E9" s="17" t="n">
        <x:v>3</x:v>
      </x:c>
      <x:c r="F9" s="17" t="n">
        <x:v>4</x:v>
      </x:c>
      <x:c r="G9" s="17" t="n">
        <x:f>IF(A9="","",E9*F9)</x:f>
        <x:v>12</x:v>
      </x:c>
      <x:c r="H9" t="str">
        <x:f>IF(G9="","",IF(G9&gt;=16,"Critical",IF(G9&gt;=10,"High",IF(G9&gt;=5,"Medium","Low"))))</x:f>
        <x:v>High</x:v>
      </x:c>
      <x:c r="I9" t="str">
        <x:v>Operations Lead</x:v>
      </x:c>
      <x:c r="J9" t="str">
        <x:v>Obtain backup quote and call-out terms</x:v>
      </x:c>
      <x:c r="K9" s="9" t="d">
        <x:v>2026-11-04T00:00:00.000Z</x:v>
      </x:c>
      <x:c r="L9" t="str">
        <x:v>Monitoring</x:v>
      </x:c>
      <x:c r="M9" t="str">
        <x:f>IF(A9="","",IF(L9="Closed","Closed",IF(K9="","Set review date",IF(K9&lt;TODAY(),"Review overdue","On track"))))</x:f>
        <x:v>On track</x:v>
      </x:c>
    </x:row>
    <x:row r="10">
      <x:c r="A10" t="str">
        <x:v>R-005</x:v>
      </x:c>
      <x:c r="B10" t="str">
        <x:v>Risk</x:v>
      </x:c>
      <x:c r="C10" t="str">
        <x:v>Data quality</x:v>
      </x:c>
      <x:c r="D10" t="str">
        <x:v>Attendance extracts use inconsistent school names</x:v>
      </x:c>
      <x:c r="E10" s="17" t="n">
        <x:v>4</x:v>
      </x:c>
      <x:c r="F10" s="17" t="n">
        <x:v>3</x:v>
      </x:c>
      <x:c r="G10" s="17" t="n">
        <x:f>IF(A10="","",E10*F10)</x:f>
        <x:v>12</x:v>
      </x:c>
      <x:c r="H10" t="str">
        <x:f>IF(G10="","",IF(G10&gt;=16,"Critical",IF(G10&gt;=10,"High",IF(G10&gt;=5,"Medium","Low"))))</x:f>
        <x:v>High</x:v>
      </x:c>
      <x:c r="I10" t="str">
        <x:v>Data Owner</x:v>
      </x:c>
      <x:c r="J10" t="str">
        <x:v>Maintain approved school mapping and review exceptions</x:v>
      </x:c>
      <x:c r="K10" s="9" t="d">
        <x:v>2026-11-07T00:00:00.000Z</x:v>
      </x:c>
      <x:c r="L10" t="str">
        <x:v>Open</x:v>
      </x:c>
      <x:c r="M10" t="str">
        <x:f>IF(A10="","",IF(L10="Closed","Closed",IF(K10="","Set review date",IF(K10&lt;TODAY(),"Review overdue","On track"))))</x:f>
        <x:v>On track</x:v>
      </x:c>
    </x:row>
    <x:row r="11">
      <x:c r="A11" t="str">
        <x:v>R-006</x:v>
      </x:c>
      <x:c r="B11" t="str">
        <x:v>Risk</x:v>
      </x:c>
      <x:c r="C11" t="str">
        <x:v>Budget</x:v>
      </x:c>
      <x:c r="D11" t="str">
        <x:v>Unit rates change after budget baseline</x:v>
      </x:c>
      <x:c r="E11" s="17" t="n">
        <x:v>3</x:v>
      </x:c>
      <x:c r="F11" s="17" t="n">
        <x:v>4</x:v>
      </x:c>
      <x:c r="G11" s="17" t="n">
        <x:f>IF(A11="","",E11*F11)</x:f>
        <x:v>12</x:v>
      </x:c>
      <x:c r="H11" t="str">
        <x:f>IF(G11="","",IF(G11&gt;=16,"Critical",IF(G11&gt;=10,"High",IF(G11&gt;=5,"Medium","Low"))))</x:f>
        <x:v>High</x:v>
      </x:c>
      <x:c r="I11" t="str">
        <x:v>Finance Contact</x:v>
      </x:c>
      <x:c r="J11" t="str">
        <x:v>Reforecast and route material changes for approval</x:v>
      </x:c>
      <x:c r="K11" s="9" t="d">
        <x:v>2026-11-10T00:00:00.000Z</x:v>
      </x:c>
      <x:c r="L11" t="str">
        <x:v>Open</x:v>
      </x:c>
      <x:c r="M11" t="str">
        <x:f>IF(A11="","",IF(L11="Closed","Closed",IF(K11="","Set review date",IF(K11&lt;TODAY(),"Review overdue","On track"))))</x:f>
        <x:v>On track</x:v>
      </x:c>
    </x:row>
    <x:row r="12">
      <x:c r="A12" t="str">
        <x:v>R-007</x:v>
      </x:c>
      <x:c r="B12" t="str">
        <x:v>Issue</x:v>
      </x:c>
      <x:c r="C12" t="str">
        <x:v>Evidence</x:v>
      </x:c>
      <x:c r="D12" t="str">
        <x:v>Two activity packs are missing signed registers</x:v>
      </x:c>
      <x:c r="E12" s="17" t="n">
        <x:v>4</x:v>
      </x:c>
      <x:c r="F12" s="17" t="n">
        <x:v>3</x:v>
      </x:c>
      <x:c r="G12" s="17" t="n">
        <x:f>IF(A12="","",E12*F12)</x:f>
        <x:v>12</x:v>
      </x:c>
      <x:c r="H12" t="str">
        <x:f>IF(G12="","",IF(G12&gt;=16,"Critical",IF(G12&gt;=10,"High",IF(G12&gt;=5,"Medium","Low"))))</x:f>
        <x:v>High</x:v>
      </x:c>
      <x:c r="I12" t="str">
        <x:v>Delivery Lead</x:v>
      </x:c>
      <x:c r="J12" t="str">
        <x:v>Request missing source evidence before reporting</x:v>
      </x:c>
      <x:c r="K12" s="9" t="d">
        <x:v>2026-10-28T00:00:00.000Z</x:v>
      </x:c>
      <x:c r="L12" t="str">
        <x:v>Open</x:v>
      </x:c>
      <x:c r="M12" t="str">
        <x:f>IF(A12="","",IF(L12="Closed","Closed",IF(K12="","Set review date",IF(K12&lt;TODAY(),"Review overdue","On track"))))</x:f>
        <x:v>On track</x:v>
      </x:c>
    </x:row>
    <x:row r="13">
      <x:c r="A13" t="str">
        <x:v>R-008</x:v>
      </x:c>
      <x:c r="B13" t="str">
        <x:v>Risk</x:v>
      </x:c>
      <x:c r="C13" t="str">
        <x:v>Safeguarding</x:v>
      </x:c>
      <x:c r="D13" t="str">
        <x:v>Consent evidence may not match submitted participant list</x:v>
      </x:c>
      <x:c r="E13" s="17" t="n">
        <x:v>2</x:v>
      </x:c>
      <x:c r="F13" s="17" t="n">
        <x:v>5</x:v>
      </x:c>
      <x:c r="G13" s="17" t="n">
        <x:f>IF(A13="","",E13*F13)</x:f>
        <x:v>10</x:v>
      </x:c>
      <x:c r="H13" t="str">
        <x:f>IF(G13="","",IF(G13&gt;=16,"Critical",IF(G13&gt;=10,"High",IF(G13&gt;=5,"Medium","Low"))))</x:f>
        <x:v>High</x:v>
      </x:c>
      <x:c r="I13" t="str">
        <x:v>Programme Lead</x:v>
      </x:c>
      <x:c r="J13" t="str">
        <x:v>Hold publication until consent check passes</x:v>
      </x:c>
      <x:c r="K13" s="9" t="d">
        <x:v>2026-11-12T00:00:00.000Z</x:v>
      </x:c>
      <x:c r="L13" t="str">
        <x:v>Monitoring</x:v>
      </x:c>
      <x:c r="M13" t="str">
        <x:f>IF(A13="","",IF(L13="Closed","Closed",IF(K13="","Set review date",IF(K13&lt;TODAY(),"Review overdue","On track"))))</x:f>
        <x:v>On track</x:v>
      </x:c>
    </x:row>
    <x:row r="14">
      <x:c r="A14" t="str">
        <x:v>R-009</x:v>
      </x:c>
      <x:c r="B14" t="str">
        <x:v>Risk</x:v>
      </x:c>
      <x:c r="C14" t="str">
        <x:v>Reporting</x:v>
      </x:c>
      <x:c r="D14" t="str">
        <x:v>Proposal deadline arrives before validation is complete</x:v>
      </x:c>
      <x:c r="E14" s="17" t="n">
        <x:v>3</x:v>
      </x:c>
      <x:c r="F14" s="17" t="n">
        <x:v>4</x:v>
      </x:c>
      <x:c r="G14" s="17" t="n">
        <x:f>IF(A14="","",E14*F14)</x:f>
        <x:v>12</x:v>
      </x:c>
      <x:c r="H14" t="str">
        <x:f>IF(G14="","",IF(G14&gt;=16,"Critical",IF(G14&gt;=10,"High",IF(G14&gt;=5,"Medium","Low"))))</x:f>
        <x:v>High</x:v>
      </x:c>
      <x:c r="I14" t="str">
        <x:v>Project Manager</x:v>
      </x:c>
      <x:c r="J14" t="str">
        <x:v>Set earlier cut-off and report only validated figures</x:v>
      </x:c>
      <x:c r="K14" s="9" t="d">
        <x:v>2026-11-13T00:00:00.000Z</x:v>
      </x:c>
      <x:c r="L14" t="str">
        <x:v>Open</x:v>
      </x:c>
      <x:c r="M14" t="str">
        <x:f>IF(A14="","",IF(L14="Closed","Closed",IF(K14="","Set review date",IF(K14&lt;TODAY(),"Review overdue","On track"))))</x:f>
        <x:v>On track</x:v>
      </x:c>
    </x:row>
    <x:row r="15">
      <x:c r="A15" t="str">
        <x:v>R-010</x:v>
      </x:c>
      <x:c r="B15" t="str">
        <x:v>Issue</x:v>
      </x:c>
      <x:c r="C15" t="str">
        <x:v>Finance</x:v>
      </x:c>
      <x:c r="D15" t="str">
        <x:v>Invoice references do not tie to activity IDs</x:v>
      </x:c>
      <x:c r="E15" s="17" t="n">
        <x:v>3</x:v>
      </x:c>
      <x:c r="F15" s="17" t="n">
        <x:v>3</x:v>
      </x:c>
      <x:c r="G15" s="17" t="n">
        <x:f>IF(A15="","",E15*F15)</x:f>
        <x:v>9</x:v>
      </x:c>
      <x:c r="H15" t="str">
        <x:f>IF(G15="","",IF(G15&gt;=16,"Critical",IF(G15&gt;=10,"High",IF(G15&gt;=5,"Medium","Low"))))</x:f>
        <x:v>Medium</x:v>
      </x:c>
      <x:c r="I15" t="str">
        <x:v>Finance Contact</x:v>
      </x:c>
      <x:c r="J15" t="str">
        <x:v>Return unmatched invoice for coding correction</x:v>
      </x:c>
      <x:c r="K15" s="9" t="d">
        <x:v>2026-11-01T00:00:00.000Z</x:v>
      </x:c>
      <x:c r="L15" t="str">
        <x:v>Open</x:v>
      </x:c>
      <x:c r="M15" t="str">
        <x:f>IF(A15="","",IF(L15="Closed","Closed",IF(K15="","Set review date",IF(K15&lt;TODAY(),"Review overdue","On track"))))</x:f>
        <x:v>On track</x:v>
      </x:c>
    </x:row>
    <x:row r="16">
      <x:c r="A16" t="str">
        <x:v>R-011</x:v>
      </x:c>
      <x:c r="B16" t="str">
        <x:v>Risk</x:v>
      </x:c>
      <x:c r="C16" t="str">
        <x:v>Venue</x:v>
      </x:c>
      <x:c r="D16" t="str">
        <x:v>Venue availability conflicts with school schedule</x:v>
      </x:c>
      <x:c r="E16" s="17" t="n">
        <x:v>2</x:v>
      </x:c>
      <x:c r="F16" s="17" t="n">
        <x:v>3</x:v>
      </x:c>
      <x:c r="G16" s="17" t="n">
        <x:f>IF(A16="","",E16*F16)</x:f>
        <x:v>6</x:v>
      </x:c>
      <x:c r="H16" t="str">
        <x:f>IF(G16="","",IF(G16&gt;=16,"Critical",IF(G16&gt;=10,"High",IF(G16&gt;=5,"Medium","Low"))))</x:f>
        <x:v>Medium</x:v>
      </x:c>
      <x:c r="I16" t="str">
        <x:v>Operations Lead</x:v>
      </x:c>
      <x:c r="J16" t="str">
        <x:v>Confirm booking hold before publishing calendar</x:v>
      </x:c>
      <x:c r="K16" s="9" t="d">
        <x:v>2026-11-18T00:00:00.000Z</x:v>
      </x:c>
      <x:c r="L16" t="str">
        <x:v>Monitoring</x:v>
      </x:c>
      <x:c r="M16" t="str">
        <x:f>IF(A16="","",IF(L16="Closed","Closed",IF(K16="","Set review date",IF(K16&lt;TODAY(),"Review overdue","On track"))))</x:f>
        <x:v>On track</x:v>
      </x:c>
    </x:row>
    <x:row r="17">
      <x:c r="A17" t="str">
        <x:v>R-012</x:v>
      </x:c>
      <x:c r="B17" t="str">
        <x:v>Risk</x:v>
      </x:c>
      <x:c r="C17" t="str">
        <x:v>Technology</x:v>
      </x:c>
      <x:c r="D17" t="str">
        <x:v>Offline tracker copies create duplicate records</x:v>
      </x:c>
      <x:c r="E17" s="17" t="n">
        <x:v>3</x:v>
      </x:c>
      <x:c r="F17" s="17" t="n">
        <x:v>3</x:v>
      </x:c>
      <x:c r="G17" s="17" t="n">
        <x:f>IF(A17="","",E17*F17)</x:f>
        <x:v>9</x:v>
      </x:c>
      <x:c r="H17" t="str">
        <x:f>IF(G17="","",IF(G17&gt;=16,"Critical",IF(G17&gt;=10,"High",IF(G17&gt;=5,"Medium","Low"))))</x:f>
        <x:v>Medium</x:v>
      </x:c>
      <x:c r="I17" t="str">
        <x:v>Data Owner</x:v>
      </x:c>
      <x:c r="J17" t="str">
        <x:v>Use one controlled source and version date</x:v>
      </x:c>
      <x:c r="K17" s="9" t="d">
        <x:v>2026-11-20T00:00:00.000Z</x:v>
      </x:c>
      <x:c r="L17" t="str">
        <x:v>Open</x:v>
      </x:c>
      <x:c r="M17" t="str">
        <x:f>IF(A17="","",IF(L17="Closed","Closed",IF(K17="","Set review date",IF(K17&lt;TODAY(),"Review overdue","On track"))))</x:f>
        <x:v>On track</x:v>
      </x:c>
    </x:row>
    <x:row r="18">
      <x:c r="A18" t="str">
        <x:v>R-013</x:v>
      </x:c>
      <x:c r="B18" t="str">
        <x:v>Issue</x:v>
      </x:c>
      <x:c r="C18" t="str">
        <x:v>Communication</x:v>
      </x:c>
      <x:c r="D18" t="str">
        <x:v>Stakeholder change was not reflected in the contact list</x:v>
      </x:c>
      <x:c r="E18" s="17" t="n">
        <x:v>2</x:v>
      </x:c>
      <x:c r="F18" s="17" t="n">
        <x:v>2</x:v>
      </x:c>
      <x:c r="G18" s="17" t="n">
        <x:f>IF(A18="","",E18*F18)</x:f>
        <x:v>4</x:v>
      </x:c>
      <x:c r="H18" t="str">
        <x:f>IF(G18="","",IF(G18&gt;=16,"Critical",IF(G18&gt;=10,"High",IF(G18&gt;=5,"Medium","Low"))))</x:f>
        <x:v>Low</x:v>
      </x:c>
      <x:c r="I18" t="str">
        <x:v>Project Manager</x:v>
      </x:c>
      <x:c r="J18" t="str">
        <x:v>Update stakeholder register and decision log</x:v>
      </x:c>
      <x:c r="K18" s="9" t="d">
        <x:v>2026-10-27T00:00:00.000Z</x:v>
      </x:c>
      <x:c r="L18" t="str">
        <x:v>Open</x:v>
      </x:c>
      <x:c r="M18" t="str">
        <x:f>IF(A18="","",IF(L18="Closed","Closed",IF(K18="","Set review date",IF(K18&lt;TODAY(),"Review overdue","On track"))))</x:f>
        <x:v>On track</x:v>
      </x:c>
    </x:row>
    <x:row r="19">
      <x:c r="A19" t="str">
        <x:v>R-014</x:v>
      </x:c>
      <x:c r="B19" t="str">
        <x:v>Risk</x:v>
      </x:c>
      <x:c r="C19" t="str">
        <x:v>Workload</x:v>
      </x:c>
      <x:c r="D19" t="str">
        <x:v>Critical tasks depend on one staff member</x:v>
      </x:c>
      <x:c r="E19" s="17" t="n">
        <x:v>3</x:v>
      </x:c>
      <x:c r="F19" s="17" t="n">
        <x:v>4</x:v>
      </x:c>
      <x:c r="G19" s="17" t="n">
        <x:f>IF(A19="","",E19*F19)</x:f>
        <x:v>12</x:v>
      </x:c>
      <x:c r="H19" t="str">
        <x:f>IF(G19="","",IF(G19&gt;=16,"Critical",IF(G19&gt;=10,"High",IF(G19&gt;=5,"Medium","Low"))))</x:f>
        <x:v>High</x:v>
      </x:c>
      <x:c r="I19" t="str">
        <x:v>Programme Lead</x:v>
      </x:c>
      <x:c r="J19" t="str">
        <x:v>Pair owner and backup on critical tasks</x:v>
      </x:c>
      <x:c r="K19" s="9" t="d">
        <x:v>2026-11-24T00:00:00.000Z</x:v>
      </x:c>
      <x:c r="L19" t="str">
        <x:v>Open</x:v>
      </x:c>
      <x:c r="M19" t="str">
        <x:f>IF(A19="","",IF(L19="Closed","Closed",IF(K19="","Set review date",IF(K19&lt;TODAY(),"Review overdue","On track"))))</x:f>
        <x:v>On track</x:v>
      </x:c>
    </x:row>
    <x:row r="20">
      <x:c r="A20" t="str">
        <x:v>R-015</x:v>
      </x:c>
      <x:c r="B20" t="str">
        <x:v>Risk</x:v>
      </x:c>
      <x:c r="C20" t="str">
        <x:v>Scope</x:v>
      </x:c>
      <x:c r="D20" t="str">
        <x:v>Additional requests could be added without approval</x:v>
      </x:c>
      <x:c r="E20" s="17" t="n">
        <x:v>3</x:v>
      </x:c>
      <x:c r="F20" s="17" t="n">
        <x:v>4</x:v>
      </x:c>
      <x:c r="G20" s="17" t="n">
        <x:f>IF(A20="","",E20*F20)</x:f>
        <x:v>12</x:v>
      </x:c>
      <x:c r="H20" t="str">
        <x:f>IF(G20="","",IF(G20&gt;=16,"Critical",IF(G20&gt;=10,"High",IF(G20&gt;=5,"Medium","Low"))))</x:f>
        <x:v>High</x:v>
      </x:c>
      <x:c r="I20" t="str">
        <x:v>Project Manager</x:v>
      </x:c>
      <x:c r="J20" t="str">
        <x:v>Use a change request with cost and date impact</x:v>
      </x:c>
      <x:c r="K20" s="9" t="d">
        <x:v>2026-11-26T00:00:00.000Z</x:v>
      </x:c>
      <x:c r="L20" t="str">
        <x:v>Open</x:v>
      </x:c>
      <x:c r="M20" t="str">
        <x:f>IF(A20="","",IF(L20="Closed","Closed",IF(K20="","Set review date",IF(K20&lt;TODAY(),"Review overdue","On track"))))</x:f>
        <x:v>On track</x:v>
      </x:c>
    </x:row>
    <x:row r="21">
      <x:c r="A21" t="str">
        <x:v>R-016</x:v>
      </x:c>
      <x:c r="B21" t="str">
        <x:v>Issue</x:v>
      </x:c>
      <x:c r="C21" t="str">
        <x:v>Data quality</x:v>
      </x:c>
      <x:c r="D21" t="str">
        <x:v>One source extract includes repeated transaction keys</x:v>
      </x:c>
      <x:c r="E21" s="17" t="n">
        <x:v>4</x:v>
      </x:c>
      <x:c r="F21" s="17" t="n">
        <x:v>3</x:v>
      </x:c>
      <x:c r="G21" s="17" t="n">
        <x:f>IF(A21="","",E21*F21)</x:f>
        <x:v>12</x:v>
      </x:c>
      <x:c r="H21" t="str">
        <x:f>IF(G21="","",IF(G21&gt;=16,"Critical",IF(G21&gt;=10,"High",IF(G21&gt;=5,"Medium","Low"))))</x:f>
        <x:v>High</x:v>
      </x:c>
      <x:c r="I21" t="str">
        <x:v>Data Owner</x:v>
      </x:c>
      <x:c r="J21" t="str">
        <x:v>Hold duplicates for review; do not auto-delete</x:v>
      </x:c>
      <x:c r="K21" s="9" t="d">
        <x:v>2026-10-31T00:00:00.000Z</x:v>
      </x:c>
      <x:c r="L21" t="str">
        <x:v>Open</x:v>
      </x:c>
      <x:c r="M21" t="str">
        <x:f>IF(A21="","",IF(L21="Closed","Closed",IF(K21="","Set review date",IF(K21&lt;TODAY(),"Review overdue","On track"))))</x:f>
        <x:v>On track</x:v>
      </x:c>
    </x:row>
    <x:row r="22">
      <x:c r="A22" t="str">
        <x:v>R-017</x:v>
      </x:c>
      <x:c r="B22" t="str">
        <x:v>Risk</x:v>
      </x:c>
      <x:c r="C22" t="str">
        <x:v>Delivery</x:v>
      </x:c>
      <x:c r="D22" t="str">
        <x:v>Low attendance reduces planned reach</x:v>
      </x:c>
      <x:c r="E22" s="17" t="n">
        <x:v>3</x:v>
      </x:c>
      <x:c r="F22" s="17" t="n">
        <x:v>3</x:v>
      </x:c>
      <x:c r="G22" s="17" t="n">
        <x:f>IF(A22="","",E22*F22)</x:f>
        <x:v>9</x:v>
      </x:c>
      <x:c r="H22" t="str">
        <x:f>IF(G22="","",IF(G22&gt;=16,"Critical",IF(G22&gt;=10,"High",IF(G22&gt;=5,"Medium","Low"))))</x:f>
        <x:v>Medium</x:v>
      </x:c>
      <x:c r="I22" t="str">
        <x:v>Delivery Lead</x:v>
      </x:c>
      <x:c r="J22" t="str">
        <x:v>Monitor registration and trigger reminder plan</x:v>
      </x:c>
      <x:c r="K22" s="9" t="d">
        <x:v>2026-12-01T00:00:00.000Z</x:v>
      </x:c>
      <x:c r="L22" t="str">
        <x:v>Monitoring</x:v>
      </x:c>
      <x:c r="M22" t="str">
        <x:f>IF(A22="","",IF(L22="Closed","Closed",IF(K22="","Set review date",IF(K22&lt;TODAY(),"Review overdue","On track"))))</x:f>
        <x:v>On track</x:v>
      </x:c>
    </x:row>
    <x:row r="23">
      <x:c r="A23" t="str">
        <x:v>R-018</x:v>
      </x:c>
      <x:c r="B23" t="str">
        <x:v>Risk</x:v>
      </x:c>
      <x:c r="C23" t="str">
        <x:v>Close-out</x:v>
      </x:c>
      <x:c r="D23" t="str">
        <x:v>Open actions may transfer without a receiving owner</x:v>
      </x:c>
      <x:c r="E23" s="17" t="n">
        <x:v>2</x:v>
      </x:c>
      <x:c r="F23" s="17" t="n">
        <x:v>4</x:v>
      </x:c>
      <x:c r="G23" s="17" t="n">
        <x:f>IF(A23="","",E23*F23)</x:f>
        <x:v>8</x:v>
      </x:c>
      <x:c r="H23" t="str">
        <x:f>IF(G23="","",IF(G23&gt;=16,"Critical",IF(G23&gt;=10,"High",IF(G23&gt;=5,"Medium","Low"))))</x:f>
        <x:v>Medium</x:v>
      </x:c>
      <x:c r="I23" t="str">
        <x:v>Project Manager</x:v>
      </x:c>
      <x:c r="J23" t="str">
        <x:v>Require accepted handover and due date</x:v>
      </x:c>
      <x:c r="K23" s="9" t="d">
        <x:v>2027-01-15T00:00:00.000Z</x:v>
      </x:c>
      <x:c r="L23" t="str">
        <x:v>Open</x:v>
      </x:c>
      <x:c r="M23" t="str">
        <x:f>IF(A23="","",IF(L23="Closed","Closed",IF(K23="","Set review date",IF(K23&lt;TODAY(),"Review overdue","On track"))))</x:f>
        <x:v>On track</x:v>
      </x:c>
    </x:row>
    <x:row r="24">
      <x:c r="E24" s="17"/>
      <x:c r="F24" s="17"/>
      <x:c r="G24" s="17" t="str">
        <x:f>IF(A24="","",E24*F24)</x:f>
      </x:c>
      <x:c r="H24" t="str">
        <x:f>IF(G24="","",IF(G24&gt;=16,"Critical",IF(G24&gt;=10,"High",IF(G24&gt;=5,"Medium","Low"))))</x:f>
      </x:c>
      <x:c r="K24" s="9"/>
      <x:c r="M24" t="str">
        <x:f>IF(A24="","",IF(L24="Closed","Closed",IF(K24="","Set review date",IF(K24&lt;TODAY(),"Review overdue","On track"))))</x:f>
      </x:c>
    </x:row>
    <x:row r="25">
      <x:c r="E25" s="17"/>
      <x:c r="F25" s="17"/>
      <x:c r="G25" s="17" t="str">
        <x:f>IF(A25="","",E25*F25)</x:f>
      </x:c>
      <x:c r="H25" t="str">
        <x:f>IF(G25="","",IF(G25&gt;=16,"Critical",IF(G25&gt;=10,"High",IF(G25&gt;=5,"Medium","Low"))))</x:f>
      </x:c>
      <x:c r="K25" s="9"/>
      <x:c r="M25" t="str">
        <x:f>IF(A25="","",IF(L25="Closed","Closed",IF(K25="","Set review date",IF(K25&lt;TODAY(),"Review overdue","On track"))))</x:f>
      </x:c>
    </x:row>
  </x:sheetData>
  <x:conditionalFormatting sqref="H6:H25">
    <x:cfRule type="containsText" dxfId="4" priority="1" operator="containsText" text="Critical"/>
  </x:conditionalFormatting>
  <x:conditionalFormatting sqref="M6:M25">
    <x:cfRule type="containsText" dxfId="5" priority="2" operator="containsText" text="Review overdue"/>
  </x:conditionalFormatting>
  <x:dataValidations count="2">
    <x:dataValidation type="list" sqref="B6:B25">
      <x:formula1>"Risk,Issue"</x:formula1>
    </x:dataValidation>
    <x:dataValidation type="list" sqref="L6:L25">
      <x:formula1>"Open,Monitoring,Closed"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f1b289cb7ff4d01"/>
  </x:tableParts>
</x:worksheet>
</file>

<file path=xl/worksheets/sheet5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2" hidden="0" customWidth="1"/>
    <x:col min="2" max="2" width="96" hidden="0" customWidth="1"/>
  </x:cols>
  <x:sheetData>
    <x:row r="1">
      <x:c r="A1" s="1" t="str">
        <x:v>How to use this workbook</x:v>
      </x:c>
    </x:row>
    <x:row r="2">
      <x:c r="A2" s="2" t="str">
        <x:v>Sample records are synthetic. Use the tracker as a repeatable project control, then replace sample rows with approved project information.</x:v>
      </x:c>
    </x:row>
    <x:row r="4" ht="34" customHeight="1">
      <x:c r="A4" s="19" t="str">
        <x:v>What to update</x:v>
      </x:c>
      <x:c r="B4" s="8" t="str">
        <x:v>Replace only illustrative rows with approved project information.</x:v>
      </x:c>
    </x:row>
    <x:row r="5" ht="34" customHeight="1">
      <x:c r="A5" s="19" t="str">
        <x:v>Action ID</x:v>
      </x:c>
      <x:c r="B5" s="8" t="str">
        <x:v>Keep each Action ID unique; use it in Predecessor ID to create a dependency.</x:v>
      </x:c>
    </x:row>
    <x:row r="6" ht="34" customHeight="1">
      <x:c r="A6" s="19" t="str">
        <x:v>Status</x:v>
      </x:c>
      <x:c r="B6" s="8" t="str">
        <x:v>Choose Not Started, In Progress, Blocked or Complete from the dropdown.</x:v>
      </x:c>
    </x:row>
    <x:row r="7" ht="34" customHeight="1">
      <x:c r="A7" s="19" t="str">
        <x:v>Progress</x:v>
      </x:c>
      <x:c r="B7" s="8" t="str">
        <x:v>Enter completion as a percentage. Weighted progress uses effort points, not a simple task count.</x:v>
      </x:c>
    </x:row>
    <x:row r="8" ht="34" customHeight="1">
      <x:c r="A8" s="19" t="str">
        <x:v>Health</x:v>
      </x:c>
      <x:c r="B8" s="8" t="str">
        <x:v>Waiting means a predecessor is not complete; Overdue and Due in 7 days are date-based.</x:v>
      </x:c>
    </x:row>
    <x:row r="9" ht="34" customHeight="1">
      <x:c r="A9" s="19" t="str">
        <x:v>Phase gates</x:v>
      </x:c>
      <x:c r="B9" s="8" t="str">
        <x:v>A gate is Ready when all linked actions are complete; it needs attention if a linked action is blocked or overdue.</x:v>
      </x:c>
    </x:row>
    <x:row r="10" ht="34" customHeight="1">
      <x:c r="A10" s="19" t="str">
        <x:v>Risk exposure</x:v>
      </x:c>
      <x:c r="B10" s="8" t="str">
        <x:v>Probability × Impact, each scored 1 to 5. High and Critical ratings require a response owner and review date.</x:v>
      </x:c>
    </x:row>
    <x:row r="11" ht="34" customHeight="1">
      <x:c r="A11" s="19" t="str">
        <x:v>Sample basis</x:v>
      </x:c>
      <x:c r="B11" s="8" t="str">
        <x:v>All task names, roles, dates and risk examples are synthetic and do not describe a live project.</x:v>
      </x:c>
    </x:row>
  </x:sheetData>
  <x:pageMargins left="0.7" right="0.7" top="0.75" bottom="0.75" header="0.3" footer="0.3"/>
</x:worksheet>
</file>